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as y Supuestos" sheetId="1" state="visible" r:id="rId1"/>
    <sheet name="Inputs" sheetId="2" state="visible" r:id="rId2"/>
    <sheet name="Estequiometria" sheetId="3" state="visible" r:id="rId3"/>
    <sheet name="Calculo Load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5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666666"/>
      <sz val="10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3" fillId="0" borderId="1" pivotButton="0" quotePrefix="0" xfId="0"/>
    <xf numFmtId="165" fontId="3" fillId="3" borderId="1" pivotButton="0" quotePrefix="0" xfId="0"/>
    <xf numFmtId="0" fontId="3" fillId="3" borderId="1" pivotButton="0" quotePrefix="0" xfId="0"/>
    <xf numFmtId="164" fontId="3" fillId="3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A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2"/>
  <sheetViews>
    <sheetView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>
      <c r="B2" s="1" t="inlineStr">
        <is>
          <t>Maximum Loading Teorico - Primene JMT (SX)</t>
        </is>
      </c>
    </row>
    <row r="3">
      <c r="B3" s="2" t="inlineStr">
        <is>
          <t>Sistema: sulfato, PLS de etapa reductora (ORP ~ 0 mV) -&gt; Fe2+, Ce3+, U(IV) asumidos</t>
        </is>
      </c>
    </row>
    <row r="5">
      <c r="B5" t="inlineStr"/>
    </row>
    <row r="6">
      <c r="B6" s="3" t="inlineStr">
        <is>
          <t>COMO USAR ESTE ARCHIVO</t>
        </is>
      </c>
    </row>
    <row r="7">
      <c r="B7" t="inlineStr">
        <is>
          <t>1. Ve a la hoja 'Inputs' y completa las celdas amarillas: %v/v Primene JMT, %v/v diluyente ORFOM,</t>
        </is>
      </c>
    </row>
    <row r="8">
      <c r="B8" t="inlineStr">
        <is>
          <t xml:space="preserve">   densidad y MW de Primene JMT, y g/L de H2SO4 libre en feed/rafinato (solo referencia).</t>
        </is>
      </c>
    </row>
    <row r="9">
      <c r="B9" t="inlineStr">
        <is>
          <t>2. Ve a la hoja 'Calculo Loading' y escribe (celdas amarillas) el ppm cargado real de cada</t>
        </is>
      </c>
    </row>
    <row r="10">
      <c r="B10" t="inlineStr">
        <is>
          <t xml:space="preserve">   elemento en la fase organica (mg elemento / L organico).</t>
        </is>
      </c>
    </row>
    <row r="11">
      <c r="B11" t="inlineStr">
        <is>
          <t>3. El % de saturacion individual y el % de saturacion total competitiva se calculan solos.</t>
        </is>
      </c>
    </row>
    <row r="12">
      <c r="B12" t="inlineStr">
        <is>
          <t>4. Puedes ajustar la columna 'n (aminas/metal)' en la hoja 'Estequiometria' si tienes datos</t>
        </is>
      </c>
    </row>
    <row r="13">
      <c r="B13" t="inlineStr">
        <is>
          <t xml:space="preserve">   propios de especiacion (dependen del exceso de sulfato libre en tu PLS).</t>
        </is>
      </c>
    </row>
    <row r="14">
      <c r="B14" t="inlineStr"/>
    </row>
    <row r="15">
      <c r="B15" t="inlineStr">
        <is>
          <t>MECANISMO QUIMICO ASUMIDO (amina primaria, intercambio anionico)</t>
        </is>
      </c>
    </row>
    <row r="16">
      <c r="B16" t="inlineStr">
        <is>
          <t>R-NH2 + H+ + HSO4-  &lt;-&gt;  R-NH3+ . HSO4-   (amina protonada / activada)</t>
        </is>
      </c>
    </row>
    <row r="17">
      <c r="B17" t="inlineStr">
        <is>
          <t>n (R-NH3+.HSO4-) + [M(SO4)x]^n-  &lt;-&gt;  (R-NH3+)n[M(SO4)x]^n-  +  n HSO4-</t>
        </is>
      </c>
    </row>
    <row r="18">
      <c r="B18" t="inlineStr"/>
    </row>
    <row r="19">
      <c r="B19" t="inlineStr">
        <is>
          <t>'n' = numero de moleculas de amina que se enlazan por cada ion metalico, y es igual a la</t>
        </is>
      </c>
    </row>
    <row r="20">
      <c r="B20" t="inlineStr">
        <is>
          <t>carga del complejo anionico metal-sulfato que domina en tu PLS. NO es necesariamente igual</t>
        </is>
      </c>
    </row>
    <row r="21">
      <c r="B21" t="inlineStr">
        <is>
          <t>a la valencia del metal (por eso se investigo la especie dominante reportada en bibliografia</t>
        </is>
      </c>
    </row>
    <row r="22">
      <c r="B22" t="inlineStr">
        <is>
          <t>de SX con aminas primarias/terciarias para cada elemento). Este valor es sensible al exceso</t>
        </is>
      </c>
    </row>
    <row r="23">
      <c r="B23" t="inlineStr">
        <is>
          <t>de sulfato libre (H2SO4/SO4=) del PLS: a mayor exceso de sulfato, mayor grado de sulfatacion</t>
        </is>
      </c>
    </row>
    <row r="24">
      <c r="B24" t="inlineStr">
        <is>
          <t>del complejo (mayor n); a menor exceso, predominan especies menos sulfatadas (menor n).</t>
        </is>
      </c>
    </row>
    <row r="25">
      <c r="B25" t="inlineStr"/>
    </row>
    <row r="26">
      <c r="B26" t="inlineStr">
        <is>
          <t>SUPUESTOS DE VALENCIA / REDOX (definidos por el usuario, ORP PLS ~ 0 mV, etapa reductora)</t>
        </is>
      </c>
    </row>
    <row r="27">
      <c r="B27" t="inlineStr">
        <is>
          <t>- Fe: se asume Fe2+ (ferroso). La etapa reductora previa esta diseñada para evitar Fe3+,</t>
        </is>
      </c>
    </row>
    <row r="28">
      <c r="B28" t="inlineStr">
        <is>
          <t xml:space="preserve">  que es mucho mas extraible por aminas que Fe2+.</t>
        </is>
      </c>
    </row>
    <row r="29">
      <c r="B29" t="inlineStr">
        <is>
          <t>- Ce: se asume Ce3+ (Ce4+ requiere oxidantes fuertes, incompatibles con PLS reductor).</t>
        </is>
      </c>
    </row>
    <row r="30">
      <c r="B30" t="inlineStr">
        <is>
          <t>- U: se asume U4+ (uranoso). En condiciones reductoras no se forma UO2^2+ (uranilo/U6+).</t>
        </is>
      </c>
    </row>
    <row r="31">
      <c r="B31" t="inlineStr">
        <is>
          <t xml:space="preserve">  U(IV) se comporta quimicamente analogo a Th4+ (ambos actinidos tetravalentes).</t>
        </is>
      </c>
    </row>
    <row r="32">
      <c r="B32" t="inlineStr">
        <is>
          <t>- Resto de elementos: valencia predominante estandar en solucion acuosa sulfatada.</t>
        </is>
      </c>
    </row>
    <row r="33">
      <c r="B33" t="inlineStr"/>
    </row>
    <row r="34">
      <c r="B34" s="3" t="inlineStr">
        <is>
          <t>LIMITACIONES / RECOMENDACIONES</t>
        </is>
      </c>
    </row>
    <row r="35">
      <c r="B35" t="inlineStr">
        <is>
          <t>- La estequiometria 'n' por elemento es una referencia de literatura para ORDEN DE MAGNITUD;</t>
        </is>
      </c>
    </row>
    <row r="36">
      <c r="B36" t="inlineStr">
        <is>
          <t xml:space="preserve">  la especiacion real depende de tu quimica de PLS especifica (SO4 libre, T, fuerza ionica).</t>
        </is>
      </c>
    </row>
    <row r="37">
      <c r="B37" t="inlineStr">
        <is>
          <t xml:space="preserve">  Valida/ajusta 'n' con tus propios datos de equilibrio si los tienes.</t>
        </is>
      </c>
    </row>
    <row r="38">
      <c r="B38" t="inlineStr">
        <is>
          <t>- El 'maximo teorico individual' asume que TODA la capacidad de amina esta disponible para</t>
        </is>
      </c>
    </row>
    <row r="39">
      <c r="B39" t="inlineStr">
        <is>
          <t xml:space="preserve">  ese elemento en solitario (escenario no realista si hay co-extraccion, pero util como techo).</t>
        </is>
      </c>
    </row>
    <row r="40">
      <c r="B40" t="inlineStr">
        <is>
          <t>- El '% saturacion total competitiva' es el indicador mas realista: suma los equivalentes</t>
        </is>
      </c>
    </row>
    <row r="41">
      <c r="B41" t="inlineStr">
        <is>
          <t xml:space="preserve">  de TODOS los elementos cargados y los compara contra la capacidad total de amina activa.</t>
        </is>
      </c>
    </row>
    <row r="42">
      <c r="B42" t="inlineStr">
        <is>
          <t>- Este modelo no incluye cinetica, selectividad relativa, ni efectos de modificador/isodecanol.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5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3" customWidth="1" min="3" max="3"/>
    <col width="14" customWidth="1" min="4" max="4"/>
    <col width="70" customWidth="1" min="5" max="5"/>
  </cols>
  <sheetData>
    <row r="2">
      <c r="B2" s="1" t="inlineStr">
        <is>
          <t>Inputs de fase organica</t>
        </is>
      </c>
    </row>
    <row r="4">
      <c r="B4" s="3" t="inlineStr">
        <is>
          <t>Extractante</t>
        </is>
      </c>
      <c r="D4" t="inlineStr">
        <is>
          <t>Primene JMT</t>
        </is>
      </c>
    </row>
    <row r="5">
      <c r="B5" s="3" t="inlineStr">
        <is>
          <t>Diluyente</t>
        </is>
      </c>
      <c r="D5" t="inlineStr">
        <is>
          <t>ORFOM</t>
        </is>
      </c>
    </row>
    <row r="6">
      <c r="B6" s="3" t="inlineStr">
        <is>
          <t>% v/v Primene JMT en organico</t>
        </is>
      </c>
      <c r="D6" s="4" t="n">
        <v>10</v>
      </c>
      <c r="E6" s="2" t="inlineStr">
        <is>
          <t>% volumen/volumen</t>
        </is>
      </c>
    </row>
    <row r="7">
      <c r="B7" s="3" t="inlineStr">
        <is>
          <t>% v/v diluyente ORFOM</t>
        </is>
      </c>
      <c r="D7" s="4" t="n">
        <v>90</v>
      </c>
      <c r="E7" s="2" t="inlineStr">
        <is>
          <t>% volumen/volumen (incluye modificador si aplica)</t>
        </is>
      </c>
    </row>
    <row r="8">
      <c r="B8" s="3" t="inlineStr">
        <is>
          <t>Densidad Primene JMT (g/mL)</t>
        </is>
      </c>
      <c r="D8" s="4" t="n">
        <v>0.86</v>
      </c>
      <c r="E8" s="2" t="inlineStr">
        <is>
          <t>Valor tipico de literatura (grado comercial JM-T); ajustar si tienes dato de proveedor</t>
        </is>
      </c>
    </row>
    <row r="9">
      <c r="B9" s="3" t="inlineStr">
        <is>
          <t>MW Primene JMT (g/mol)</t>
        </is>
      </c>
      <c r="D9" s="4" t="n">
        <v>185</v>
      </c>
      <c r="E9" s="2" t="inlineStr">
        <is>
          <t>Amina primaria de cadena ramificada, mezcla C16-C22; rango tipico 185-200 g/mol</t>
        </is>
      </c>
    </row>
    <row r="10">
      <c r="B10" s="3" t="inlineStr">
        <is>
          <t>H2SO4 libre en Feed (g/L)</t>
        </is>
      </c>
      <c r="D10" s="4" t="n">
        <v>20</v>
      </c>
      <c r="E10" s="2" t="inlineStr">
        <is>
          <t>Solo referencia, ayuda a decidir 'n' en hoja Estequiometria</t>
        </is>
      </c>
    </row>
    <row r="11">
      <c r="B11" s="3" t="inlineStr">
        <is>
          <t>H2SO4 libre en Rafinato (g/L)</t>
        </is>
      </c>
      <c r="D11" s="4" t="n">
        <v>5</v>
      </c>
      <c r="E11" s="2" t="inlineStr">
        <is>
          <t>Solo referencia, ayuda a decidir 'n' en hoja Estequiometria</t>
        </is>
      </c>
    </row>
    <row r="13">
      <c r="B13" s="3" t="inlineStr">
        <is>
          <t>Capacidad de amina activa (calculado)</t>
        </is>
      </c>
    </row>
    <row r="14">
      <c r="B14" s="3" t="inlineStr">
        <is>
          <t>Concentracion Primene JMT (mol/L organico)</t>
        </is>
      </c>
      <c r="D14" s="5">
        <f>(D6/100)*D8*1000/D9</f>
        <v/>
      </c>
      <c r="E14" s="2" t="inlineStr">
        <is>
          <t>mol amina / L organico = capacidad total de intercambio anionico (eq/L)</t>
        </is>
      </c>
    </row>
    <row r="15">
      <c r="B15" s="3" t="inlineStr">
        <is>
          <t>Capacidad total (equivalentes/L)</t>
        </is>
      </c>
      <c r="D15" s="5">
        <f>D14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14" customWidth="1" min="3" max="3"/>
    <col width="8" customWidth="1" min="4" max="4"/>
    <col width="16" customWidth="1" min="5" max="5"/>
    <col width="14" customWidth="1" min="6" max="6"/>
    <col width="32" customWidth="1" min="7" max="7"/>
    <col width="14" customWidth="1" min="8" max="8"/>
    <col width="78" customWidth="1" min="9" max="9"/>
  </cols>
  <sheetData>
    <row r="2">
      <c r="B2" s="1" t="inlineStr">
        <is>
          <t>Estequiometria amina:metal por elemento (sistema sulfato, PLS reductor)</t>
        </is>
      </c>
    </row>
    <row r="4">
      <c r="B4" s="6" t="inlineStr">
        <is>
          <t>#</t>
        </is>
      </c>
      <c r="C4" s="6" t="inlineStr">
        <is>
          <t>Elemento</t>
        </is>
      </c>
      <c r="D4" s="6" t="inlineStr">
        <is>
          <t>Simbolo</t>
        </is>
      </c>
      <c r="E4" s="6" t="inlineStr">
        <is>
          <t>Peso Atomico (g/mol)</t>
        </is>
      </c>
      <c r="F4" s="6" t="inlineStr">
        <is>
          <t>Valencia asumida</t>
        </is>
      </c>
      <c r="G4" s="6" t="inlineStr">
        <is>
          <t>Especie sulfato-anionica dominante (referencia)</t>
        </is>
      </c>
      <c r="H4" s="6" t="inlineStr">
        <is>
          <t>n (aminas/metal)</t>
        </is>
      </c>
      <c r="I4" s="6" t="inlineStr">
        <is>
          <t>Notas</t>
        </is>
      </c>
    </row>
    <row r="5">
      <c r="B5" s="7" t="n">
        <v>1</v>
      </c>
      <c r="C5" s="7" t="inlineStr">
        <is>
          <t>Aluminio</t>
        </is>
      </c>
      <c r="D5" s="7" t="inlineStr">
        <is>
          <t>Al</t>
        </is>
      </c>
      <c r="E5" s="7" t="n">
        <v>27</v>
      </c>
      <c r="F5" s="7" t="inlineStr">
        <is>
          <t>3+</t>
        </is>
      </c>
      <c r="G5" s="7" t="inlineStr">
        <is>
          <t>Al(SO4)3(3-)</t>
        </is>
      </c>
      <c r="H5" s="4" t="n">
        <v>3</v>
      </c>
      <c r="I5" s="2" t="inlineStr">
        <is>
          <t>Analogo a Ga3+; sulfatacion completa a exceso SO4 moderado-alto</t>
        </is>
      </c>
    </row>
    <row r="6">
      <c r="B6" s="7" t="n">
        <v>2</v>
      </c>
      <c r="C6" s="7" t="inlineStr">
        <is>
          <t>Escandio</t>
        </is>
      </c>
      <c r="D6" s="7" t="inlineStr">
        <is>
          <t>Sc</t>
        </is>
      </c>
      <c r="E6" s="7" t="n">
        <v>45</v>
      </c>
      <c r="F6" s="7" t="inlineStr">
        <is>
          <t>3+</t>
        </is>
      </c>
      <c r="G6" s="7" t="inlineStr">
        <is>
          <t>Sc(SO4)3(3-)</t>
        </is>
      </c>
      <c r="H6" s="4" t="n">
        <v>3</v>
      </c>
      <c r="I6" s="2" t="inlineStr">
        <is>
          <t>Sc3+ forma tris-sulfato anionico con exceso de SO4 libre</t>
        </is>
      </c>
    </row>
    <row r="7">
      <c r="B7" s="7" t="n">
        <v>3</v>
      </c>
      <c r="C7" s="7" t="inlineStr">
        <is>
          <t>Hierro</t>
        </is>
      </c>
      <c r="D7" s="7" t="inlineStr">
        <is>
          <t>Fe</t>
        </is>
      </c>
      <c r="E7" s="7" t="n">
        <v>56</v>
      </c>
      <c r="F7" s="7" t="inlineStr">
        <is>
          <t>2+</t>
        </is>
      </c>
      <c r="G7" s="7" t="inlineStr">
        <is>
          <t>Fe(SO4)2(2-)</t>
        </is>
      </c>
      <c r="H7" s="4" t="n">
        <v>2</v>
      </c>
      <c r="I7" s="2" t="inlineStr">
        <is>
          <t>Fe2+ asumido por etapa reductora (ORP~0 mV); Fe2+ mucho menos extraible que Fe3+</t>
        </is>
      </c>
    </row>
    <row r="8">
      <c r="B8" s="7" t="n">
        <v>4</v>
      </c>
      <c r="C8" s="7" t="inlineStr">
        <is>
          <t>Cobalto</t>
        </is>
      </c>
      <c r="D8" s="7" t="inlineStr">
        <is>
          <t>Co</t>
        </is>
      </c>
      <c r="E8" s="7" t="n">
        <v>59</v>
      </c>
      <c r="F8" s="7" t="inlineStr">
        <is>
          <t>2+</t>
        </is>
      </c>
      <c r="G8" s="7" t="inlineStr">
        <is>
          <t>Co(SO4)2(2-)</t>
        </is>
      </c>
      <c r="H8" s="4" t="n">
        <v>2</v>
      </c>
      <c r="I8" s="2" t="inlineStr">
        <is>
          <t>Complejo bis-sulfato tipico de metales divalentes de transicion</t>
        </is>
      </c>
    </row>
    <row r="9">
      <c r="B9" s="7" t="n">
        <v>5</v>
      </c>
      <c r="C9" s="7" t="inlineStr">
        <is>
          <t>Zinc</t>
        </is>
      </c>
      <c r="D9" s="7" t="inlineStr">
        <is>
          <t>Zn</t>
        </is>
      </c>
      <c r="E9" s="7" t="n">
        <v>66</v>
      </c>
      <c r="F9" s="7" t="inlineStr">
        <is>
          <t>2+</t>
        </is>
      </c>
      <c r="G9" s="7" t="inlineStr">
        <is>
          <t>Zn(SO4)2(2-)</t>
        </is>
      </c>
      <c r="H9" s="4" t="n">
        <v>2</v>
      </c>
      <c r="I9" s="2" t="inlineStr">
        <is>
          <t>Complejo bis-sulfato anionico bien documentado para Zn en SX con aminas</t>
        </is>
      </c>
    </row>
    <row r="10">
      <c r="B10" s="7" t="n">
        <v>6</v>
      </c>
      <c r="C10" s="7" t="inlineStr">
        <is>
          <t>Galio</t>
        </is>
      </c>
      <c r="D10" s="7" t="inlineStr">
        <is>
          <t>Ga</t>
        </is>
      </c>
      <c r="E10" s="7" t="n">
        <v>69</v>
      </c>
      <c r="F10" s="7" t="inlineStr">
        <is>
          <t>3+</t>
        </is>
      </c>
      <c r="G10" s="7" t="inlineStr">
        <is>
          <t>Ga(SO4)3(3-)</t>
        </is>
      </c>
      <c r="H10" s="4" t="n">
        <v>3</v>
      </c>
      <c r="I10" s="2" t="inlineStr">
        <is>
          <t>Analogo quimico a Al3+</t>
        </is>
      </c>
    </row>
    <row r="11">
      <c r="B11" s="7" t="n">
        <v>7</v>
      </c>
      <c r="C11" s="7" t="inlineStr">
        <is>
          <t>Rubidio</t>
        </is>
      </c>
      <c r="D11" s="7" t="inlineStr">
        <is>
          <t>Rb</t>
        </is>
      </c>
      <c r="E11" s="7" t="n">
        <v>85</v>
      </c>
      <c r="F11" s="7" t="inlineStr">
        <is>
          <t>1+</t>
        </is>
      </c>
      <c r="G11" s="7" t="inlineStr">
        <is>
          <t>Par ionico Rb+ / HSO4-</t>
        </is>
      </c>
      <c r="H11" s="4" t="n">
        <v>1</v>
      </c>
      <c r="I11" s="2" t="inlineStr">
        <is>
          <t>Metal alcalino: co-extraccion minima, se asume 1 sitio de intercambio por balance de carga</t>
        </is>
      </c>
    </row>
    <row r="12">
      <c r="B12" s="7" t="n">
        <v>8</v>
      </c>
      <c r="C12" s="7" t="inlineStr">
        <is>
          <t>Itrio</t>
        </is>
      </c>
      <c r="D12" s="7" t="inlineStr">
        <is>
          <t>Y</t>
        </is>
      </c>
      <c r="E12" s="7" t="n">
        <v>89</v>
      </c>
      <c r="F12" s="7" t="inlineStr">
        <is>
          <t>3+</t>
        </is>
      </c>
      <c r="G12" s="7" t="inlineStr">
        <is>
          <t>Y(SO4)3(3-)</t>
        </is>
      </c>
      <c r="H12" s="4" t="n">
        <v>3</v>
      </c>
      <c r="I12" s="2" t="inlineStr">
        <is>
          <t>Igual familia quimica que las tierras raras trivalentes</t>
        </is>
      </c>
    </row>
    <row r="13">
      <c r="B13" s="7" t="n">
        <v>9</v>
      </c>
      <c r="C13" s="7" t="inlineStr">
        <is>
          <t>Zirconio</t>
        </is>
      </c>
      <c r="D13" s="7" t="inlineStr">
        <is>
          <t>Zr</t>
        </is>
      </c>
      <c r="E13" s="7" t="n">
        <v>91</v>
      </c>
      <c r="F13" s="7" t="inlineStr">
        <is>
          <t>4+</t>
        </is>
      </c>
      <c r="G13" s="7" t="inlineStr">
        <is>
          <t>ZrO(SO4)2(2-)</t>
        </is>
      </c>
      <c r="H13" s="4" t="n">
        <v>2</v>
      </c>
      <c r="I13" s="2" t="inlineStr">
        <is>
          <t>Zr4+ hidroliza a zirconilo ZrO2+ en solucion acuosa; especie zirconil-sulfato es la dominante reportada</t>
        </is>
      </c>
    </row>
    <row r="14">
      <c r="B14" s="7" t="n">
        <v>10</v>
      </c>
      <c r="C14" s="7" t="inlineStr">
        <is>
          <t>Lantano</t>
        </is>
      </c>
      <c r="D14" s="7" t="inlineStr">
        <is>
          <t>La</t>
        </is>
      </c>
      <c r="E14" s="7" t="n">
        <v>139</v>
      </c>
      <c r="F14" s="7" t="inlineStr">
        <is>
          <t>3+</t>
        </is>
      </c>
      <c r="G14" s="7" t="inlineStr">
        <is>
          <t>La(SO4)3(3-)</t>
        </is>
      </c>
      <c r="H14" s="4" t="n">
        <v>3</v>
      </c>
      <c r="I14" s="2" t="inlineStr">
        <is>
          <t>Tierra rara ligera, tris-sulfato anionico (bibliografia AMEX/REE-SX)</t>
        </is>
      </c>
    </row>
    <row r="15">
      <c r="B15" s="7" t="n">
        <v>11</v>
      </c>
      <c r="C15" s="7" t="inlineStr">
        <is>
          <t>Cerio</t>
        </is>
      </c>
      <c r="D15" s="7" t="inlineStr">
        <is>
          <t>Ce</t>
        </is>
      </c>
      <c r="E15" s="7" t="n">
        <v>140</v>
      </c>
      <c r="F15" s="7" t="inlineStr">
        <is>
          <t>3+</t>
        </is>
      </c>
      <c r="G15" s="7" t="inlineStr">
        <is>
          <t>Ce(SO4)3(3-)</t>
        </is>
      </c>
      <c r="H15" s="4" t="n">
        <v>3</v>
      </c>
      <c r="I15" s="2" t="inlineStr">
        <is>
          <t>Ce3+ asumido (PLS reductor, Ce4+ inestable sin oxidante fuerte)</t>
        </is>
      </c>
    </row>
    <row r="16">
      <c r="B16" s="7" t="n">
        <v>12</v>
      </c>
      <c r="C16" s="7" t="inlineStr">
        <is>
          <t>Praseodimio</t>
        </is>
      </c>
      <c r="D16" s="7" t="inlineStr">
        <is>
          <t>Pr</t>
        </is>
      </c>
      <c r="E16" s="7" t="n">
        <v>141</v>
      </c>
      <c r="F16" s="7" t="inlineStr">
        <is>
          <t>3+</t>
        </is>
      </c>
      <c r="G16" s="7" t="inlineStr">
        <is>
          <t>Pr(SO4)3(3-)</t>
        </is>
      </c>
      <c r="H16" s="4" t="n">
        <v>3</v>
      </c>
      <c r="I16" s="2" t="inlineStr">
        <is>
          <t>Tierra rara ligera, tris-sulfato anionico</t>
        </is>
      </c>
    </row>
    <row r="17">
      <c r="B17" s="7" t="n">
        <v>13</v>
      </c>
      <c r="C17" s="7" t="inlineStr">
        <is>
          <t>Neodimio</t>
        </is>
      </c>
      <c r="D17" s="7" t="inlineStr">
        <is>
          <t>Nd</t>
        </is>
      </c>
      <c r="E17" s="7" t="n">
        <v>146</v>
      </c>
      <c r="F17" s="7" t="inlineStr">
        <is>
          <t>3+</t>
        </is>
      </c>
      <c r="G17" s="7" t="inlineStr">
        <is>
          <t>Nd(SO4)3(3-)</t>
        </is>
      </c>
      <c r="H17" s="4" t="n">
        <v>3</v>
      </c>
      <c r="I17" s="2" t="inlineStr">
        <is>
          <t>Tierra rara ligera, tris-sulfato anionico</t>
        </is>
      </c>
    </row>
    <row r="18">
      <c r="B18" s="7" t="n">
        <v>14</v>
      </c>
      <c r="C18" s="7" t="inlineStr">
        <is>
          <t>Samario</t>
        </is>
      </c>
      <c r="D18" s="7" t="inlineStr">
        <is>
          <t>Sm</t>
        </is>
      </c>
      <c r="E18" s="7" t="n">
        <v>147</v>
      </c>
      <c r="F18" s="7" t="inlineStr">
        <is>
          <t>3+</t>
        </is>
      </c>
      <c r="G18" s="7" t="inlineStr">
        <is>
          <t>Sm(SO4)3(3-)</t>
        </is>
      </c>
      <c r="H18" s="4" t="n">
        <v>3</v>
      </c>
      <c r="I18" s="2" t="inlineStr">
        <is>
          <t>Tierra rara intermedia, tris-sulfato anionico</t>
        </is>
      </c>
    </row>
    <row r="19">
      <c r="B19" s="7" t="n">
        <v>15</v>
      </c>
      <c r="C19" s="7" t="inlineStr">
        <is>
          <t>Europio</t>
        </is>
      </c>
      <c r="D19" s="7" t="inlineStr">
        <is>
          <t>Eu</t>
        </is>
      </c>
      <c r="E19" s="7" t="n">
        <v>153</v>
      </c>
      <c r="F19" s="7" t="inlineStr">
        <is>
          <t>3+</t>
        </is>
      </c>
      <c r="G19" s="7" t="inlineStr">
        <is>
          <t>Eu(SO4)3(3-)</t>
        </is>
      </c>
      <c r="H19" s="4" t="n">
        <v>3</v>
      </c>
      <c r="I19" s="2" t="inlineStr">
        <is>
          <t>Tierra rara intermedia, tris-sulfato anionico</t>
        </is>
      </c>
    </row>
    <row r="20">
      <c r="B20" s="7" t="n">
        <v>16</v>
      </c>
      <c r="C20" s="7" t="inlineStr">
        <is>
          <t>Gadolinio</t>
        </is>
      </c>
      <c r="D20" s="7" t="inlineStr">
        <is>
          <t>Gd</t>
        </is>
      </c>
      <c r="E20" s="7" t="n">
        <v>157</v>
      </c>
      <c r="F20" s="7" t="inlineStr">
        <is>
          <t>3+</t>
        </is>
      </c>
      <c r="G20" s="7" t="inlineStr">
        <is>
          <t>Gd(SO4)3(3-)</t>
        </is>
      </c>
      <c r="H20" s="4" t="n">
        <v>3</v>
      </c>
      <c r="I20" s="2" t="inlineStr">
        <is>
          <t>Tierra rara intermedia, tris-sulfato anionico</t>
        </is>
      </c>
    </row>
    <row r="21">
      <c r="B21" s="7" t="n">
        <v>17</v>
      </c>
      <c r="C21" s="7" t="inlineStr">
        <is>
          <t>Terbio</t>
        </is>
      </c>
      <c r="D21" s="7" t="inlineStr">
        <is>
          <t>Tb</t>
        </is>
      </c>
      <c r="E21" s="7" t="n">
        <v>159</v>
      </c>
      <c r="F21" s="7" t="inlineStr">
        <is>
          <t>3+</t>
        </is>
      </c>
      <c r="G21" s="7" t="inlineStr">
        <is>
          <t>Tb(SO4)3(3-)</t>
        </is>
      </c>
      <c r="H21" s="4" t="n">
        <v>3</v>
      </c>
      <c r="I21" s="2" t="inlineStr">
        <is>
          <t>Tierra rara pesada, tris-sulfato anionico</t>
        </is>
      </c>
    </row>
    <row r="22">
      <c r="B22" s="7" t="n">
        <v>18</v>
      </c>
      <c r="C22" s="7" t="inlineStr">
        <is>
          <t>Disprosio</t>
        </is>
      </c>
      <c r="D22" s="7" t="inlineStr">
        <is>
          <t>Dy</t>
        </is>
      </c>
      <c r="E22" s="7" t="n">
        <v>163</v>
      </c>
      <c r="F22" s="7" t="inlineStr">
        <is>
          <t>3+</t>
        </is>
      </c>
      <c r="G22" s="7" t="inlineStr">
        <is>
          <t>Dy(SO4)3(3-)</t>
        </is>
      </c>
      <c r="H22" s="4" t="n">
        <v>3</v>
      </c>
      <c r="I22" s="2" t="inlineStr">
        <is>
          <t>Tierra rara pesada, tris-sulfato anionico</t>
        </is>
      </c>
    </row>
    <row r="23">
      <c r="B23" s="7" t="n">
        <v>19</v>
      </c>
      <c r="C23" s="7" t="inlineStr">
        <is>
          <t>Holmio</t>
        </is>
      </c>
      <c r="D23" s="7" t="inlineStr">
        <is>
          <t>Ho</t>
        </is>
      </c>
      <c r="E23" s="7" t="n">
        <v>165</v>
      </c>
      <c r="F23" s="7" t="inlineStr">
        <is>
          <t>3+</t>
        </is>
      </c>
      <c r="G23" s="7" t="inlineStr">
        <is>
          <t>Ho(SO4)3(3-)</t>
        </is>
      </c>
      <c r="H23" s="4" t="n">
        <v>3</v>
      </c>
      <c r="I23" s="2" t="inlineStr">
        <is>
          <t>Tierra rara pesada, tris-sulfato anionico</t>
        </is>
      </c>
    </row>
    <row r="24">
      <c r="B24" s="7" t="n">
        <v>20</v>
      </c>
      <c r="C24" s="7" t="inlineStr">
        <is>
          <t>Erbio</t>
        </is>
      </c>
      <c r="D24" s="7" t="inlineStr">
        <is>
          <t>Er</t>
        </is>
      </c>
      <c r="E24" s="7" t="n">
        <v>166</v>
      </c>
      <c r="F24" s="7" t="inlineStr">
        <is>
          <t>3+</t>
        </is>
      </c>
      <c r="G24" s="7" t="inlineStr">
        <is>
          <t>Er(SO4)3(3-)</t>
        </is>
      </c>
      <c r="H24" s="4" t="n">
        <v>3</v>
      </c>
      <c r="I24" s="2" t="inlineStr">
        <is>
          <t>Tierra rara pesada, tris-sulfato anionico</t>
        </is>
      </c>
    </row>
    <row r="25">
      <c r="B25" s="7" t="n">
        <v>21</v>
      </c>
      <c r="C25" s="7" t="inlineStr">
        <is>
          <t>Tulio</t>
        </is>
      </c>
      <c r="D25" s="7" t="inlineStr">
        <is>
          <t>Tm</t>
        </is>
      </c>
      <c r="E25" s="7" t="n">
        <v>169</v>
      </c>
      <c r="F25" s="7" t="inlineStr">
        <is>
          <t>3+</t>
        </is>
      </c>
      <c r="G25" s="7" t="inlineStr">
        <is>
          <t>Tm(SO4)3(3-)</t>
        </is>
      </c>
      <c r="H25" s="4" t="n">
        <v>3</v>
      </c>
      <c r="I25" s="2" t="inlineStr">
        <is>
          <t>Tierra rara pesada, tris-sulfato anionico</t>
        </is>
      </c>
    </row>
    <row r="26">
      <c r="B26" s="7" t="n">
        <v>22</v>
      </c>
      <c r="C26" s="7" t="inlineStr">
        <is>
          <t>Iterbio</t>
        </is>
      </c>
      <c r="D26" s="7" t="inlineStr">
        <is>
          <t>Yb</t>
        </is>
      </c>
      <c r="E26" s="7" t="n">
        <v>172</v>
      </c>
      <c r="F26" s="7" t="inlineStr">
        <is>
          <t>3+</t>
        </is>
      </c>
      <c r="G26" s="7" t="inlineStr">
        <is>
          <t>Yb(SO4)3(3-)</t>
        </is>
      </c>
      <c r="H26" s="4" t="n">
        <v>3</v>
      </c>
      <c r="I26" s="2" t="inlineStr">
        <is>
          <t>Tierra rara pesada, tris-sulfato anionico</t>
        </is>
      </c>
    </row>
    <row r="27">
      <c r="B27" s="7" t="n">
        <v>23</v>
      </c>
      <c r="C27" s="7" t="inlineStr">
        <is>
          <t>Lutecio</t>
        </is>
      </c>
      <c r="D27" s="7" t="inlineStr">
        <is>
          <t>Lu</t>
        </is>
      </c>
      <c r="E27" s="7" t="n">
        <v>175</v>
      </c>
      <c r="F27" s="7" t="inlineStr">
        <is>
          <t>3+</t>
        </is>
      </c>
      <c r="G27" s="7" t="inlineStr">
        <is>
          <t>Lu(SO4)3(3-)</t>
        </is>
      </c>
      <c r="H27" s="4" t="n">
        <v>3</v>
      </c>
      <c r="I27" s="2" t="inlineStr">
        <is>
          <t>Tierra rara pesada, tris-sulfato anionico</t>
        </is>
      </c>
    </row>
    <row r="28">
      <c r="B28" s="7" t="n">
        <v>24</v>
      </c>
      <c r="C28" s="7" t="inlineStr">
        <is>
          <t>Hafnio</t>
        </is>
      </c>
      <c r="D28" s="7" t="inlineStr">
        <is>
          <t>Hf</t>
        </is>
      </c>
      <c r="E28" s="7" t="n">
        <v>178</v>
      </c>
      <c r="F28" s="7" t="inlineStr">
        <is>
          <t>4+</t>
        </is>
      </c>
      <c r="G28" s="7" t="inlineStr">
        <is>
          <t>HfO(SO4)2(2-)</t>
        </is>
      </c>
      <c r="H28" s="4" t="n">
        <v>2</v>
      </c>
      <c r="I28" s="2" t="inlineStr">
        <is>
          <t>Analogo quimico a Zr4+, especie hafnil-sulfato dominante</t>
        </is>
      </c>
    </row>
    <row r="29">
      <c r="B29" s="7" t="n">
        <v>25</v>
      </c>
      <c r="C29" s="7" t="inlineStr">
        <is>
          <t>Torio</t>
        </is>
      </c>
      <c r="D29" s="7" t="inlineStr">
        <is>
          <t>Th</t>
        </is>
      </c>
      <c r="E29" s="7" t="n">
        <v>232</v>
      </c>
      <c r="F29" s="7" t="inlineStr">
        <is>
          <t>4+</t>
        </is>
      </c>
      <c r="G29" s="7" t="inlineStr">
        <is>
          <t>Th(SO4)3(2-)</t>
        </is>
      </c>
      <c r="H29" s="4" t="n">
        <v>2</v>
      </c>
      <c r="I29" s="2" t="inlineStr">
        <is>
          <t>Especie clasica reportada en proceso AMEX (extraccion de Th con aminas primarias/terciarias)</t>
        </is>
      </c>
    </row>
    <row r="30">
      <c r="B30" s="7" t="n">
        <v>26</v>
      </c>
      <c r="C30" s="7" t="inlineStr">
        <is>
          <t>Uranio</t>
        </is>
      </c>
      <c r="D30" s="7" t="inlineStr">
        <is>
          <t>U</t>
        </is>
      </c>
      <c r="E30" s="7" t="n">
        <v>238</v>
      </c>
      <c r="F30" s="7" t="inlineStr">
        <is>
          <t>4+ (U(IV))</t>
        </is>
      </c>
      <c r="G30" s="7" t="inlineStr">
        <is>
          <t>U(SO4)3(2-)</t>
        </is>
      </c>
      <c r="H30" s="4" t="n">
        <v>2</v>
      </c>
      <c r="I30" s="2" t="inlineStr">
        <is>
          <t>U4+ asumido por PLS reductor; analogo a Th4+ (ambos actinidos tetravalentes)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14" customWidth="1" min="3" max="3"/>
    <col width="9" customWidth="1" min="4" max="4"/>
    <col width="11" customWidth="1" min="5" max="5"/>
    <col width="13" customWidth="1" min="6" max="6"/>
    <col width="16" customWidth="1" min="7" max="7"/>
    <col width="16" customWidth="1" min="8" max="8"/>
    <col width="18" customWidth="1" min="9" max="9"/>
    <col width="22" customWidth="1" min="10" max="10"/>
    <col width="14" customWidth="1" min="11" max="11"/>
    <col width="14" customWidth="1" min="12" max="12"/>
  </cols>
  <sheetData>
    <row r="2">
      <c r="B2" s="1" t="inlineStr">
        <is>
          <t>Maximum Loading - % de saturacion respecto al limite teorico</t>
        </is>
      </c>
    </row>
    <row r="3">
      <c r="B3" s="2" t="inlineStr">
        <is>
          <t>Escribe (celdas amarillas) el ppm cargado real de cada elemento en la fase organica (mg/L organico)</t>
        </is>
      </c>
    </row>
    <row r="5">
      <c r="B5" s="6" t="inlineStr">
        <is>
          <t>#</t>
        </is>
      </c>
      <c r="C5" s="6" t="inlineStr">
        <is>
          <t>Elemento</t>
        </is>
      </c>
      <c r="D5" s="6" t="inlineStr">
        <is>
          <t>Simbolo</t>
        </is>
      </c>
      <c r="E5" s="6" t="inlineStr">
        <is>
          <t>PA (g/mol)</t>
        </is>
      </c>
      <c r="F5" s="6" t="inlineStr">
        <is>
          <t>n (aminas/metal)</t>
        </is>
      </c>
      <c r="G5" s="6" t="inlineStr">
        <is>
          <t>ppm cargado real (mg/L org)</t>
        </is>
      </c>
      <c r="H5" s="6" t="inlineStr">
        <is>
          <t>Concentracion (mol/L org)</t>
        </is>
      </c>
      <c r="I5" s="6" t="inlineStr">
        <is>
          <t>Equivalentes consumidos (eq/L)</t>
        </is>
      </c>
      <c r="J5" s="6" t="inlineStr">
        <is>
          <t>Maximo teorico individual (ppm, en solitario)</t>
        </is>
      </c>
      <c r="K5" s="6" t="inlineStr">
        <is>
          <t>% Saturacion individual</t>
        </is>
      </c>
      <c r="L5" s="6" t="inlineStr">
        <is>
          <t>Estado</t>
        </is>
      </c>
    </row>
    <row r="6">
      <c r="B6" s="7" t="n">
        <v>1</v>
      </c>
      <c r="C6" s="7" t="inlineStr">
        <is>
          <t>Aluminio</t>
        </is>
      </c>
      <c r="D6" s="7" t="inlineStr">
        <is>
          <t>Al</t>
        </is>
      </c>
      <c r="E6" s="7">
        <f>Estequiometria!$E$5</f>
        <v/>
      </c>
      <c r="F6" s="7">
        <f>Estequiometria!$H$5</f>
        <v/>
      </c>
      <c r="G6" s="4" t="n">
        <v>850</v>
      </c>
      <c r="H6" s="7">
        <f>(G6/1000)/E6</f>
        <v/>
      </c>
      <c r="I6" s="7">
        <f>H6*F6</f>
        <v/>
      </c>
      <c r="J6" s="7">
        <f>(Inputs!$D$15/F6)*E6*1000</f>
        <v/>
      </c>
      <c r="K6" s="8">
        <f>G6/J6</f>
        <v/>
      </c>
      <c r="L6" s="7">
        <f>IF(K6&gt;=1,"SOBRE LIMITE",IF(K6&gt;=0.85,"CRITICO",IF(K6&gt;=0.6,"ALERTA","OK")))</f>
        <v/>
      </c>
    </row>
    <row r="7">
      <c r="B7" s="7" t="n">
        <v>2</v>
      </c>
      <c r="C7" s="7" t="inlineStr">
        <is>
          <t>Escandio</t>
        </is>
      </c>
      <c r="D7" s="7" t="inlineStr">
        <is>
          <t>Sc</t>
        </is>
      </c>
      <c r="E7" s="7">
        <f>Estequiometria!$E$6</f>
        <v/>
      </c>
      <c r="F7" s="7">
        <f>Estequiometria!$H$6</f>
        <v/>
      </c>
      <c r="G7" s="4" t="n">
        <v>45</v>
      </c>
      <c r="H7" s="7">
        <f>(G7/1000)/E7</f>
        <v/>
      </c>
      <c r="I7" s="7">
        <f>H7*F7</f>
        <v/>
      </c>
      <c r="J7" s="7">
        <f>(Inputs!$D$15/F7)*E7*1000</f>
        <v/>
      </c>
      <c r="K7" s="8">
        <f>G7/J7</f>
        <v/>
      </c>
      <c r="L7" s="7">
        <f>IF(K7&gt;=1,"SOBRE LIMITE",IF(K7&gt;=0.85,"CRITICO",IF(K7&gt;=0.6,"ALERTA","OK")))</f>
        <v/>
      </c>
    </row>
    <row r="8">
      <c r="B8" s="7" t="n">
        <v>3</v>
      </c>
      <c r="C8" s="7" t="inlineStr">
        <is>
          <t>Hierro</t>
        </is>
      </c>
      <c r="D8" s="7" t="inlineStr">
        <is>
          <t>Fe</t>
        </is>
      </c>
      <c r="E8" s="7">
        <f>Estequiometria!$E$7</f>
        <v/>
      </c>
      <c r="F8" s="7">
        <f>Estequiometria!$H$7</f>
        <v/>
      </c>
      <c r="G8" s="4" t="n">
        <v>120</v>
      </c>
      <c r="H8" s="7">
        <f>(G8/1000)/E8</f>
        <v/>
      </c>
      <c r="I8" s="7">
        <f>H8*F8</f>
        <v/>
      </c>
      <c r="J8" s="7">
        <f>(Inputs!$D$15/F8)*E8*1000</f>
        <v/>
      </c>
      <c r="K8" s="8">
        <f>G8/J8</f>
        <v/>
      </c>
      <c r="L8" s="7">
        <f>IF(K8&gt;=1,"SOBRE LIMITE",IF(K8&gt;=0.85,"CRITICO",IF(K8&gt;=0.6,"ALERTA","OK")))</f>
        <v/>
      </c>
    </row>
    <row r="9">
      <c r="B9" s="7" t="n">
        <v>4</v>
      </c>
      <c r="C9" s="7" t="inlineStr">
        <is>
          <t>Cobalto</t>
        </is>
      </c>
      <c r="D9" s="7" t="inlineStr">
        <is>
          <t>Co</t>
        </is>
      </c>
      <c r="E9" s="7">
        <f>Estequiometria!$E$8</f>
        <v/>
      </c>
      <c r="F9" s="7">
        <f>Estequiometria!$H$8</f>
        <v/>
      </c>
      <c r="G9" s="4" t="n">
        <v>15</v>
      </c>
      <c r="H9" s="7">
        <f>(G9/1000)/E9</f>
        <v/>
      </c>
      <c r="I9" s="7">
        <f>H9*F9</f>
        <v/>
      </c>
      <c r="J9" s="7">
        <f>(Inputs!$D$15/F9)*E9*1000</f>
        <v/>
      </c>
      <c r="K9" s="8">
        <f>G9/J9</f>
        <v/>
      </c>
      <c r="L9" s="7">
        <f>IF(K9&gt;=1,"SOBRE LIMITE",IF(K9&gt;=0.85,"CRITICO",IF(K9&gt;=0.6,"ALERTA","OK")))</f>
        <v/>
      </c>
    </row>
    <row r="10">
      <c r="B10" s="7" t="n">
        <v>5</v>
      </c>
      <c r="C10" s="7" t="inlineStr">
        <is>
          <t>Zinc</t>
        </is>
      </c>
      <c r="D10" s="7" t="inlineStr">
        <is>
          <t>Zn</t>
        </is>
      </c>
      <c r="E10" s="7">
        <f>Estequiometria!$E$9</f>
        <v/>
      </c>
      <c r="F10" s="7">
        <f>Estequiometria!$H$9</f>
        <v/>
      </c>
      <c r="G10" s="4" t="n">
        <v>30</v>
      </c>
      <c r="H10" s="7">
        <f>(G10/1000)/E10</f>
        <v/>
      </c>
      <c r="I10" s="7">
        <f>H10*F10</f>
        <v/>
      </c>
      <c r="J10" s="7">
        <f>(Inputs!$D$15/F10)*E10*1000</f>
        <v/>
      </c>
      <c r="K10" s="8">
        <f>G10/J10</f>
        <v/>
      </c>
      <c r="L10" s="7">
        <f>IF(K10&gt;=1,"SOBRE LIMITE",IF(K10&gt;=0.85,"CRITICO",IF(K10&gt;=0.6,"ALERTA","OK")))</f>
        <v/>
      </c>
    </row>
    <row r="11">
      <c r="B11" s="7" t="n">
        <v>6</v>
      </c>
      <c r="C11" s="7" t="inlineStr">
        <is>
          <t>Galio</t>
        </is>
      </c>
      <c r="D11" s="7" t="inlineStr">
        <is>
          <t>Ga</t>
        </is>
      </c>
      <c r="E11" s="7">
        <f>Estequiometria!$E$10</f>
        <v/>
      </c>
      <c r="F11" s="7">
        <f>Estequiometria!$H$10</f>
        <v/>
      </c>
      <c r="G11" s="4" t="n">
        <v>8</v>
      </c>
      <c r="H11" s="7">
        <f>(G11/1000)/E11</f>
        <v/>
      </c>
      <c r="I11" s="7">
        <f>H11*F11</f>
        <v/>
      </c>
      <c r="J11" s="7">
        <f>(Inputs!$D$15/F11)*E11*1000</f>
        <v/>
      </c>
      <c r="K11" s="8">
        <f>G11/J11</f>
        <v/>
      </c>
      <c r="L11" s="7">
        <f>IF(K11&gt;=1,"SOBRE LIMITE",IF(K11&gt;=0.85,"CRITICO",IF(K11&gt;=0.6,"ALERTA","OK")))</f>
        <v/>
      </c>
    </row>
    <row r="12">
      <c r="B12" s="7" t="n">
        <v>7</v>
      </c>
      <c r="C12" s="7" t="inlineStr">
        <is>
          <t>Rubidio</t>
        </is>
      </c>
      <c r="D12" s="7" t="inlineStr">
        <is>
          <t>Rb</t>
        </is>
      </c>
      <c r="E12" s="7">
        <f>Estequiometria!$E$11</f>
        <v/>
      </c>
      <c r="F12" s="7">
        <f>Estequiometria!$H$11</f>
        <v/>
      </c>
      <c r="G12" s="4" t="n">
        <v>2</v>
      </c>
      <c r="H12" s="7">
        <f>(G12/1000)/E12</f>
        <v/>
      </c>
      <c r="I12" s="7">
        <f>H12*F12</f>
        <v/>
      </c>
      <c r="J12" s="7">
        <f>(Inputs!$D$15/F12)*E12*1000</f>
        <v/>
      </c>
      <c r="K12" s="8">
        <f>G12/J12</f>
        <v/>
      </c>
      <c r="L12" s="7">
        <f>IF(K12&gt;=1,"SOBRE LIMITE",IF(K12&gt;=0.85,"CRITICO",IF(K12&gt;=0.6,"ALERTA","OK")))</f>
        <v/>
      </c>
    </row>
    <row r="13">
      <c r="B13" s="7" t="n">
        <v>8</v>
      </c>
      <c r="C13" s="7" t="inlineStr">
        <is>
          <t>Itrio</t>
        </is>
      </c>
      <c r="D13" s="7" t="inlineStr">
        <is>
          <t>Y</t>
        </is>
      </c>
      <c r="E13" s="7">
        <f>Estequiometria!$E$12</f>
        <v/>
      </c>
      <c r="F13" s="7">
        <f>Estequiometria!$H$12</f>
        <v/>
      </c>
      <c r="G13" s="4" t="n">
        <v>60</v>
      </c>
      <c r="H13" s="7">
        <f>(G13/1000)/E13</f>
        <v/>
      </c>
      <c r="I13" s="7">
        <f>H13*F13</f>
        <v/>
      </c>
      <c r="J13" s="7">
        <f>(Inputs!$D$15/F13)*E13*1000</f>
        <v/>
      </c>
      <c r="K13" s="8">
        <f>G13/J13</f>
        <v/>
      </c>
      <c r="L13" s="7">
        <f>IF(K13&gt;=1,"SOBRE LIMITE",IF(K13&gt;=0.85,"CRITICO",IF(K13&gt;=0.6,"ALERTA","OK")))</f>
        <v/>
      </c>
    </row>
    <row r="14">
      <c r="B14" s="7" t="n">
        <v>9</v>
      </c>
      <c r="C14" s="7" t="inlineStr">
        <is>
          <t>Zirconio</t>
        </is>
      </c>
      <c r="D14" s="7" t="inlineStr">
        <is>
          <t>Zr</t>
        </is>
      </c>
      <c r="E14" s="7">
        <f>Estequiometria!$E$13</f>
        <v/>
      </c>
      <c r="F14" s="7">
        <f>Estequiometria!$H$13</f>
        <v/>
      </c>
      <c r="G14" s="4" t="n">
        <v>25</v>
      </c>
      <c r="H14" s="7">
        <f>(G14/1000)/E14</f>
        <v/>
      </c>
      <c r="I14" s="7">
        <f>H14*F14</f>
        <v/>
      </c>
      <c r="J14" s="7">
        <f>(Inputs!$D$15/F14)*E14*1000</f>
        <v/>
      </c>
      <c r="K14" s="8">
        <f>G14/J14</f>
        <v/>
      </c>
      <c r="L14" s="7">
        <f>IF(K14&gt;=1,"SOBRE LIMITE",IF(K14&gt;=0.85,"CRITICO",IF(K14&gt;=0.6,"ALERTA","OK")))</f>
        <v/>
      </c>
    </row>
    <row r="15">
      <c r="B15" s="7" t="n">
        <v>10</v>
      </c>
      <c r="C15" s="7" t="inlineStr">
        <is>
          <t>Lantano</t>
        </is>
      </c>
      <c r="D15" s="7" t="inlineStr">
        <is>
          <t>La</t>
        </is>
      </c>
      <c r="E15" s="7">
        <f>Estequiometria!$E$14</f>
        <v/>
      </c>
      <c r="F15" s="7">
        <f>Estequiometria!$H$14</f>
        <v/>
      </c>
      <c r="G15" s="4" t="n">
        <v>300</v>
      </c>
      <c r="H15" s="7">
        <f>(G15/1000)/E15</f>
        <v/>
      </c>
      <c r="I15" s="7">
        <f>H15*F15</f>
        <v/>
      </c>
      <c r="J15" s="7">
        <f>(Inputs!$D$15/F15)*E15*1000</f>
        <v/>
      </c>
      <c r="K15" s="8">
        <f>G15/J15</f>
        <v/>
      </c>
      <c r="L15" s="7">
        <f>IF(K15&gt;=1,"SOBRE LIMITE",IF(K15&gt;=0.85,"CRITICO",IF(K15&gt;=0.6,"ALERTA","OK")))</f>
        <v/>
      </c>
    </row>
    <row r="16">
      <c r="B16" s="7" t="n">
        <v>11</v>
      </c>
      <c r="C16" s="7" t="inlineStr">
        <is>
          <t>Cerio</t>
        </is>
      </c>
      <c r="D16" s="7" t="inlineStr">
        <is>
          <t>Ce</t>
        </is>
      </c>
      <c r="E16" s="7">
        <f>Estequiometria!$E$15</f>
        <v/>
      </c>
      <c r="F16" s="7">
        <f>Estequiometria!$H$15</f>
        <v/>
      </c>
      <c r="G16" s="4" t="n">
        <v>550</v>
      </c>
      <c r="H16" s="7">
        <f>(G16/1000)/E16</f>
        <v/>
      </c>
      <c r="I16" s="7">
        <f>H16*F16</f>
        <v/>
      </c>
      <c r="J16" s="7">
        <f>(Inputs!$D$15/F16)*E16*1000</f>
        <v/>
      </c>
      <c r="K16" s="8">
        <f>G16/J16</f>
        <v/>
      </c>
      <c r="L16" s="7">
        <f>IF(K16&gt;=1,"SOBRE LIMITE",IF(K16&gt;=0.85,"CRITICO",IF(K16&gt;=0.6,"ALERTA","OK")))</f>
        <v/>
      </c>
    </row>
    <row r="17">
      <c r="B17" s="7" t="n">
        <v>12</v>
      </c>
      <c r="C17" s="7" t="inlineStr">
        <is>
          <t>Praseodimio</t>
        </is>
      </c>
      <c r="D17" s="7" t="inlineStr">
        <is>
          <t>Pr</t>
        </is>
      </c>
      <c r="E17" s="7">
        <f>Estequiometria!$E$16</f>
        <v/>
      </c>
      <c r="F17" s="7">
        <f>Estequiometria!$H$16</f>
        <v/>
      </c>
      <c r="G17" s="4" t="n">
        <v>70</v>
      </c>
      <c r="H17" s="7">
        <f>(G17/1000)/E17</f>
        <v/>
      </c>
      <c r="I17" s="7">
        <f>H17*F17</f>
        <v/>
      </c>
      <c r="J17" s="7">
        <f>(Inputs!$D$15/F17)*E17*1000</f>
        <v/>
      </c>
      <c r="K17" s="8">
        <f>G17/J17</f>
        <v/>
      </c>
      <c r="L17" s="7">
        <f>IF(K17&gt;=1,"SOBRE LIMITE",IF(K17&gt;=0.85,"CRITICO",IF(K17&gt;=0.6,"ALERTA","OK")))</f>
        <v/>
      </c>
    </row>
    <row r="18">
      <c r="B18" s="7" t="n">
        <v>13</v>
      </c>
      <c r="C18" s="7" t="inlineStr">
        <is>
          <t>Neodimio</t>
        </is>
      </c>
      <c r="D18" s="7" t="inlineStr">
        <is>
          <t>Nd</t>
        </is>
      </c>
      <c r="E18" s="7">
        <f>Estequiometria!$E$17</f>
        <v/>
      </c>
      <c r="F18" s="7">
        <f>Estequiometria!$H$17</f>
        <v/>
      </c>
      <c r="G18" s="4" t="n">
        <v>240</v>
      </c>
      <c r="H18" s="7">
        <f>(G18/1000)/E18</f>
        <v/>
      </c>
      <c r="I18" s="7">
        <f>H18*F18</f>
        <v/>
      </c>
      <c r="J18" s="7">
        <f>(Inputs!$D$15/F18)*E18*1000</f>
        <v/>
      </c>
      <c r="K18" s="8">
        <f>G18/J18</f>
        <v/>
      </c>
      <c r="L18" s="7">
        <f>IF(K18&gt;=1,"SOBRE LIMITE",IF(K18&gt;=0.85,"CRITICO",IF(K18&gt;=0.6,"ALERTA","OK")))</f>
        <v/>
      </c>
    </row>
    <row r="19">
      <c r="B19" s="7" t="n">
        <v>14</v>
      </c>
      <c r="C19" s="7" t="inlineStr">
        <is>
          <t>Samario</t>
        </is>
      </c>
      <c r="D19" s="7" t="inlineStr">
        <is>
          <t>Sm</t>
        </is>
      </c>
      <c r="E19" s="7">
        <f>Estequiometria!$E$18</f>
        <v/>
      </c>
      <c r="F19" s="7">
        <f>Estequiometria!$H$18</f>
        <v/>
      </c>
      <c r="G19" s="4" t="n">
        <v>40</v>
      </c>
      <c r="H19" s="7">
        <f>(G19/1000)/E19</f>
        <v/>
      </c>
      <c r="I19" s="7">
        <f>H19*F19</f>
        <v/>
      </c>
      <c r="J19" s="7">
        <f>(Inputs!$D$15/F19)*E19*1000</f>
        <v/>
      </c>
      <c r="K19" s="8">
        <f>G19/J19</f>
        <v/>
      </c>
      <c r="L19" s="7">
        <f>IF(K19&gt;=1,"SOBRE LIMITE",IF(K19&gt;=0.85,"CRITICO",IF(K19&gt;=0.6,"ALERTA","OK")))</f>
        <v/>
      </c>
    </row>
    <row r="20">
      <c r="B20" s="7" t="n">
        <v>15</v>
      </c>
      <c r="C20" s="7" t="inlineStr">
        <is>
          <t>Europio</t>
        </is>
      </c>
      <c r="D20" s="7" t="inlineStr">
        <is>
          <t>Eu</t>
        </is>
      </c>
      <c r="E20" s="7">
        <f>Estequiometria!$E$19</f>
        <v/>
      </c>
      <c r="F20" s="7">
        <f>Estequiometria!$H$19</f>
        <v/>
      </c>
      <c r="G20" s="4" t="n">
        <v>8</v>
      </c>
      <c r="H20" s="7">
        <f>(G20/1000)/E20</f>
        <v/>
      </c>
      <c r="I20" s="7">
        <f>H20*F20</f>
        <v/>
      </c>
      <c r="J20" s="7">
        <f>(Inputs!$D$15/F20)*E20*1000</f>
        <v/>
      </c>
      <c r="K20" s="8">
        <f>G20/J20</f>
        <v/>
      </c>
      <c r="L20" s="7">
        <f>IF(K20&gt;=1,"SOBRE LIMITE",IF(K20&gt;=0.85,"CRITICO",IF(K20&gt;=0.6,"ALERTA","OK")))</f>
        <v/>
      </c>
    </row>
    <row r="21">
      <c r="B21" s="7" t="n">
        <v>16</v>
      </c>
      <c r="C21" s="7" t="inlineStr">
        <is>
          <t>Gadolinio</t>
        </is>
      </c>
      <c r="D21" s="7" t="inlineStr">
        <is>
          <t>Gd</t>
        </is>
      </c>
      <c r="E21" s="7">
        <f>Estequiometria!$E$20</f>
        <v/>
      </c>
      <c r="F21" s="7">
        <f>Estequiometria!$H$20</f>
        <v/>
      </c>
      <c r="G21" s="4" t="n">
        <v>35</v>
      </c>
      <c r="H21" s="7">
        <f>(G21/1000)/E21</f>
        <v/>
      </c>
      <c r="I21" s="7">
        <f>H21*F21</f>
        <v/>
      </c>
      <c r="J21" s="7">
        <f>(Inputs!$D$15/F21)*E21*1000</f>
        <v/>
      </c>
      <c r="K21" s="8">
        <f>G21/J21</f>
        <v/>
      </c>
      <c r="L21" s="7">
        <f>IF(K21&gt;=1,"SOBRE LIMITE",IF(K21&gt;=0.85,"CRITICO",IF(K21&gt;=0.6,"ALERTA","OK")))</f>
        <v/>
      </c>
    </row>
    <row r="22">
      <c r="B22" s="7" t="n">
        <v>17</v>
      </c>
      <c r="C22" s="7" t="inlineStr">
        <is>
          <t>Terbio</t>
        </is>
      </c>
      <c r="D22" s="7" t="inlineStr">
        <is>
          <t>Tb</t>
        </is>
      </c>
      <c r="E22" s="7">
        <f>Estequiometria!$E$21</f>
        <v/>
      </c>
      <c r="F22" s="7">
        <f>Estequiometria!$H$21</f>
        <v/>
      </c>
      <c r="G22" s="4" t="n">
        <v>5</v>
      </c>
      <c r="H22" s="7">
        <f>(G22/1000)/E22</f>
        <v/>
      </c>
      <c r="I22" s="7">
        <f>H22*F22</f>
        <v/>
      </c>
      <c r="J22" s="7">
        <f>(Inputs!$D$15/F22)*E22*1000</f>
        <v/>
      </c>
      <c r="K22" s="8">
        <f>G22/J22</f>
        <v/>
      </c>
      <c r="L22" s="7">
        <f>IF(K22&gt;=1,"SOBRE LIMITE",IF(K22&gt;=0.85,"CRITICO",IF(K22&gt;=0.6,"ALERTA","OK")))</f>
        <v/>
      </c>
    </row>
    <row r="23">
      <c r="B23" s="7" t="n">
        <v>18</v>
      </c>
      <c r="C23" s="7" t="inlineStr">
        <is>
          <t>Disprosio</t>
        </is>
      </c>
      <c r="D23" s="7" t="inlineStr">
        <is>
          <t>Dy</t>
        </is>
      </c>
      <c r="E23" s="7">
        <f>Estequiometria!$E$22</f>
        <v/>
      </c>
      <c r="F23" s="7">
        <f>Estequiometria!$H$22</f>
        <v/>
      </c>
      <c r="G23" s="4" t="n">
        <v>20</v>
      </c>
      <c r="H23" s="7">
        <f>(G23/1000)/E23</f>
        <v/>
      </c>
      <c r="I23" s="7">
        <f>H23*F23</f>
        <v/>
      </c>
      <c r="J23" s="7">
        <f>(Inputs!$D$15/F23)*E23*1000</f>
        <v/>
      </c>
      <c r="K23" s="8">
        <f>G23/J23</f>
        <v/>
      </c>
      <c r="L23" s="7">
        <f>IF(K23&gt;=1,"SOBRE LIMITE",IF(K23&gt;=0.85,"CRITICO",IF(K23&gt;=0.6,"ALERTA","OK")))</f>
        <v/>
      </c>
    </row>
    <row r="24">
      <c r="B24" s="7" t="n">
        <v>19</v>
      </c>
      <c r="C24" s="7" t="inlineStr">
        <is>
          <t>Holmio</t>
        </is>
      </c>
      <c r="D24" s="7" t="inlineStr">
        <is>
          <t>Ho</t>
        </is>
      </c>
      <c r="E24" s="7">
        <f>Estequiometria!$E$23</f>
        <v/>
      </c>
      <c r="F24" s="7">
        <f>Estequiometria!$H$23</f>
        <v/>
      </c>
      <c r="G24" s="4" t="n">
        <v>4</v>
      </c>
      <c r="H24" s="7">
        <f>(G24/1000)/E24</f>
        <v/>
      </c>
      <c r="I24" s="7">
        <f>H24*F24</f>
        <v/>
      </c>
      <c r="J24" s="7">
        <f>(Inputs!$D$15/F24)*E24*1000</f>
        <v/>
      </c>
      <c r="K24" s="8">
        <f>G24/J24</f>
        <v/>
      </c>
      <c r="L24" s="7">
        <f>IF(K24&gt;=1,"SOBRE LIMITE",IF(K24&gt;=0.85,"CRITICO",IF(K24&gt;=0.6,"ALERTA","OK")))</f>
        <v/>
      </c>
    </row>
    <row r="25">
      <c r="B25" s="7" t="n">
        <v>20</v>
      </c>
      <c r="C25" s="7" t="inlineStr">
        <is>
          <t>Erbio</t>
        </is>
      </c>
      <c r="D25" s="7" t="inlineStr">
        <is>
          <t>Er</t>
        </is>
      </c>
      <c r="E25" s="7">
        <f>Estequiometria!$E$24</f>
        <v/>
      </c>
      <c r="F25" s="7">
        <f>Estequiometria!$H$24</f>
        <v/>
      </c>
      <c r="G25" s="4" t="n">
        <v>10</v>
      </c>
      <c r="H25" s="7">
        <f>(G25/1000)/E25</f>
        <v/>
      </c>
      <c r="I25" s="7">
        <f>H25*F25</f>
        <v/>
      </c>
      <c r="J25" s="7">
        <f>(Inputs!$D$15/F25)*E25*1000</f>
        <v/>
      </c>
      <c r="K25" s="8">
        <f>G25/J25</f>
        <v/>
      </c>
      <c r="L25" s="7">
        <f>IF(K25&gt;=1,"SOBRE LIMITE",IF(K25&gt;=0.85,"CRITICO",IF(K25&gt;=0.6,"ALERTA","OK")))</f>
        <v/>
      </c>
    </row>
    <row r="26">
      <c r="B26" s="7" t="n">
        <v>21</v>
      </c>
      <c r="C26" s="7" t="inlineStr">
        <is>
          <t>Tulio</t>
        </is>
      </c>
      <c r="D26" s="7" t="inlineStr">
        <is>
          <t>Tm</t>
        </is>
      </c>
      <c r="E26" s="7">
        <f>Estequiometria!$E$25</f>
        <v/>
      </c>
      <c r="F26" s="7">
        <f>Estequiometria!$H$25</f>
        <v/>
      </c>
      <c r="G26" s="4" t="n">
        <v>1.5</v>
      </c>
      <c r="H26" s="7">
        <f>(G26/1000)/E26</f>
        <v/>
      </c>
      <c r="I26" s="7">
        <f>H26*F26</f>
        <v/>
      </c>
      <c r="J26" s="7">
        <f>(Inputs!$D$15/F26)*E26*1000</f>
        <v/>
      </c>
      <c r="K26" s="8">
        <f>G26/J26</f>
        <v/>
      </c>
      <c r="L26" s="7">
        <f>IF(K26&gt;=1,"SOBRE LIMITE",IF(K26&gt;=0.85,"CRITICO",IF(K26&gt;=0.6,"ALERTA","OK")))</f>
        <v/>
      </c>
    </row>
    <row r="27">
      <c r="B27" s="7" t="n">
        <v>22</v>
      </c>
      <c r="C27" s="7" t="inlineStr">
        <is>
          <t>Iterbio</t>
        </is>
      </c>
      <c r="D27" s="7" t="inlineStr">
        <is>
          <t>Yb</t>
        </is>
      </c>
      <c r="E27" s="7">
        <f>Estequiometria!$E$26</f>
        <v/>
      </c>
      <c r="F27" s="7">
        <f>Estequiometria!$H$26</f>
        <v/>
      </c>
      <c r="G27" s="4" t="n">
        <v>9</v>
      </c>
      <c r="H27" s="7">
        <f>(G27/1000)/E27</f>
        <v/>
      </c>
      <c r="I27" s="7">
        <f>H27*F27</f>
        <v/>
      </c>
      <c r="J27" s="7">
        <f>(Inputs!$D$15/F27)*E27*1000</f>
        <v/>
      </c>
      <c r="K27" s="8">
        <f>G27/J27</f>
        <v/>
      </c>
      <c r="L27" s="7">
        <f>IF(K27&gt;=1,"SOBRE LIMITE",IF(K27&gt;=0.85,"CRITICO",IF(K27&gt;=0.6,"ALERTA","OK")))</f>
        <v/>
      </c>
    </row>
    <row r="28">
      <c r="B28" s="7" t="n">
        <v>23</v>
      </c>
      <c r="C28" s="7" t="inlineStr">
        <is>
          <t>Lutecio</t>
        </is>
      </c>
      <c r="D28" s="7" t="inlineStr">
        <is>
          <t>Lu</t>
        </is>
      </c>
      <c r="E28" s="7">
        <f>Estequiometria!$E$27</f>
        <v/>
      </c>
      <c r="F28" s="7">
        <f>Estequiometria!$H$27</f>
        <v/>
      </c>
      <c r="G28" s="4" t="n">
        <v>1.2</v>
      </c>
      <c r="H28" s="7">
        <f>(G28/1000)/E28</f>
        <v/>
      </c>
      <c r="I28" s="7">
        <f>H28*F28</f>
        <v/>
      </c>
      <c r="J28" s="7">
        <f>(Inputs!$D$15/F28)*E28*1000</f>
        <v/>
      </c>
      <c r="K28" s="8">
        <f>G28/J28</f>
        <v/>
      </c>
      <c r="L28" s="7">
        <f>IF(K28&gt;=1,"SOBRE LIMITE",IF(K28&gt;=0.85,"CRITICO",IF(K28&gt;=0.6,"ALERTA","OK")))</f>
        <v/>
      </c>
    </row>
    <row r="29">
      <c r="B29" s="7" t="n">
        <v>24</v>
      </c>
      <c r="C29" s="7" t="inlineStr">
        <is>
          <t>Hafnio</t>
        </is>
      </c>
      <c r="D29" s="7" t="inlineStr">
        <is>
          <t>Hf</t>
        </is>
      </c>
      <c r="E29" s="7">
        <f>Estequiometria!$E$28</f>
        <v/>
      </c>
      <c r="F29" s="7">
        <f>Estequiometria!$H$28</f>
        <v/>
      </c>
      <c r="G29" s="4" t="n">
        <v>3</v>
      </c>
      <c r="H29" s="7">
        <f>(G29/1000)/E29</f>
        <v/>
      </c>
      <c r="I29" s="7">
        <f>H29*F29</f>
        <v/>
      </c>
      <c r="J29" s="7">
        <f>(Inputs!$D$15/F29)*E29*1000</f>
        <v/>
      </c>
      <c r="K29" s="8">
        <f>G29/J29</f>
        <v/>
      </c>
      <c r="L29" s="7">
        <f>IF(K29&gt;=1,"SOBRE LIMITE",IF(K29&gt;=0.85,"CRITICO",IF(K29&gt;=0.6,"ALERTA","OK")))</f>
        <v/>
      </c>
    </row>
    <row r="30">
      <c r="B30" s="7" t="n">
        <v>25</v>
      </c>
      <c r="C30" s="7" t="inlineStr">
        <is>
          <t>Torio</t>
        </is>
      </c>
      <c r="D30" s="7" t="inlineStr">
        <is>
          <t>Th</t>
        </is>
      </c>
      <c r="E30" s="7">
        <f>Estequiometria!$E$29</f>
        <v/>
      </c>
      <c r="F30" s="7">
        <f>Estequiometria!$H$29</f>
        <v/>
      </c>
      <c r="G30" s="4" t="n">
        <v>6</v>
      </c>
      <c r="H30" s="7">
        <f>(G30/1000)/E30</f>
        <v/>
      </c>
      <c r="I30" s="7">
        <f>H30*F30</f>
        <v/>
      </c>
      <c r="J30" s="7">
        <f>(Inputs!$D$15/F30)*E30*1000</f>
        <v/>
      </c>
      <c r="K30" s="8">
        <f>G30/J30</f>
        <v/>
      </c>
      <c r="L30" s="7">
        <f>IF(K30&gt;=1,"SOBRE LIMITE",IF(K30&gt;=0.85,"CRITICO",IF(K30&gt;=0.6,"ALERTA","OK")))</f>
        <v/>
      </c>
    </row>
    <row r="31">
      <c r="B31" s="7" t="n">
        <v>26</v>
      </c>
      <c r="C31" s="7" t="inlineStr">
        <is>
          <t>Uranio</t>
        </is>
      </c>
      <c r="D31" s="7" t="inlineStr">
        <is>
          <t>U</t>
        </is>
      </c>
      <c r="E31" s="7">
        <f>Estequiometria!$E$30</f>
        <v/>
      </c>
      <c r="F31" s="7">
        <f>Estequiometria!$H$30</f>
        <v/>
      </c>
      <c r="G31" s="4" t="n">
        <v>4</v>
      </c>
      <c r="H31" s="7">
        <f>(G31/1000)/E31</f>
        <v/>
      </c>
      <c r="I31" s="7">
        <f>H31*F31</f>
        <v/>
      </c>
      <c r="J31" s="7">
        <f>(Inputs!$D$15/F31)*E31*1000</f>
        <v/>
      </c>
      <c r="K31" s="8">
        <f>G31/J31</f>
        <v/>
      </c>
      <c r="L31" s="7">
        <f>IF(K31&gt;=1,"SOBRE LIMITE",IF(K31&gt;=0.85,"CRITICO",IF(K31&gt;=0.6,"ALERTA","OK")))</f>
        <v/>
      </c>
    </row>
    <row r="33">
      <c r="B33" s="7" t="n"/>
      <c r="C33" s="9" t="inlineStr">
        <is>
          <t>TOTAL (saturacion competitiva)</t>
        </is>
      </c>
      <c r="D33" s="7" t="n"/>
      <c r="E33" s="7" t="n"/>
      <c r="F33" s="7" t="n"/>
      <c r="G33" s="7" t="n"/>
      <c r="H33" s="7" t="n"/>
      <c r="I33" s="10">
        <f>SUM(I6:I31)</f>
        <v/>
      </c>
      <c r="J33" s="11">
        <f>Inputs!$D$15</f>
        <v/>
      </c>
      <c r="K33" s="12">
        <f>I33/J33</f>
        <v/>
      </c>
      <c r="L33" s="9">
        <f>IF(K33&gt;=1,"SOBRE LIMITE",IF(K33&gt;=0.85,"CRITICO",IF(K33&gt;=0.6,"ALERTA","OK")))</f>
        <v/>
      </c>
    </row>
    <row r="35">
      <c r="B35" s="2" t="inlineStr">
        <is>
          <t>Nota: 'Equivalentes consumidos' = mol/L cargado x n. 'Capacidad total' = mol/L Primene JMT activo (hoja Inputs).</t>
        </is>
      </c>
    </row>
    <row r="36">
      <c r="B36" s="2" t="inlineStr">
        <is>
          <t>El % de saturacion individual asume que TODA la capacidad esta disponible solo para ese elemento (techo teorico, no realista con co-extraccion).</t>
        </is>
      </c>
    </row>
    <row r="37">
      <c r="B37" s="2" t="inlineStr">
        <is>
          <t>El % de saturacion total (fila TOTAL) es el indicador real: suma los equivalentes de los 26 elementos cargados actualmente.</t>
        </is>
      </c>
    </row>
  </sheetData>
  <conditionalFormatting sqref="K6:K31">
    <cfRule type="colorScale" priority="1">
      <colorScale>
        <cfvo type="num" val="0"/>
        <cfvo type="num" val="0.7"/>
        <cfvo type="num" val="1"/>
        <color rgb="0063BE7B"/>
        <color rgb="00FFEB84"/>
        <color rgb="00F8696B"/>
      </colorScale>
    </cfRule>
  </conditionalFormatting>
  <conditionalFormatting sqref="K33">
    <cfRule type="colorScale" priority="1">
      <colorScale>
        <cfvo type="num" val="0"/>
        <cfvo type="num" val="0.7"/>
        <cfvo type="num" val="1"/>
        <color rgb="0063BE7B"/>
        <color rgb="00FFEB84"/>
        <color rgb="00F8696B"/>
      </colorScale>
    </cfRule>
  </conditionalFormatting>
  <conditionalFormatting sqref="L6:L31">
    <cfRule type="cellIs" priority="3" operator="equal" dxfId="0">
      <formula>"OK"</formula>
    </cfRule>
    <cfRule type="cellIs" priority="4" operator="equal" dxfId="1">
      <formula>"ALERTA"</formula>
    </cfRule>
    <cfRule type="cellIs" priority="5" operator="equal" dxfId="2">
      <formula>"CRITICO"</formula>
    </cfRule>
    <cfRule type="cellIs" priority="6" operator="equal" dxfId="3">
      <formula>"SOBRE LIMITE"</formula>
    </cfRule>
  </conditionalFormatting>
  <conditionalFormatting sqref="L33">
    <cfRule type="cellIs" priority="7" operator="equal" dxfId="0">
      <formula>"OK"</formula>
    </cfRule>
    <cfRule type="cellIs" priority="8" operator="equal" dxfId="1">
      <formula>"ALERTA"</formula>
    </cfRule>
    <cfRule type="cellIs" priority="9" operator="equal" dxfId="2">
      <formula>"CRITICO"</formula>
    </cfRule>
    <cfRule type="cellIs" priority="10" operator="equal" dxfId="3">
      <formula>"SOBRE LIMITE"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2026-07-06T03:56:25Z</dcterms:created>
  <dcterms:modified xsi:type="dcterms:W3CDTF">2026-07-06T03:56:25Z</dcterms:modified>
</cp:coreProperties>
</file>