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5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A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52"/>
  <sheetViews>
    <sheetView workbookViewId="0">
      <pane xSplit="2" ySplit="25" topLeftCell="C2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15" customWidth="1" min="3" max="3"/>
    <col width="20" customWidth="1" min="4" max="4"/>
    <col width="12" customWidth="1" min="5" max="5"/>
    <col width="22" customWidth="1" min="6" max="6"/>
    <col width="20" customWidth="1" min="7" max="7"/>
    <col width="14" customWidth="1" min="8" max="8"/>
    <col width="16" customWidth="1" min="9" max="9"/>
    <col width="20" customWidth="1" min="10" max="10"/>
    <col width="14" customWidth="1" min="11" max="11"/>
    <col width="12" customWidth="1" min="12" max="12"/>
    <col width="18" customWidth="1" min="13" max="13"/>
    <col width="22" customWidth="1" min="14" max="14"/>
    <col width="20" customWidth="1" min="15" max="15"/>
    <col width="14" customWidth="1" min="16" max="16"/>
    <col width="30" customWidth="1" min="17" max="17"/>
  </cols>
  <sheetData>
    <row r="2">
      <c r="B2" s="1" t="inlineStr">
        <is>
          <t>Primene JMT - Maximum Loading Calculator (sulfate media, reductive PLS: Fe2+ / Ce3+ / U(IV))</t>
        </is>
      </c>
    </row>
    <row r="4">
      <c r="B4" s="2" t="inlineStr">
        <is>
          <t>Organic Phase Inputs</t>
        </is>
      </c>
    </row>
    <row r="5">
      <c r="B5" s="2" t="inlineStr">
        <is>
          <t>Extractant</t>
        </is>
      </c>
      <c r="D5" s="3" t="inlineStr">
        <is>
          <t>Primene JMT</t>
        </is>
      </c>
    </row>
    <row r="6">
      <c r="B6" s="2" t="inlineStr">
        <is>
          <t>Diluent</t>
        </is>
      </c>
      <c r="D6" s="3" t="inlineStr">
        <is>
          <t>ORFOM</t>
        </is>
      </c>
    </row>
    <row r="7">
      <c r="B7" s="2" t="inlineStr">
        <is>
          <t>% v/v Primene JMT</t>
        </is>
      </c>
      <c r="D7" s="3" t="n">
        <v>10</v>
      </c>
    </row>
    <row r="8">
      <c r="B8" s="2" t="inlineStr">
        <is>
          <t>% v/v ORFOM diluent</t>
        </is>
      </c>
      <c r="D8" s="3" t="n">
        <v>90</v>
      </c>
    </row>
    <row r="9">
      <c r="B9" s="2" t="inlineStr">
        <is>
          <t>Primene JMT density (g/mL)</t>
        </is>
      </c>
      <c r="D9" s="3" t="n">
        <v>0.86</v>
      </c>
    </row>
    <row r="10">
      <c r="B10" s="2" t="inlineStr">
        <is>
          <t>Primene JMT MW (g/mol)</t>
        </is>
      </c>
      <c r="D10" s="3" t="n">
        <v>185</v>
      </c>
    </row>
    <row r="11">
      <c r="B11" s="2" t="inlineStr">
        <is>
          <t>Free H2SO4 - Feed (g/L)</t>
        </is>
      </c>
      <c r="D11" s="3" t="n">
        <v>20</v>
      </c>
    </row>
    <row r="12">
      <c r="B12" s="2" t="inlineStr">
        <is>
          <t>Free H2SO4 - Raffinate (g/L)</t>
        </is>
      </c>
      <c r="D12" s="3" t="n">
        <v>5</v>
      </c>
    </row>
    <row r="14">
      <c r="B14" s="2" t="inlineStr">
        <is>
          <t>Active amine concentration (mol/L organic)</t>
        </is>
      </c>
      <c r="D14" s="4">
        <f>(D7/100)*D9*1000/D10</f>
        <v/>
      </c>
    </row>
    <row r="15">
      <c r="B15" s="2" t="inlineStr">
        <is>
          <t>Total amine capacity (eq/L)</t>
        </is>
      </c>
      <c r="D15" s="4">
        <f>D14</f>
        <v/>
      </c>
    </row>
    <row r="17">
      <c r="B17" s="2" t="inlineStr">
        <is>
          <t>Flow Data (organic flow scenario)</t>
        </is>
      </c>
    </row>
    <row r="18">
      <c r="B18" s="2" t="inlineStr">
        <is>
          <t>PLS flow, Qpls (any consistent flow unit)</t>
        </is>
      </c>
      <c r="D18" s="3" t="n">
        <v>100</v>
      </c>
    </row>
    <row r="19">
      <c r="B19" s="2" t="inlineStr">
        <is>
          <t>Organic flow - current, Qorg (same unit)</t>
        </is>
      </c>
      <c r="D19" s="3" t="n">
        <v>10</v>
      </c>
    </row>
    <row r="20">
      <c r="B20" s="2" t="inlineStr">
        <is>
          <t>Organic flow - new/test scenario, Qorg_new (same unit)</t>
        </is>
      </c>
      <c r="D20" s="3" t="n">
        <v>8</v>
      </c>
    </row>
    <row r="21">
      <c r="B21" s="2" t="inlineStr">
        <is>
          <t>O:A ratio - current</t>
        </is>
      </c>
      <c r="D21" s="4">
        <f>D19/D18</f>
        <v/>
      </c>
    </row>
    <row r="22">
      <c r="B22" s="2" t="inlineStr">
        <is>
          <t>O:A ratio - new/test scenario</t>
        </is>
      </c>
      <c r="D22" s="4">
        <f>D20/D18</f>
        <v/>
      </c>
    </row>
    <row r="24">
      <c r="B24" s="2" t="inlineStr">
        <is>
          <t>Element Loading Table</t>
        </is>
      </c>
    </row>
    <row r="25">
      <c r="B25" s="5" t="inlineStr">
        <is>
          <t>#</t>
        </is>
      </c>
      <c r="C25" s="5" t="inlineStr">
        <is>
          <t>Element</t>
        </is>
      </c>
      <c r="D25" s="5" t="inlineStr">
        <is>
          <t>Symbol</t>
        </is>
      </c>
      <c r="E25" s="5" t="inlineStr">
        <is>
          <t>Atomic Weight (g/mol)</t>
        </is>
      </c>
      <c r="F25" s="5" t="inlineStr">
        <is>
          <t>Valence (n, amine/metal)</t>
        </is>
      </c>
      <c r="G25" s="5" t="inlineStr">
        <is>
          <t>Loaded ppm (mg/L organic)</t>
        </is>
      </c>
      <c r="H25" s="5" t="inlineStr">
        <is>
          <t>Concentration (mol/L)</t>
        </is>
      </c>
      <c r="I25" s="5" t="inlineStr">
        <is>
          <t>Equivalents Consumed (eq/L)</t>
        </is>
      </c>
      <c r="J25" s="5" t="inlineStr">
        <is>
          <t>Individual Theoretical Max (ppm)</t>
        </is>
      </c>
      <c r="K25" s="5" t="inlineStr">
        <is>
          <t>% Individual Saturation</t>
        </is>
      </c>
      <c r="L25" s="5" t="inlineStr">
        <is>
          <t>Status</t>
        </is>
      </c>
      <c r="M25" s="5" t="inlineStr">
        <is>
          <t>Predicted ppm @ New Qorg</t>
        </is>
      </c>
      <c r="N25" s="5" t="inlineStr">
        <is>
          <t>Predicted Equivalents Consumed (eq/L)</t>
        </is>
      </c>
      <c r="O25" s="5" t="inlineStr">
        <is>
          <t>Predicted % Individual Saturation</t>
        </is>
      </c>
      <c r="P25" s="5" t="inlineStr">
        <is>
          <t>Predicted Status</t>
        </is>
      </c>
      <c r="Q25" s="5" t="inlineStr">
        <is>
          <t>Within Model Validity?</t>
        </is>
      </c>
    </row>
    <row r="26">
      <c r="B26" s="6" t="n">
        <v>1</v>
      </c>
      <c r="C26" s="6" t="inlineStr">
        <is>
          <t>Aluminum</t>
        </is>
      </c>
      <c r="D26" s="6" t="inlineStr">
        <is>
          <t>Al</t>
        </is>
      </c>
      <c r="E26" s="6" t="n">
        <v>27</v>
      </c>
      <c r="F26" s="3" t="n">
        <v>3</v>
      </c>
      <c r="G26" s="3" t="n">
        <v>850</v>
      </c>
      <c r="H26" s="6">
        <f>(G26/1000)/E26</f>
        <v/>
      </c>
      <c r="I26" s="6">
        <f>H26*F26</f>
        <v/>
      </c>
      <c r="J26" s="6">
        <f>($D$15/F26)*E26*1000</f>
        <v/>
      </c>
      <c r="K26" s="7">
        <f>G26/J26</f>
        <v/>
      </c>
      <c r="L26" s="6">
        <f>IF(K26&gt;=1,"OVER LIMIT",IF(K26&gt;=0.85,"CRITICAL",IF(K26&gt;=0.6,"WARNING","OK")))</f>
        <v/>
      </c>
      <c r="M26" s="6">
        <f>G26*($D$19/$D$20)</f>
        <v/>
      </c>
      <c r="N26" s="6">
        <f>(M26/1000/E26)*F26</f>
        <v/>
      </c>
      <c r="O26" s="7">
        <f>M26/J26</f>
        <v/>
      </c>
      <c r="P26" s="6">
        <f>IF(O26&gt;=1,"OVER LIMIT",IF(O26&gt;=0.85,"CRITICAL",IF(O26&gt;=0.6,"WARNING","OK")))</f>
        <v/>
      </c>
      <c r="Q26" s="6">
        <f>IF(M26&gt;J26,"NO - exceeds theoretical max, real ppm would be capped","OK")</f>
        <v/>
      </c>
    </row>
    <row r="27">
      <c r="B27" s="6" t="n">
        <v>2</v>
      </c>
      <c r="C27" s="6" t="inlineStr">
        <is>
          <t>Scandium</t>
        </is>
      </c>
      <c r="D27" s="6" t="inlineStr">
        <is>
          <t>Sc</t>
        </is>
      </c>
      <c r="E27" s="6" t="n">
        <v>45</v>
      </c>
      <c r="F27" s="3" t="n">
        <v>3</v>
      </c>
      <c r="G27" s="3" t="n">
        <v>45</v>
      </c>
      <c r="H27" s="6">
        <f>(G27/1000)/E27</f>
        <v/>
      </c>
      <c r="I27" s="6">
        <f>H27*F27</f>
        <v/>
      </c>
      <c r="J27" s="6">
        <f>($D$15/F27)*E27*1000</f>
        <v/>
      </c>
      <c r="K27" s="7">
        <f>G27/J27</f>
        <v/>
      </c>
      <c r="L27" s="6">
        <f>IF(K27&gt;=1,"OVER LIMIT",IF(K27&gt;=0.85,"CRITICAL",IF(K27&gt;=0.6,"WARNING","OK")))</f>
        <v/>
      </c>
      <c r="M27" s="6">
        <f>G27*($D$19/$D$20)</f>
        <v/>
      </c>
      <c r="N27" s="6">
        <f>(M27/1000/E27)*F27</f>
        <v/>
      </c>
      <c r="O27" s="7">
        <f>M27/J27</f>
        <v/>
      </c>
      <c r="P27" s="6">
        <f>IF(O27&gt;=1,"OVER LIMIT",IF(O27&gt;=0.85,"CRITICAL",IF(O27&gt;=0.6,"WARNING","OK")))</f>
        <v/>
      </c>
      <c r="Q27" s="6">
        <f>IF(M27&gt;J27,"NO - exceeds theoretical max, real ppm would be capped","OK")</f>
        <v/>
      </c>
    </row>
    <row r="28">
      <c r="B28" s="6" t="n">
        <v>3</v>
      </c>
      <c r="C28" s="6" t="inlineStr">
        <is>
          <t>Iron</t>
        </is>
      </c>
      <c r="D28" s="6" t="inlineStr">
        <is>
          <t>Fe</t>
        </is>
      </c>
      <c r="E28" s="6" t="n">
        <v>56</v>
      </c>
      <c r="F28" s="3" t="n">
        <v>2</v>
      </c>
      <c r="G28" s="3" t="n">
        <v>120</v>
      </c>
      <c r="H28" s="6">
        <f>(G28/1000)/E28</f>
        <v/>
      </c>
      <c r="I28" s="6">
        <f>H28*F28</f>
        <v/>
      </c>
      <c r="J28" s="6">
        <f>($D$15/F28)*E28*1000</f>
        <v/>
      </c>
      <c r="K28" s="7">
        <f>G28/J28</f>
        <v/>
      </c>
      <c r="L28" s="6">
        <f>IF(K28&gt;=1,"OVER LIMIT",IF(K28&gt;=0.85,"CRITICAL",IF(K28&gt;=0.6,"WARNING","OK")))</f>
        <v/>
      </c>
      <c r="M28" s="6">
        <f>G28*($D$19/$D$20)</f>
        <v/>
      </c>
      <c r="N28" s="6">
        <f>(M28/1000/E28)*F28</f>
        <v/>
      </c>
      <c r="O28" s="7">
        <f>M28/J28</f>
        <v/>
      </c>
      <c r="P28" s="6">
        <f>IF(O28&gt;=1,"OVER LIMIT",IF(O28&gt;=0.85,"CRITICAL",IF(O28&gt;=0.6,"WARNING","OK")))</f>
        <v/>
      </c>
      <c r="Q28" s="6">
        <f>IF(M28&gt;J28,"NO - exceeds theoretical max, real ppm would be capped","OK")</f>
        <v/>
      </c>
    </row>
    <row r="29">
      <c r="B29" s="6" t="n">
        <v>4</v>
      </c>
      <c r="C29" s="6" t="inlineStr">
        <is>
          <t>Cobalt</t>
        </is>
      </c>
      <c r="D29" s="6" t="inlineStr">
        <is>
          <t>Co</t>
        </is>
      </c>
      <c r="E29" s="6" t="n">
        <v>59</v>
      </c>
      <c r="F29" s="3" t="n">
        <v>2</v>
      </c>
      <c r="G29" s="3" t="n">
        <v>15</v>
      </c>
      <c r="H29" s="6">
        <f>(G29/1000)/E29</f>
        <v/>
      </c>
      <c r="I29" s="6">
        <f>H29*F29</f>
        <v/>
      </c>
      <c r="J29" s="6">
        <f>($D$15/F29)*E29*1000</f>
        <v/>
      </c>
      <c r="K29" s="7">
        <f>G29/J29</f>
        <v/>
      </c>
      <c r="L29" s="6">
        <f>IF(K29&gt;=1,"OVER LIMIT",IF(K29&gt;=0.85,"CRITICAL",IF(K29&gt;=0.6,"WARNING","OK")))</f>
        <v/>
      </c>
      <c r="M29" s="6">
        <f>G29*($D$19/$D$20)</f>
        <v/>
      </c>
      <c r="N29" s="6">
        <f>(M29/1000/E29)*F29</f>
        <v/>
      </c>
      <c r="O29" s="7">
        <f>M29/J29</f>
        <v/>
      </c>
      <c r="P29" s="6">
        <f>IF(O29&gt;=1,"OVER LIMIT",IF(O29&gt;=0.85,"CRITICAL",IF(O29&gt;=0.6,"WARNING","OK")))</f>
        <v/>
      </c>
      <c r="Q29" s="6">
        <f>IF(M29&gt;J29,"NO - exceeds theoretical max, real ppm would be capped","OK")</f>
        <v/>
      </c>
    </row>
    <row r="30">
      <c r="B30" s="6" t="n">
        <v>5</v>
      </c>
      <c r="C30" s="6" t="inlineStr">
        <is>
          <t>Zinc</t>
        </is>
      </c>
      <c r="D30" s="6" t="inlineStr">
        <is>
          <t>Zn</t>
        </is>
      </c>
      <c r="E30" s="6" t="n">
        <v>66</v>
      </c>
      <c r="F30" s="3" t="n">
        <v>2</v>
      </c>
      <c r="G30" s="3" t="n">
        <v>30</v>
      </c>
      <c r="H30" s="6">
        <f>(G30/1000)/E30</f>
        <v/>
      </c>
      <c r="I30" s="6">
        <f>H30*F30</f>
        <v/>
      </c>
      <c r="J30" s="6">
        <f>($D$15/F30)*E30*1000</f>
        <v/>
      </c>
      <c r="K30" s="7">
        <f>G30/J30</f>
        <v/>
      </c>
      <c r="L30" s="6">
        <f>IF(K30&gt;=1,"OVER LIMIT",IF(K30&gt;=0.85,"CRITICAL",IF(K30&gt;=0.6,"WARNING","OK")))</f>
        <v/>
      </c>
      <c r="M30" s="6">
        <f>G30*($D$19/$D$20)</f>
        <v/>
      </c>
      <c r="N30" s="6">
        <f>(M30/1000/E30)*F30</f>
        <v/>
      </c>
      <c r="O30" s="7">
        <f>M30/J30</f>
        <v/>
      </c>
      <c r="P30" s="6">
        <f>IF(O30&gt;=1,"OVER LIMIT",IF(O30&gt;=0.85,"CRITICAL",IF(O30&gt;=0.6,"WARNING","OK")))</f>
        <v/>
      </c>
      <c r="Q30" s="6">
        <f>IF(M30&gt;J30,"NO - exceeds theoretical max, real ppm would be capped","OK")</f>
        <v/>
      </c>
    </row>
    <row r="31">
      <c r="B31" s="6" t="n">
        <v>6</v>
      </c>
      <c r="C31" s="6" t="inlineStr">
        <is>
          <t>Gallium</t>
        </is>
      </c>
      <c r="D31" s="6" t="inlineStr">
        <is>
          <t>Ga</t>
        </is>
      </c>
      <c r="E31" s="6" t="n">
        <v>69</v>
      </c>
      <c r="F31" s="3" t="n">
        <v>3</v>
      </c>
      <c r="G31" s="3" t="n">
        <v>8</v>
      </c>
      <c r="H31" s="6">
        <f>(G31/1000)/E31</f>
        <v/>
      </c>
      <c r="I31" s="6">
        <f>H31*F31</f>
        <v/>
      </c>
      <c r="J31" s="6">
        <f>($D$15/F31)*E31*1000</f>
        <v/>
      </c>
      <c r="K31" s="7">
        <f>G31/J31</f>
        <v/>
      </c>
      <c r="L31" s="6">
        <f>IF(K31&gt;=1,"OVER LIMIT",IF(K31&gt;=0.85,"CRITICAL",IF(K31&gt;=0.6,"WARNING","OK")))</f>
        <v/>
      </c>
      <c r="M31" s="6">
        <f>G31*($D$19/$D$20)</f>
        <v/>
      </c>
      <c r="N31" s="6">
        <f>(M31/1000/E31)*F31</f>
        <v/>
      </c>
      <c r="O31" s="7">
        <f>M31/J31</f>
        <v/>
      </c>
      <c r="P31" s="6">
        <f>IF(O31&gt;=1,"OVER LIMIT",IF(O31&gt;=0.85,"CRITICAL",IF(O31&gt;=0.6,"WARNING","OK")))</f>
        <v/>
      </c>
      <c r="Q31" s="6">
        <f>IF(M31&gt;J31,"NO - exceeds theoretical max, real ppm would be capped","OK")</f>
        <v/>
      </c>
    </row>
    <row r="32">
      <c r="B32" s="6" t="n">
        <v>7</v>
      </c>
      <c r="C32" s="6" t="inlineStr">
        <is>
          <t>Rubidium</t>
        </is>
      </c>
      <c r="D32" s="6" t="inlineStr">
        <is>
          <t>Rb</t>
        </is>
      </c>
      <c r="E32" s="6" t="n">
        <v>85</v>
      </c>
      <c r="F32" s="3" t="n">
        <v>1</v>
      </c>
      <c r="G32" s="3" t="n">
        <v>2</v>
      </c>
      <c r="H32" s="6">
        <f>(G32/1000)/E32</f>
        <v/>
      </c>
      <c r="I32" s="6">
        <f>H32*F32</f>
        <v/>
      </c>
      <c r="J32" s="6">
        <f>($D$15/F32)*E32*1000</f>
        <v/>
      </c>
      <c r="K32" s="7">
        <f>G32/J32</f>
        <v/>
      </c>
      <c r="L32" s="6">
        <f>IF(K32&gt;=1,"OVER LIMIT",IF(K32&gt;=0.85,"CRITICAL",IF(K32&gt;=0.6,"WARNING","OK")))</f>
        <v/>
      </c>
      <c r="M32" s="6">
        <f>G32*($D$19/$D$20)</f>
        <v/>
      </c>
      <c r="N32" s="6">
        <f>(M32/1000/E32)*F32</f>
        <v/>
      </c>
      <c r="O32" s="7">
        <f>M32/J32</f>
        <v/>
      </c>
      <c r="P32" s="6">
        <f>IF(O32&gt;=1,"OVER LIMIT",IF(O32&gt;=0.85,"CRITICAL",IF(O32&gt;=0.6,"WARNING","OK")))</f>
        <v/>
      </c>
      <c r="Q32" s="6">
        <f>IF(M32&gt;J32,"NO - exceeds theoretical max, real ppm would be capped","OK")</f>
        <v/>
      </c>
    </row>
    <row r="33">
      <c r="B33" s="6" t="n">
        <v>8</v>
      </c>
      <c r="C33" s="6" t="inlineStr">
        <is>
          <t>Yttrium</t>
        </is>
      </c>
      <c r="D33" s="6" t="inlineStr">
        <is>
          <t>Y</t>
        </is>
      </c>
      <c r="E33" s="6" t="n">
        <v>89</v>
      </c>
      <c r="F33" s="3" t="n">
        <v>3</v>
      </c>
      <c r="G33" s="3" t="n">
        <v>60</v>
      </c>
      <c r="H33" s="6">
        <f>(G33/1000)/E33</f>
        <v/>
      </c>
      <c r="I33" s="6">
        <f>H33*F33</f>
        <v/>
      </c>
      <c r="J33" s="6">
        <f>($D$15/F33)*E33*1000</f>
        <v/>
      </c>
      <c r="K33" s="7">
        <f>G33/J33</f>
        <v/>
      </c>
      <c r="L33" s="6">
        <f>IF(K33&gt;=1,"OVER LIMIT",IF(K33&gt;=0.85,"CRITICAL",IF(K33&gt;=0.6,"WARNING","OK")))</f>
        <v/>
      </c>
      <c r="M33" s="6">
        <f>G33*($D$19/$D$20)</f>
        <v/>
      </c>
      <c r="N33" s="6">
        <f>(M33/1000/E33)*F33</f>
        <v/>
      </c>
      <c r="O33" s="7">
        <f>M33/J33</f>
        <v/>
      </c>
      <c r="P33" s="6">
        <f>IF(O33&gt;=1,"OVER LIMIT",IF(O33&gt;=0.85,"CRITICAL",IF(O33&gt;=0.6,"WARNING","OK")))</f>
        <v/>
      </c>
      <c r="Q33" s="6">
        <f>IF(M33&gt;J33,"NO - exceeds theoretical max, real ppm would be capped","OK")</f>
        <v/>
      </c>
    </row>
    <row r="34">
      <c r="B34" s="6" t="n">
        <v>9</v>
      </c>
      <c r="C34" s="6" t="inlineStr">
        <is>
          <t>Zirconium</t>
        </is>
      </c>
      <c r="D34" s="6" t="inlineStr">
        <is>
          <t>Zr</t>
        </is>
      </c>
      <c r="E34" s="6" t="n">
        <v>91</v>
      </c>
      <c r="F34" s="3" t="n">
        <v>4</v>
      </c>
      <c r="G34" s="3" t="n">
        <v>25</v>
      </c>
      <c r="H34" s="6">
        <f>(G34/1000)/E34</f>
        <v/>
      </c>
      <c r="I34" s="6">
        <f>H34*F34</f>
        <v/>
      </c>
      <c r="J34" s="6">
        <f>($D$15/F34)*E34*1000</f>
        <v/>
      </c>
      <c r="K34" s="7">
        <f>G34/J34</f>
        <v/>
      </c>
      <c r="L34" s="6">
        <f>IF(K34&gt;=1,"OVER LIMIT",IF(K34&gt;=0.85,"CRITICAL",IF(K34&gt;=0.6,"WARNING","OK")))</f>
        <v/>
      </c>
      <c r="M34" s="6">
        <f>G34*($D$19/$D$20)</f>
        <v/>
      </c>
      <c r="N34" s="6">
        <f>(M34/1000/E34)*F34</f>
        <v/>
      </c>
      <c r="O34" s="7">
        <f>M34/J34</f>
        <v/>
      </c>
      <c r="P34" s="6">
        <f>IF(O34&gt;=1,"OVER LIMIT",IF(O34&gt;=0.85,"CRITICAL",IF(O34&gt;=0.6,"WARNING","OK")))</f>
        <v/>
      </c>
      <c r="Q34" s="6">
        <f>IF(M34&gt;J34,"NO - exceeds theoretical max, real ppm would be capped","OK")</f>
        <v/>
      </c>
    </row>
    <row r="35">
      <c r="B35" s="6" t="n">
        <v>10</v>
      </c>
      <c r="C35" s="6" t="inlineStr">
        <is>
          <t>Lanthanum</t>
        </is>
      </c>
      <c r="D35" s="6" t="inlineStr">
        <is>
          <t>La</t>
        </is>
      </c>
      <c r="E35" s="6" t="n">
        <v>139</v>
      </c>
      <c r="F35" s="3" t="n">
        <v>3</v>
      </c>
      <c r="G35" s="3" t="n">
        <v>300</v>
      </c>
      <c r="H35" s="6">
        <f>(G35/1000)/E35</f>
        <v/>
      </c>
      <c r="I35" s="6">
        <f>H35*F35</f>
        <v/>
      </c>
      <c r="J35" s="6">
        <f>($D$15/F35)*E35*1000</f>
        <v/>
      </c>
      <c r="K35" s="7">
        <f>G35/J35</f>
        <v/>
      </c>
      <c r="L35" s="6">
        <f>IF(K35&gt;=1,"OVER LIMIT",IF(K35&gt;=0.85,"CRITICAL",IF(K35&gt;=0.6,"WARNING","OK")))</f>
        <v/>
      </c>
      <c r="M35" s="6">
        <f>G35*($D$19/$D$20)</f>
        <v/>
      </c>
      <c r="N35" s="6">
        <f>(M35/1000/E35)*F35</f>
        <v/>
      </c>
      <c r="O35" s="7">
        <f>M35/J35</f>
        <v/>
      </c>
      <c r="P35" s="6">
        <f>IF(O35&gt;=1,"OVER LIMIT",IF(O35&gt;=0.85,"CRITICAL",IF(O35&gt;=0.6,"WARNING","OK")))</f>
        <v/>
      </c>
      <c r="Q35" s="6">
        <f>IF(M35&gt;J35,"NO - exceeds theoretical max, real ppm would be capped","OK")</f>
        <v/>
      </c>
    </row>
    <row r="36">
      <c r="B36" s="6" t="n">
        <v>11</v>
      </c>
      <c r="C36" s="6" t="inlineStr">
        <is>
          <t>Cerium</t>
        </is>
      </c>
      <c r="D36" s="6" t="inlineStr">
        <is>
          <t>Ce</t>
        </is>
      </c>
      <c r="E36" s="6" t="n">
        <v>140</v>
      </c>
      <c r="F36" s="3" t="n">
        <v>3</v>
      </c>
      <c r="G36" s="3" t="n">
        <v>550</v>
      </c>
      <c r="H36" s="6">
        <f>(G36/1000)/E36</f>
        <v/>
      </c>
      <c r="I36" s="6">
        <f>H36*F36</f>
        <v/>
      </c>
      <c r="J36" s="6">
        <f>($D$15/F36)*E36*1000</f>
        <v/>
      </c>
      <c r="K36" s="7">
        <f>G36/J36</f>
        <v/>
      </c>
      <c r="L36" s="6">
        <f>IF(K36&gt;=1,"OVER LIMIT",IF(K36&gt;=0.85,"CRITICAL",IF(K36&gt;=0.6,"WARNING","OK")))</f>
        <v/>
      </c>
      <c r="M36" s="6">
        <f>G36*($D$19/$D$20)</f>
        <v/>
      </c>
      <c r="N36" s="6">
        <f>(M36/1000/E36)*F36</f>
        <v/>
      </c>
      <c r="O36" s="7">
        <f>M36/J36</f>
        <v/>
      </c>
      <c r="P36" s="6">
        <f>IF(O36&gt;=1,"OVER LIMIT",IF(O36&gt;=0.85,"CRITICAL",IF(O36&gt;=0.6,"WARNING","OK")))</f>
        <v/>
      </c>
      <c r="Q36" s="6">
        <f>IF(M36&gt;J36,"NO - exceeds theoretical max, real ppm would be capped","OK")</f>
        <v/>
      </c>
    </row>
    <row r="37">
      <c r="B37" s="6" t="n">
        <v>12</v>
      </c>
      <c r="C37" s="6" t="inlineStr">
        <is>
          <t>Praseodymium</t>
        </is>
      </c>
      <c r="D37" s="6" t="inlineStr">
        <is>
          <t>Pr</t>
        </is>
      </c>
      <c r="E37" s="6" t="n">
        <v>141</v>
      </c>
      <c r="F37" s="3" t="n">
        <v>3</v>
      </c>
      <c r="G37" s="3" t="n">
        <v>70</v>
      </c>
      <c r="H37" s="6">
        <f>(G37/1000)/E37</f>
        <v/>
      </c>
      <c r="I37" s="6">
        <f>H37*F37</f>
        <v/>
      </c>
      <c r="J37" s="6">
        <f>($D$15/F37)*E37*1000</f>
        <v/>
      </c>
      <c r="K37" s="7">
        <f>G37/J37</f>
        <v/>
      </c>
      <c r="L37" s="6">
        <f>IF(K37&gt;=1,"OVER LIMIT",IF(K37&gt;=0.85,"CRITICAL",IF(K37&gt;=0.6,"WARNING","OK")))</f>
        <v/>
      </c>
      <c r="M37" s="6">
        <f>G37*($D$19/$D$20)</f>
        <v/>
      </c>
      <c r="N37" s="6">
        <f>(M37/1000/E37)*F37</f>
        <v/>
      </c>
      <c r="O37" s="7">
        <f>M37/J37</f>
        <v/>
      </c>
      <c r="P37" s="6">
        <f>IF(O37&gt;=1,"OVER LIMIT",IF(O37&gt;=0.85,"CRITICAL",IF(O37&gt;=0.6,"WARNING","OK")))</f>
        <v/>
      </c>
      <c r="Q37" s="6">
        <f>IF(M37&gt;J37,"NO - exceeds theoretical max, real ppm would be capped","OK")</f>
        <v/>
      </c>
    </row>
    <row r="38">
      <c r="B38" s="6" t="n">
        <v>13</v>
      </c>
      <c r="C38" s="6" t="inlineStr">
        <is>
          <t>Neodymium</t>
        </is>
      </c>
      <c r="D38" s="6" t="inlineStr">
        <is>
          <t>Nd</t>
        </is>
      </c>
      <c r="E38" s="6" t="n">
        <v>146</v>
      </c>
      <c r="F38" s="3" t="n">
        <v>3</v>
      </c>
      <c r="G38" s="3" t="n">
        <v>240</v>
      </c>
      <c r="H38" s="6">
        <f>(G38/1000)/E38</f>
        <v/>
      </c>
      <c r="I38" s="6">
        <f>H38*F38</f>
        <v/>
      </c>
      <c r="J38" s="6">
        <f>($D$15/F38)*E38*1000</f>
        <v/>
      </c>
      <c r="K38" s="7">
        <f>G38/J38</f>
        <v/>
      </c>
      <c r="L38" s="6">
        <f>IF(K38&gt;=1,"OVER LIMIT",IF(K38&gt;=0.85,"CRITICAL",IF(K38&gt;=0.6,"WARNING","OK")))</f>
        <v/>
      </c>
      <c r="M38" s="6">
        <f>G38*($D$19/$D$20)</f>
        <v/>
      </c>
      <c r="N38" s="6">
        <f>(M38/1000/E38)*F38</f>
        <v/>
      </c>
      <c r="O38" s="7">
        <f>M38/J38</f>
        <v/>
      </c>
      <c r="P38" s="6">
        <f>IF(O38&gt;=1,"OVER LIMIT",IF(O38&gt;=0.85,"CRITICAL",IF(O38&gt;=0.6,"WARNING","OK")))</f>
        <v/>
      </c>
      <c r="Q38" s="6">
        <f>IF(M38&gt;J38,"NO - exceeds theoretical max, real ppm would be capped","OK")</f>
        <v/>
      </c>
    </row>
    <row r="39">
      <c r="B39" s="6" t="n">
        <v>14</v>
      </c>
      <c r="C39" s="6" t="inlineStr">
        <is>
          <t>Samarium</t>
        </is>
      </c>
      <c r="D39" s="6" t="inlineStr">
        <is>
          <t>Sm</t>
        </is>
      </c>
      <c r="E39" s="6" t="n">
        <v>147</v>
      </c>
      <c r="F39" s="3" t="n">
        <v>3</v>
      </c>
      <c r="G39" s="3" t="n">
        <v>40</v>
      </c>
      <c r="H39" s="6">
        <f>(G39/1000)/E39</f>
        <v/>
      </c>
      <c r="I39" s="6">
        <f>H39*F39</f>
        <v/>
      </c>
      <c r="J39" s="6">
        <f>($D$15/F39)*E39*1000</f>
        <v/>
      </c>
      <c r="K39" s="7">
        <f>G39/J39</f>
        <v/>
      </c>
      <c r="L39" s="6">
        <f>IF(K39&gt;=1,"OVER LIMIT",IF(K39&gt;=0.85,"CRITICAL",IF(K39&gt;=0.6,"WARNING","OK")))</f>
        <v/>
      </c>
      <c r="M39" s="6">
        <f>G39*($D$19/$D$20)</f>
        <v/>
      </c>
      <c r="N39" s="6">
        <f>(M39/1000/E39)*F39</f>
        <v/>
      </c>
      <c r="O39" s="7">
        <f>M39/J39</f>
        <v/>
      </c>
      <c r="P39" s="6">
        <f>IF(O39&gt;=1,"OVER LIMIT",IF(O39&gt;=0.85,"CRITICAL",IF(O39&gt;=0.6,"WARNING","OK")))</f>
        <v/>
      </c>
      <c r="Q39" s="6">
        <f>IF(M39&gt;J39,"NO - exceeds theoretical max, real ppm would be capped","OK")</f>
        <v/>
      </c>
    </row>
    <row r="40">
      <c r="B40" s="6" t="n">
        <v>15</v>
      </c>
      <c r="C40" s="6" t="inlineStr">
        <is>
          <t>Europium</t>
        </is>
      </c>
      <c r="D40" s="6" t="inlineStr">
        <is>
          <t>Eu</t>
        </is>
      </c>
      <c r="E40" s="6" t="n">
        <v>153</v>
      </c>
      <c r="F40" s="3" t="n">
        <v>3</v>
      </c>
      <c r="G40" s="3" t="n">
        <v>8</v>
      </c>
      <c r="H40" s="6">
        <f>(G40/1000)/E40</f>
        <v/>
      </c>
      <c r="I40" s="6">
        <f>H40*F40</f>
        <v/>
      </c>
      <c r="J40" s="6">
        <f>($D$15/F40)*E40*1000</f>
        <v/>
      </c>
      <c r="K40" s="7">
        <f>G40/J40</f>
        <v/>
      </c>
      <c r="L40" s="6">
        <f>IF(K40&gt;=1,"OVER LIMIT",IF(K40&gt;=0.85,"CRITICAL",IF(K40&gt;=0.6,"WARNING","OK")))</f>
        <v/>
      </c>
      <c r="M40" s="6">
        <f>G40*($D$19/$D$20)</f>
        <v/>
      </c>
      <c r="N40" s="6">
        <f>(M40/1000/E40)*F40</f>
        <v/>
      </c>
      <c r="O40" s="7">
        <f>M40/J40</f>
        <v/>
      </c>
      <c r="P40" s="6">
        <f>IF(O40&gt;=1,"OVER LIMIT",IF(O40&gt;=0.85,"CRITICAL",IF(O40&gt;=0.6,"WARNING","OK")))</f>
        <v/>
      </c>
      <c r="Q40" s="6">
        <f>IF(M40&gt;J40,"NO - exceeds theoretical max, real ppm would be capped","OK")</f>
        <v/>
      </c>
    </row>
    <row r="41">
      <c r="B41" s="6" t="n">
        <v>16</v>
      </c>
      <c r="C41" s="6" t="inlineStr">
        <is>
          <t>Gadolinium</t>
        </is>
      </c>
      <c r="D41" s="6" t="inlineStr">
        <is>
          <t>Gd</t>
        </is>
      </c>
      <c r="E41" s="6" t="n">
        <v>157</v>
      </c>
      <c r="F41" s="3" t="n">
        <v>3</v>
      </c>
      <c r="G41" s="3" t="n">
        <v>35</v>
      </c>
      <c r="H41" s="6">
        <f>(G41/1000)/E41</f>
        <v/>
      </c>
      <c r="I41" s="6">
        <f>H41*F41</f>
        <v/>
      </c>
      <c r="J41" s="6">
        <f>($D$15/F41)*E41*1000</f>
        <v/>
      </c>
      <c r="K41" s="7">
        <f>G41/J41</f>
        <v/>
      </c>
      <c r="L41" s="6">
        <f>IF(K41&gt;=1,"OVER LIMIT",IF(K41&gt;=0.85,"CRITICAL",IF(K41&gt;=0.6,"WARNING","OK")))</f>
        <v/>
      </c>
      <c r="M41" s="6">
        <f>G41*($D$19/$D$20)</f>
        <v/>
      </c>
      <c r="N41" s="6">
        <f>(M41/1000/E41)*F41</f>
        <v/>
      </c>
      <c r="O41" s="7">
        <f>M41/J41</f>
        <v/>
      </c>
      <c r="P41" s="6">
        <f>IF(O41&gt;=1,"OVER LIMIT",IF(O41&gt;=0.85,"CRITICAL",IF(O41&gt;=0.6,"WARNING","OK")))</f>
        <v/>
      </c>
      <c r="Q41" s="6">
        <f>IF(M41&gt;J41,"NO - exceeds theoretical max, real ppm would be capped","OK")</f>
        <v/>
      </c>
    </row>
    <row r="42">
      <c r="B42" s="6" t="n">
        <v>17</v>
      </c>
      <c r="C42" s="6" t="inlineStr">
        <is>
          <t>Terbium</t>
        </is>
      </c>
      <c r="D42" s="6" t="inlineStr">
        <is>
          <t>Tb</t>
        </is>
      </c>
      <c r="E42" s="6" t="n">
        <v>159</v>
      </c>
      <c r="F42" s="3" t="n">
        <v>3</v>
      </c>
      <c r="G42" s="3" t="n">
        <v>5</v>
      </c>
      <c r="H42" s="6">
        <f>(G42/1000)/E42</f>
        <v/>
      </c>
      <c r="I42" s="6">
        <f>H42*F42</f>
        <v/>
      </c>
      <c r="J42" s="6">
        <f>($D$15/F42)*E42*1000</f>
        <v/>
      </c>
      <c r="K42" s="7">
        <f>G42/J42</f>
        <v/>
      </c>
      <c r="L42" s="6">
        <f>IF(K42&gt;=1,"OVER LIMIT",IF(K42&gt;=0.85,"CRITICAL",IF(K42&gt;=0.6,"WARNING","OK")))</f>
        <v/>
      </c>
      <c r="M42" s="6">
        <f>G42*($D$19/$D$20)</f>
        <v/>
      </c>
      <c r="N42" s="6">
        <f>(M42/1000/E42)*F42</f>
        <v/>
      </c>
      <c r="O42" s="7">
        <f>M42/J42</f>
        <v/>
      </c>
      <c r="P42" s="6">
        <f>IF(O42&gt;=1,"OVER LIMIT",IF(O42&gt;=0.85,"CRITICAL",IF(O42&gt;=0.6,"WARNING","OK")))</f>
        <v/>
      </c>
      <c r="Q42" s="6">
        <f>IF(M42&gt;J42,"NO - exceeds theoretical max, real ppm would be capped","OK")</f>
        <v/>
      </c>
    </row>
    <row r="43">
      <c r="B43" s="6" t="n">
        <v>18</v>
      </c>
      <c r="C43" s="6" t="inlineStr">
        <is>
          <t>Dysprosium</t>
        </is>
      </c>
      <c r="D43" s="6" t="inlineStr">
        <is>
          <t>Dy</t>
        </is>
      </c>
      <c r="E43" s="6" t="n">
        <v>163</v>
      </c>
      <c r="F43" s="3" t="n">
        <v>3</v>
      </c>
      <c r="G43" s="3" t="n">
        <v>20</v>
      </c>
      <c r="H43" s="6">
        <f>(G43/1000)/E43</f>
        <v/>
      </c>
      <c r="I43" s="6">
        <f>H43*F43</f>
        <v/>
      </c>
      <c r="J43" s="6">
        <f>($D$15/F43)*E43*1000</f>
        <v/>
      </c>
      <c r="K43" s="7">
        <f>G43/J43</f>
        <v/>
      </c>
      <c r="L43" s="6">
        <f>IF(K43&gt;=1,"OVER LIMIT",IF(K43&gt;=0.85,"CRITICAL",IF(K43&gt;=0.6,"WARNING","OK")))</f>
        <v/>
      </c>
      <c r="M43" s="6">
        <f>G43*($D$19/$D$20)</f>
        <v/>
      </c>
      <c r="N43" s="6">
        <f>(M43/1000/E43)*F43</f>
        <v/>
      </c>
      <c r="O43" s="7">
        <f>M43/J43</f>
        <v/>
      </c>
      <c r="P43" s="6">
        <f>IF(O43&gt;=1,"OVER LIMIT",IF(O43&gt;=0.85,"CRITICAL",IF(O43&gt;=0.6,"WARNING","OK")))</f>
        <v/>
      </c>
      <c r="Q43" s="6">
        <f>IF(M43&gt;J43,"NO - exceeds theoretical max, real ppm would be capped","OK")</f>
        <v/>
      </c>
    </row>
    <row r="44">
      <c r="B44" s="6" t="n">
        <v>19</v>
      </c>
      <c r="C44" s="6" t="inlineStr">
        <is>
          <t>Holmium</t>
        </is>
      </c>
      <c r="D44" s="6" t="inlineStr">
        <is>
          <t>Ho</t>
        </is>
      </c>
      <c r="E44" s="6" t="n">
        <v>165</v>
      </c>
      <c r="F44" s="3" t="n">
        <v>3</v>
      </c>
      <c r="G44" s="3" t="n">
        <v>4</v>
      </c>
      <c r="H44" s="6">
        <f>(G44/1000)/E44</f>
        <v/>
      </c>
      <c r="I44" s="6">
        <f>H44*F44</f>
        <v/>
      </c>
      <c r="J44" s="6">
        <f>($D$15/F44)*E44*1000</f>
        <v/>
      </c>
      <c r="K44" s="7">
        <f>G44/J44</f>
        <v/>
      </c>
      <c r="L44" s="6">
        <f>IF(K44&gt;=1,"OVER LIMIT",IF(K44&gt;=0.85,"CRITICAL",IF(K44&gt;=0.6,"WARNING","OK")))</f>
        <v/>
      </c>
      <c r="M44" s="6">
        <f>G44*($D$19/$D$20)</f>
        <v/>
      </c>
      <c r="N44" s="6">
        <f>(M44/1000/E44)*F44</f>
        <v/>
      </c>
      <c r="O44" s="7">
        <f>M44/J44</f>
        <v/>
      </c>
      <c r="P44" s="6">
        <f>IF(O44&gt;=1,"OVER LIMIT",IF(O44&gt;=0.85,"CRITICAL",IF(O44&gt;=0.6,"WARNING","OK")))</f>
        <v/>
      </c>
      <c r="Q44" s="6">
        <f>IF(M44&gt;J44,"NO - exceeds theoretical max, real ppm would be capped","OK")</f>
        <v/>
      </c>
    </row>
    <row r="45">
      <c r="B45" s="6" t="n">
        <v>20</v>
      </c>
      <c r="C45" s="6" t="inlineStr">
        <is>
          <t>Erbium</t>
        </is>
      </c>
      <c r="D45" s="6" t="inlineStr">
        <is>
          <t>Er</t>
        </is>
      </c>
      <c r="E45" s="6" t="n">
        <v>166</v>
      </c>
      <c r="F45" s="3" t="n">
        <v>3</v>
      </c>
      <c r="G45" s="3" t="n">
        <v>10</v>
      </c>
      <c r="H45" s="6">
        <f>(G45/1000)/E45</f>
        <v/>
      </c>
      <c r="I45" s="6">
        <f>H45*F45</f>
        <v/>
      </c>
      <c r="J45" s="6">
        <f>($D$15/F45)*E45*1000</f>
        <v/>
      </c>
      <c r="K45" s="7">
        <f>G45/J45</f>
        <v/>
      </c>
      <c r="L45" s="6">
        <f>IF(K45&gt;=1,"OVER LIMIT",IF(K45&gt;=0.85,"CRITICAL",IF(K45&gt;=0.6,"WARNING","OK")))</f>
        <v/>
      </c>
      <c r="M45" s="6">
        <f>G45*($D$19/$D$20)</f>
        <v/>
      </c>
      <c r="N45" s="6">
        <f>(M45/1000/E45)*F45</f>
        <v/>
      </c>
      <c r="O45" s="7">
        <f>M45/J45</f>
        <v/>
      </c>
      <c r="P45" s="6">
        <f>IF(O45&gt;=1,"OVER LIMIT",IF(O45&gt;=0.85,"CRITICAL",IF(O45&gt;=0.6,"WARNING","OK")))</f>
        <v/>
      </c>
      <c r="Q45" s="6">
        <f>IF(M45&gt;J45,"NO - exceeds theoretical max, real ppm would be capped","OK")</f>
        <v/>
      </c>
    </row>
    <row r="46">
      <c r="B46" s="6" t="n">
        <v>21</v>
      </c>
      <c r="C46" s="6" t="inlineStr">
        <is>
          <t>Thulium</t>
        </is>
      </c>
      <c r="D46" s="6" t="inlineStr">
        <is>
          <t>Tm</t>
        </is>
      </c>
      <c r="E46" s="6" t="n">
        <v>169</v>
      </c>
      <c r="F46" s="3" t="n">
        <v>3</v>
      </c>
      <c r="G46" s="3" t="n">
        <v>1.5</v>
      </c>
      <c r="H46" s="6">
        <f>(G46/1000)/E46</f>
        <v/>
      </c>
      <c r="I46" s="6">
        <f>H46*F46</f>
        <v/>
      </c>
      <c r="J46" s="6">
        <f>($D$15/F46)*E46*1000</f>
        <v/>
      </c>
      <c r="K46" s="7">
        <f>G46/J46</f>
        <v/>
      </c>
      <c r="L46" s="6">
        <f>IF(K46&gt;=1,"OVER LIMIT",IF(K46&gt;=0.85,"CRITICAL",IF(K46&gt;=0.6,"WARNING","OK")))</f>
        <v/>
      </c>
      <c r="M46" s="6">
        <f>G46*($D$19/$D$20)</f>
        <v/>
      </c>
      <c r="N46" s="6">
        <f>(M46/1000/E46)*F46</f>
        <v/>
      </c>
      <c r="O46" s="7">
        <f>M46/J46</f>
        <v/>
      </c>
      <c r="P46" s="6">
        <f>IF(O46&gt;=1,"OVER LIMIT",IF(O46&gt;=0.85,"CRITICAL",IF(O46&gt;=0.6,"WARNING","OK")))</f>
        <v/>
      </c>
      <c r="Q46" s="6">
        <f>IF(M46&gt;J46,"NO - exceeds theoretical max, real ppm would be capped","OK")</f>
        <v/>
      </c>
    </row>
    <row r="47">
      <c r="B47" s="6" t="n">
        <v>22</v>
      </c>
      <c r="C47" s="6" t="inlineStr">
        <is>
          <t>Ytterbium</t>
        </is>
      </c>
      <c r="D47" s="6" t="inlineStr">
        <is>
          <t>Yb</t>
        </is>
      </c>
      <c r="E47" s="6" t="n">
        <v>172</v>
      </c>
      <c r="F47" s="3" t="n">
        <v>3</v>
      </c>
      <c r="G47" s="3" t="n">
        <v>9</v>
      </c>
      <c r="H47" s="6">
        <f>(G47/1000)/E47</f>
        <v/>
      </c>
      <c r="I47" s="6">
        <f>H47*F47</f>
        <v/>
      </c>
      <c r="J47" s="6">
        <f>($D$15/F47)*E47*1000</f>
        <v/>
      </c>
      <c r="K47" s="7">
        <f>G47/J47</f>
        <v/>
      </c>
      <c r="L47" s="6">
        <f>IF(K47&gt;=1,"OVER LIMIT",IF(K47&gt;=0.85,"CRITICAL",IF(K47&gt;=0.6,"WARNING","OK")))</f>
        <v/>
      </c>
      <c r="M47" s="6">
        <f>G47*($D$19/$D$20)</f>
        <v/>
      </c>
      <c r="N47" s="6">
        <f>(M47/1000/E47)*F47</f>
        <v/>
      </c>
      <c r="O47" s="7">
        <f>M47/J47</f>
        <v/>
      </c>
      <c r="P47" s="6">
        <f>IF(O47&gt;=1,"OVER LIMIT",IF(O47&gt;=0.85,"CRITICAL",IF(O47&gt;=0.6,"WARNING","OK")))</f>
        <v/>
      </c>
      <c r="Q47" s="6">
        <f>IF(M47&gt;J47,"NO - exceeds theoretical max, real ppm would be capped","OK")</f>
        <v/>
      </c>
    </row>
    <row r="48">
      <c r="B48" s="6" t="n">
        <v>23</v>
      </c>
      <c r="C48" s="6" t="inlineStr">
        <is>
          <t>Lutetium</t>
        </is>
      </c>
      <c r="D48" s="6" t="inlineStr">
        <is>
          <t>Lu</t>
        </is>
      </c>
      <c r="E48" s="6" t="n">
        <v>175</v>
      </c>
      <c r="F48" s="3" t="n">
        <v>3</v>
      </c>
      <c r="G48" s="3" t="n">
        <v>1.2</v>
      </c>
      <c r="H48" s="6">
        <f>(G48/1000)/E48</f>
        <v/>
      </c>
      <c r="I48" s="6">
        <f>H48*F48</f>
        <v/>
      </c>
      <c r="J48" s="6">
        <f>($D$15/F48)*E48*1000</f>
        <v/>
      </c>
      <c r="K48" s="7">
        <f>G48/J48</f>
        <v/>
      </c>
      <c r="L48" s="6">
        <f>IF(K48&gt;=1,"OVER LIMIT",IF(K48&gt;=0.85,"CRITICAL",IF(K48&gt;=0.6,"WARNING","OK")))</f>
        <v/>
      </c>
      <c r="M48" s="6">
        <f>G48*($D$19/$D$20)</f>
        <v/>
      </c>
      <c r="N48" s="6">
        <f>(M48/1000/E48)*F48</f>
        <v/>
      </c>
      <c r="O48" s="7">
        <f>M48/J48</f>
        <v/>
      </c>
      <c r="P48" s="6">
        <f>IF(O48&gt;=1,"OVER LIMIT",IF(O48&gt;=0.85,"CRITICAL",IF(O48&gt;=0.6,"WARNING","OK")))</f>
        <v/>
      </c>
      <c r="Q48" s="6">
        <f>IF(M48&gt;J48,"NO - exceeds theoretical max, real ppm would be capped","OK")</f>
        <v/>
      </c>
    </row>
    <row r="49">
      <c r="B49" s="6" t="n">
        <v>24</v>
      </c>
      <c r="C49" s="6" t="inlineStr">
        <is>
          <t>Hafnium</t>
        </is>
      </c>
      <c r="D49" s="6" t="inlineStr">
        <is>
          <t>Hf</t>
        </is>
      </c>
      <c r="E49" s="6" t="n">
        <v>178</v>
      </c>
      <c r="F49" s="3" t="n">
        <v>4</v>
      </c>
      <c r="G49" s="3" t="n">
        <v>3</v>
      </c>
      <c r="H49" s="6">
        <f>(G49/1000)/E49</f>
        <v/>
      </c>
      <c r="I49" s="6">
        <f>H49*F49</f>
        <v/>
      </c>
      <c r="J49" s="6">
        <f>($D$15/F49)*E49*1000</f>
        <v/>
      </c>
      <c r="K49" s="7">
        <f>G49/J49</f>
        <v/>
      </c>
      <c r="L49" s="6">
        <f>IF(K49&gt;=1,"OVER LIMIT",IF(K49&gt;=0.85,"CRITICAL",IF(K49&gt;=0.6,"WARNING","OK")))</f>
        <v/>
      </c>
      <c r="M49" s="6">
        <f>G49*($D$19/$D$20)</f>
        <v/>
      </c>
      <c r="N49" s="6">
        <f>(M49/1000/E49)*F49</f>
        <v/>
      </c>
      <c r="O49" s="7">
        <f>M49/J49</f>
        <v/>
      </c>
      <c r="P49" s="6">
        <f>IF(O49&gt;=1,"OVER LIMIT",IF(O49&gt;=0.85,"CRITICAL",IF(O49&gt;=0.6,"WARNING","OK")))</f>
        <v/>
      </c>
      <c r="Q49" s="6">
        <f>IF(M49&gt;J49,"NO - exceeds theoretical max, real ppm would be capped","OK")</f>
        <v/>
      </c>
    </row>
    <row r="50">
      <c r="B50" s="6" t="n">
        <v>25</v>
      </c>
      <c r="C50" s="6" t="inlineStr">
        <is>
          <t>Thorium</t>
        </is>
      </c>
      <c r="D50" s="6" t="inlineStr">
        <is>
          <t>Th</t>
        </is>
      </c>
      <c r="E50" s="6" t="n">
        <v>232</v>
      </c>
      <c r="F50" s="3" t="n">
        <v>4</v>
      </c>
      <c r="G50" s="3" t="n">
        <v>6</v>
      </c>
      <c r="H50" s="6">
        <f>(G50/1000)/E50</f>
        <v/>
      </c>
      <c r="I50" s="6">
        <f>H50*F50</f>
        <v/>
      </c>
      <c r="J50" s="6">
        <f>($D$15/F50)*E50*1000</f>
        <v/>
      </c>
      <c r="K50" s="7">
        <f>G50/J50</f>
        <v/>
      </c>
      <c r="L50" s="6">
        <f>IF(K50&gt;=1,"OVER LIMIT",IF(K50&gt;=0.85,"CRITICAL",IF(K50&gt;=0.6,"WARNING","OK")))</f>
        <v/>
      </c>
      <c r="M50" s="6">
        <f>G50*($D$19/$D$20)</f>
        <v/>
      </c>
      <c r="N50" s="6">
        <f>(M50/1000/E50)*F50</f>
        <v/>
      </c>
      <c r="O50" s="7">
        <f>M50/J50</f>
        <v/>
      </c>
      <c r="P50" s="6">
        <f>IF(O50&gt;=1,"OVER LIMIT",IF(O50&gt;=0.85,"CRITICAL",IF(O50&gt;=0.6,"WARNING","OK")))</f>
        <v/>
      </c>
      <c r="Q50" s="6">
        <f>IF(M50&gt;J50,"NO - exceeds theoretical max, real ppm would be capped","OK")</f>
        <v/>
      </c>
    </row>
    <row r="51">
      <c r="B51" s="6" t="n">
        <v>26</v>
      </c>
      <c r="C51" s="6" t="inlineStr">
        <is>
          <t>Uranium</t>
        </is>
      </c>
      <c r="D51" s="6" t="inlineStr">
        <is>
          <t>U</t>
        </is>
      </c>
      <c r="E51" s="6" t="n">
        <v>238</v>
      </c>
      <c r="F51" s="3" t="n">
        <v>4</v>
      </c>
      <c r="G51" s="3" t="n">
        <v>4</v>
      </c>
      <c r="H51" s="6">
        <f>(G51/1000)/E51</f>
        <v/>
      </c>
      <c r="I51" s="6">
        <f>H51*F51</f>
        <v/>
      </c>
      <c r="J51" s="6">
        <f>($D$15/F51)*E51*1000</f>
        <v/>
      </c>
      <c r="K51" s="7">
        <f>G51/J51</f>
        <v/>
      </c>
      <c r="L51" s="6">
        <f>IF(K51&gt;=1,"OVER LIMIT",IF(K51&gt;=0.85,"CRITICAL",IF(K51&gt;=0.6,"WARNING","OK")))</f>
        <v/>
      </c>
      <c r="M51" s="6">
        <f>G51*($D$19/$D$20)</f>
        <v/>
      </c>
      <c r="N51" s="6">
        <f>(M51/1000/E51)*F51</f>
        <v/>
      </c>
      <c r="O51" s="7">
        <f>M51/J51</f>
        <v/>
      </c>
      <c r="P51" s="6">
        <f>IF(O51&gt;=1,"OVER LIMIT",IF(O51&gt;=0.85,"CRITICAL",IF(O51&gt;=0.6,"WARNING","OK")))</f>
        <v/>
      </c>
      <c r="Q51" s="6">
        <f>IF(M51&gt;J51,"NO - exceeds theoretical max, real ppm would be capped","OK")</f>
        <v/>
      </c>
    </row>
    <row r="52">
      <c r="B52" s="6" t="n"/>
      <c r="C52" s="8" t="inlineStr">
        <is>
          <t>TOTAL (competitive saturation)</t>
        </is>
      </c>
      <c r="D52" s="6" t="n"/>
      <c r="E52" s="6" t="n"/>
      <c r="F52" s="6" t="n"/>
      <c r="G52" s="6" t="n"/>
      <c r="H52" s="6" t="n"/>
      <c r="I52" s="9">
        <f>SUM(I26:I51)</f>
        <v/>
      </c>
      <c r="J52" s="10">
        <f>$D$15</f>
        <v/>
      </c>
      <c r="K52" s="11">
        <f>I52/J52</f>
        <v/>
      </c>
      <c r="L52" s="8">
        <f>IF(K52&gt;=1,"OVER LIMIT",IF(K52&gt;=0.85,"CRITICAL",IF(K52&gt;=0.6,"WARNING","OK")))</f>
        <v/>
      </c>
      <c r="M52" s="6" t="n"/>
      <c r="N52" s="9">
        <f>SUM(N26:N51)</f>
        <v/>
      </c>
      <c r="O52" s="11">
        <f>N52/J52</f>
        <v/>
      </c>
      <c r="P52" s="8">
        <f>IF(O52&gt;=1,"OVER LIMIT",IF(O52&gt;=0.85,"CRITICAL",IF(O52&gt;=0.6,"WARNING","OK")))</f>
        <v/>
      </c>
      <c r="Q52" s="6" t="n"/>
    </row>
  </sheetData>
  <conditionalFormatting sqref="K26:K51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K52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O26:O51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O52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conditionalFormatting sqref="L26:L51">
    <cfRule type="cellIs" priority="5" operator="equal" dxfId="0">
      <formula>"OK"</formula>
    </cfRule>
    <cfRule type="cellIs" priority="6" operator="equal" dxfId="1">
      <formula>"WARNING"</formula>
    </cfRule>
    <cfRule type="cellIs" priority="7" operator="equal" dxfId="2">
      <formula>"CRITICAL"</formula>
    </cfRule>
    <cfRule type="cellIs" priority="8" operator="equal" dxfId="3">
      <formula>"OVER LIMIT"</formula>
    </cfRule>
  </conditionalFormatting>
  <conditionalFormatting sqref="L52">
    <cfRule type="cellIs" priority="9" operator="equal" dxfId="0">
      <formula>"OK"</formula>
    </cfRule>
    <cfRule type="cellIs" priority="10" operator="equal" dxfId="1">
      <formula>"WARNING"</formula>
    </cfRule>
    <cfRule type="cellIs" priority="11" operator="equal" dxfId="2">
      <formula>"CRITICAL"</formula>
    </cfRule>
    <cfRule type="cellIs" priority="12" operator="equal" dxfId="3">
      <formula>"OVER LIMIT"</formula>
    </cfRule>
  </conditionalFormatting>
  <conditionalFormatting sqref="P26:P51">
    <cfRule type="cellIs" priority="13" operator="equal" dxfId="0">
      <formula>"OK"</formula>
    </cfRule>
    <cfRule type="cellIs" priority="14" operator="equal" dxfId="1">
      <formula>"WARNING"</formula>
    </cfRule>
    <cfRule type="cellIs" priority="15" operator="equal" dxfId="2">
      <formula>"CRITICAL"</formula>
    </cfRule>
    <cfRule type="cellIs" priority="16" operator="equal" dxfId="3">
      <formula>"OVER LIMIT"</formula>
    </cfRule>
  </conditionalFormatting>
  <conditionalFormatting sqref="P52">
    <cfRule type="cellIs" priority="17" operator="equal" dxfId="0">
      <formula>"OK"</formula>
    </cfRule>
    <cfRule type="cellIs" priority="18" operator="equal" dxfId="1">
      <formula>"WARNING"</formula>
    </cfRule>
    <cfRule type="cellIs" priority="19" operator="equal" dxfId="2">
      <formula>"CRITICAL"</formula>
    </cfRule>
    <cfRule type="cellIs" priority="20" operator="equal" dxfId="3">
      <formula>"OVER LIMIT"</formula>
    </cfRule>
  </conditionalFormatting>
  <conditionalFormatting sqref="Q26:Q51">
    <cfRule type="cellIs" priority="21" operator="notEqual" dxfId="3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2026-07-06T04:18:18Z</dcterms:created>
  <dcterms:modified xsi:type="dcterms:W3CDTF">2026-07-06T04:18:18Z</dcterms:modified>
</cp:coreProperties>
</file>