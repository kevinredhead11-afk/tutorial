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ding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1F4E5F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A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45"/>
  <sheetViews>
    <sheetView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15" customWidth="1" min="3" max="3"/>
    <col width="20" customWidth="1" min="4" max="4"/>
    <col width="12" customWidth="1" min="5" max="5"/>
    <col width="13" customWidth="1" min="6" max="6"/>
    <col width="20" customWidth="1" min="7" max="7"/>
    <col width="13" customWidth="1" min="8" max="8"/>
    <col width="16" customWidth="1" min="9" max="9"/>
    <col width="14" customWidth="1" min="10" max="10"/>
    <col width="16" customWidth="1" min="11" max="11"/>
    <col width="20" customWidth="1" min="12" max="12"/>
    <col width="14" customWidth="1" min="13" max="13"/>
    <col width="12" customWidth="1" min="14" max="14"/>
  </cols>
  <sheetData>
    <row r="2">
      <c r="B2" s="1" t="inlineStr">
        <is>
          <t>Primene JMT - Maximum Loading Calculator (sulfate media, reductive PLS: Fe2+ / Ce3+ / U(IV))</t>
        </is>
      </c>
    </row>
    <row r="4">
      <c r="B4" s="2" t="inlineStr">
        <is>
          <t>Organic Phase Inputs</t>
        </is>
      </c>
    </row>
    <row r="5">
      <c r="B5" s="2" t="inlineStr">
        <is>
          <t>Extractant</t>
        </is>
      </c>
      <c r="D5" s="3" t="inlineStr">
        <is>
          <t>Primene JMT</t>
        </is>
      </c>
    </row>
    <row r="6">
      <c r="B6" s="2" t="inlineStr">
        <is>
          <t>Diluent</t>
        </is>
      </c>
      <c r="D6" s="3" t="inlineStr">
        <is>
          <t>ORFOM</t>
        </is>
      </c>
    </row>
    <row r="7">
      <c r="B7" s="2" t="inlineStr">
        <is>
          <t>% v/v Primene JMT</t>
        </is>
      </c>
      <c r="D7" s="3" t="n">
        <v>10</v>
      </c>
    </row>
    <row r="8">
      <c r="B8" s="2" t="inlineStr">
        <is>
          <t>% v/v ORFOM diluent</t>
        </is>
      </c>
      <c r="D8" s="3" t="n">
        <v>90</v>
      </c>
    </row>
    <row r="9">
      <c r="B9" s="2" t="inlineStr">
        <is>
          <t>Primene JMT density (g/mL)</t>
        </is>
      </c>
      <c r="D9" s="3" t="n">
        <v>0.86</v>
      </c>
    </row>
    <row r="10">
      <c r="B10" s="2" t="inlineStr">
        <is>
          <t>Primene JMT MW (g/mol)</t>
        </is>
      </c>
      <c r="D10" s="3" t="n">
        <v>185</v>
      </c>
    </row>
    <row r="11">
      <c r="B11" s="2" t="inlineStr">
        <is>
          <t>Free H2SO4 - Feed (g/L)</t>
        </is>
      </c>
      <c r="D11" s="3" t="n">
        <v>20</v>
      </c>
    </row>
    <row r="12">
      <c r="B12" s="2" t="inlineStr">
        <is>
          <t>Free H2SO4 - Raffinate (g/L)</t>
        </is>
      </c>
      <c r="D12" s="3" t="n">
        <v>5</v>
      </c>
    </row>
    <row r="14">
      <c r="B14" s="2" t="inlineStr">
        <is>
          <t>Active amine concentration (mol/L organic)</t>
        </is>
      </c>
      <c r="D14" s="4">
        <f>(D7/100)*D9*1000/D10</f>
        <v/>
      </c>
    </row>
    <row r="15">
      <c r="B15" s="2" t="inlineStr">
        <is>
          <t>Total amine capacity (eq/L)</t>
        </is>
      </c>
      <c r="D15" s="4">
        <f>D14</f>
        <v/>
      </c>
    </row>
    <row r="17">
      <c r="B17" s="2" t="inlineStr">
        <is>
          <t>Element Loading Table</t>
        </is>
      </c>
    </row>
    <row r="18">
      <c r="B18" s="5" t="inlineStr">
        <is>
          <t>#</t>
        </is>
      </c>
      <c r="C18" s="5" t="inlineStr">
        <is>
          <t>Element</t>
        </is>
      </c>
      <c r="D18" s="5" t="inlineStr">
        <is>
          <t>Symbol</t>
        </is>
      </c>
      <c r="E18" s="5" t="inlineStr">
        <is>
          <t>Atomic Weight (g/mol)</t>
        </is>
      </c>
      <c r="F18" s="5" t="inlineStr">
        <is>
          <t>Assumed Valence</t>
        </is>
      </c>
      <c r="G18" s="5" t="inlineStr">
        <is>
          <t>Dominant Sulfate Complex</t>
        </is>
      </c>
      <c r="H18" s="5" t="inlineStr">
        <is>
          <t>n (amine/metal)</t>
        </is>
      </c>
      <c r="I18" s="5" t="inlineStr">
        <is>
          <t>Loaded ppm (mg/L organic)</t>
        </is>
      </c>
      <c r="J18" s="5" t="inlineStr">
        <is>
          <t>Concentration (mol/L)</t>
        </is>
      </c>
      <c r="K18" s="5" t="inlineStr">
        <is>
          <t>Equivalents Consumed (eq/L)</t>
        </is>
      </c>
      <c r="L18" s="5" t="inlineStr">
        <is>
          <t>Individual Theoretical Max (ppm)</t>
        </is>
      </c>
      <c r="M18" s="5" t="inlineStr">
        <is>
          <t>% Individual Saturation</t>
        </is>
      </c>
      <c r="N18" s="5" t="inlineStr">
        <is>
          <t>Status</t>
        </is>
      </c>
    </row>
    <row r="19">
      <c r="B19" s="6" t="n">
        <v>1</v>
      </c>
      <c r="C19" s="6" t="inlineStr">
        <is>
          <t>Aluminum</t>
        </is>
      </c>
      <c r="D19" s="6" t="inlineStr">
        <is>
          <t>Al</t>
        </is>
      </c>
      <c r="E19" s="6" t="n">
        <v>27</v>
      </c>
      <c r="F19" s="6" t="inlineStr">
        <is>
          <t>3+</t>
        </is>
      </c>
      <c r="G19" s="6" t="inlineStr">
        <is>
          <t>Al(SO4)3(3-)</t>
        </is>
      </c>
      <c r="H19" s="3" t="n">
        <v>3</v>
      </c>
      <c r="I19" s="3" t="n">
        <v>850</v>
      </c>
      <c r="J19" s="6">
        <f>(I19/1000)/E19</f>
        <v/>
      </c>
      <c r="K19" s="6">
        <f>J19*H19</f>
        <v/>
      </c>
      <c r="L19" s="6">
        <f>($D$15/H19)*E19*1000</f>
        <v/>
      </c>
      <c r="M19" s="7">
        <f>I19/L19</f>
        <v/>
      </c>
      <c r="N19" s="6">
        <f>IF(M19&gt;=1,"OVER LIMIT",IF(M19&gt;=0.85,"CRITICAL",IF(M19&gt;=0.6,"WARNING","OK")))</f>
        <v/>
      </c>
    </row>
    <row r="20">
      <c r="B20" s="6" t="n">
        <v>2</v>
      </c>
      <c r="C20" s="6" t="inlineStr">
        <is>
          <t>Scandium</t>
        </is>
      </c>
      <c r="D20" s="6" t="inlineStr">
        <is>
          <t>Sc</t>
        </is>
      </c>
      <c r="E20" s="6" t="n">
        <v>45</v>
      </c>
      <c r="F20" s="6" t="inlineStr">
        <is>
          <t>3+</t>
        </is>
      </c>
      <c r="G20" s="6" t="inlineStr">
        <is>
          <t>Sc(SO4)3(3-)</t>
        </is>
      </c>
      <c r="H20" s="3" t="n">
        <v>3</v>
      </c>
      <c r="I20" s="3" t="n">
        <v>45</v>
      </c>
      <c r="J20" s="6">
        <f>(I20/1000)/E20</f>
        <v/>
      </c>
      <c r="K20" s="6">
        <f>J20*H20</f>
        <v/>
      </c>
      <c r="L20" s="6">
        <f>($D$15/H20)*E20*1000</f>
        <v/>
      </c>
      <c r="M20" s="7">
        <f>I20/L20</f>
        <v/>
      </c>
      <c r="N20" s="6">
        <f>IF(M20&gt;=1,"OVER LIMIT",IF(M20&gt;=0.85,"CRITICAL",IF(M20&gt;=0.6,"WARNING","OK")))</f>
        <v/>
      </c>
    </row>
    <row r="21">
      <c r="B21" s="6" t="n">
        <v>3</v>
      </c>
      <c r="C21" s="6" t="inlineStr">
        <is>
          <t>Iron</t>
        </is>
      </c>
      <c r="D21" s="6" t="inlineStr">
        <is>
          <t>Fe</t>
        </is>
      </c>
      <c r="E21" s="6" t="n">
        <v>56</v>
      </c>
      <c r="F21" s="6" t="inlineStr">
        <is>
          <t>2+</t>
        </is>
      </c>
      <c r="G21" s="6" t="inlineStr">
        <is>
          <t>Fe(SO4)2(2-)</t>
        </is>
      </c>
      <c r="H21" s="3" t="n">
        <v>2</v>
      </c>
      <c r="I21" s="3" t="n">
        <v>120</v>
      </c>
      <c r="J21" s="6">
        <f>(I21/1000)/E21</f>
        <v/>
      </c>
      <c r="K21" s="6">
        <f>J21*H21</f>
        <v/>
      </c>
      <c r="L21" s="6">
        <f>($D$15/H21)*E21*1000</f>
        <v/>
      </c>
      <c r="M21" s="7">
        <f>I21/L21</f>
        <v/>
      </c>
      <c r="N21" s="6">
        <f>IF(M21&gt;=1,"OVER LIMIT",IF(M21&gt;=0.85,"CRITICAL",IF(M21&gt;=0.6,"WARNING","OK")))</f>
        <v/>
      </c>
    </row>
    <row r="22">
      <c r="B22" s="6" t="n">
        <v>4</v>
      </c>
      <c r="C22" s="6" t="inlineStr">
        <is>
          <t>Cobalt</t>
        </is>
      </c>
      <c r="D22" s="6" t="inlineStr">
        <is>
          <t>Co</t>
        </is>
      </c>
      <c r="E22" s="6" t="n">
        <v>59</v>
      </c>
      <c r="F22" s="6" t="inlineStr">
        <is>
          <t>2+</t>
        </is>
      </c>
      <c r="G22" s="6" t="inlineStr">
        <is>
          <t>Co(SO4)2(2-)</t>
        </is>
      </c>
      <c r="H22" s="3" t="n">
        <v>2</v>
      </c>
      <c r="I22" s="3" t="n">
        <v>15</v>
      </c>
      <c r="J22" s="6">
        <f>(I22/1000)/E22</f>
        <v/>
      </c>
      <c r="K22" s="6">
        <f>J22*H22</f>
        <v/>
      </c>
      <c r="L22" s="6">
        <f>($D$15/H22)*E22*1000</f>
        <v/>
      </c>
      <c r="M22" s="7">
        <f>I22/L22</f>
        <v/>
      </c>
      <c r="N22" s="6">
        <f>IF(M22&gt;=1,"OVER LIMIT",IF(M22&gt;=0.85,"CRITICAL",IF(M22&gt;=0.6,"WARNING","OK")))</f>
        <v/>
      </c>
    </row>
    <row r="23">
      <c r="B23" s="6" t="n">
        <v>5</v>
      </c>
      <c r="C23" s="6" t="inlineStr">
        <is>
          <t>Zinc</t>
        </is>
      </c>
      <c r="D23" s="6" t="inlineStr">
        <is>
          <t>Zn</t>
        </is>
      </c>
      <c r="E23" s="6" t="n">
        <v>66</v>
      </c>
      <c r="F23" s="6" t="inlineStr">
        <is>
          <t>2+</t>
        </is>
      </c>
      <c r="G23" s="6" t="inlineStr">
        <is>
          <t>Zn(SO4)2(2-)</t>
        </is>
      </c>
      <c r="H23" s="3" t="n">
        <v>2</v>
      </c>
      <c r="I23" s="3" t="n">
        <v>30</v>
      </c>
      <c r="J23" s="6">
        <f>(I23/1000)/E23</f>
        <v/>
      </c>
      <c r="K23" s="6">
        <f>J23*H23</f>
        <v/>
      </c>
      <c r="L23" s="6">
        <f>($D$15/H23)*E23*1000</f>
        <v/>
      </c>
      <c r="M23" s="7">
        <f>I23/L23</f>
        <v/>
      </c>
      <c r="N23" s="6">
        <f>IF(M23&gt;=1,"OVER LIMIT",IF(M23&gt;=0.85,"CRITICAL",IF(M23&gt;=0.6,"WARNING","OK")))</f>
        <v/>
      </c>
    </row>
    <row r="24">
      <c r="B24" s="6" t="n">
        <v>6</v>
      </c>
      <c r="C24" s="6" t="inlineStr">
        <is>
          <t>Gallium</t>
        </is>
      </c>
      <c r="D24" s="6" t="inlineStr">
        <is>
          <t>Ga</t>
        </is>
      </c>
      <c r="E24" s="6" t="n">
        <v>69</v>
      </c>
      <c r="F24" s="6" t="inlineStr">
        <is>
          <t>3+</t>
        </is>
      </c>
      <c r="G24" s="6" t="inlineStr">
        <is>
          <t>Ga(SO4)3(3-)</t>
        </is>
      </c>
      <c r="H24" s="3" t="n">
        <v>3</v>
      </c>
      <c r="I24" s="3" t="n">
        <v>8</v>
      </c>
      <c r="J24" s="6">
        <f>(I24/1000)/E24</f>
        <v/>
      </c>
      <c r="K24" s="6">
        <f>J24*H24</f>
        <v/>
      </c>
      <c r="L24" s="6">
        <f>($D$15/H24)*E24*1000</f>
        <v/>
      </c>
      <c r="M24" s="7">
        <f>I24/L24</f>
        <v/>
      </c>
      <c r="N24" s="6">
        <f>IF(M24&gt;=1,"OVER LIMIT",IF(M24&gt;=0.85,"CRITICAL",IF(M24&gt;=0.6,"WARNING","OK")))</f>
        <v/>
      </c>
    </row>
    <row r="25">
      <c r="B25" s="6" t="n">
        <v>7</v>
      </c>
      <c r="C25" s="6" t="inlineStr">
        <is>
          <t>Rubidium</t>
        </is>
      </c>
      <c r="D25" s="6" t="inlineStr">
        <is>
          <t>Rb</t>
        </is>
      </c>
      <c r="E25" s="6" t="n">
        <v>85</v>
      </c>
      <c r="F25" s="6" t="inlineStr">
        <is>
          <t>1+</t>
        </is>
      </c>
      <c r="G25" s="6" t="inlineStr">
        <is>
          <t>Ion pair Rb+/HSO4-</t>
        </is>
      </c>
      <c r="H25" s="3" t="n">
        <v>1</v>
      </c>
      <c r="I25" s="3" t="n">
        <v>2</v>
      </c>
      <c r="J25" s="6">
        <f>(I25/1000)/E25</f>
        <v/>
      </c>
      <c r="K25" s="6">
        <f>J25*H25</f>
        <v/>
      </c>
      <c r="L25" s="6">
        <f>($D$15/H25)*E25*1000</f>
        <v/>
      </c>
      <c r="M25" s="7">
        <f>I25/L25</f>
        <v/>
      </c>
      <c r="N25" s="6">
        <f>IF(M25&gt;=1,"OVER LIMIT",IF(M25&gt;=0.85,"CRITICAL",IF(M25&gt;=0.6,"WARNING","OK")))</f>
        <v/>
      </c>
    </row>
    <row r="26">
      <c r="B26" s="6" t="n">
        <v>8</v>
      </c>
      <c r="C26" s="6" t="inlineStr">
        <is>
          <t>Yttrium</t>
        </is>
      </c>
      <c r="D26" s="6" t="inlineStr">
        <is>
          <t>Y</t>
        </is>
      </c>
      <c r="E26" s="6" t="n">
        <v>89</v>
      </c>
      <c r="F26" s="6" t="inlineStr">
        <is>
          <t>3+</t>
        </is>
      </c>
      <c r="G26" s="6" t="inlineStr">
        <is>
          <t>Y(SO4)3(3-)</t>
        </is>
      </c>
      <c r="H26" s="3" t="n">
        <v>3</v>
      </c>
      <c r="I26" s="3" t="n">
        <v>60</v>
      </c>
      <c r="J26" s="6">
        <f>(I26/1000)/E26</f>
        <v/>
      </c>
      <c r="K26" s="6">
        <f>J26*H26</f>
        <v/>
      </c>
      <c r="L26" s="6">
        <f>($D$15/H26)*E26*1000</f>
        <v/>
      </c>
      <c r="M26" s="7">
        <f>I26/L26</f>
        <v/>
      </c>
      <c r="N26" s="6">
        <f>IF(M26&gt;=1,"OVER LIMIT",IF(M26&gt;=0.85,"CRITICAL",IF(M26&gt;=0.6,"WARNING","OK")))</f>
        <v/>
      </c>
    </row>
    <row r="27">
      <c r="B27" s="6" t="n">
        <v>9</v>
      </c>
      <c r="C27" s="6" t="inlineStr">
        <is>
          <t>Zirconium</t>
        </is>
      </c>
      <c r="D27" s="6" t="inlineStr">
        <is>
          <t>Zr</t>
        </is>
      </c>
      <c r="E27" s="6" t="n">
        <v>91</v>
      </c>
      <c r="F27" s="6" t="inlineStr">
        <is>
          <t>4+</t>
        </is>
      </c>
      <c r="G27" s="6" t="inlineStr">
        <is>
          <t>ZrO(SO4)2(2-)</t>
        </is>
      </c>
      <c r="H27" s="3" t="n">
        <v>2</v>
      </c>
      <c r="I27" s="3" t="n">
        <v>25</v>
      </c>
      <c r="J27" s="6">
        <f>(I27/1000)/E27</f>
        <v/>
      </c>
      <c r="K27" s="6">
        <f>J27*H27</f>
        <v/>
      </c>
      <c r="L27" s="6">
        <f>($D$15/H27)*E27*1000</f>
        <v/>
      </c>
      <c r="M27" s="7">
        <f>I27/L27</f>
        <v/>
      </c>
      <c r="N27" s="6">
        <f>IF(M27&gt;=1,"OVER LIMIT",IF(M27&gt;=0.85,"CRITICAL",IF(M27&gt;=0.6,"WARNING","OK")))</f>
        <v/>
      </c>
    </row>
    <row r="28">
      <c r="B28" s="6" t="n">
        <v>10</v>
      </c>
      <c r="C28" s="6" t="inlineStr">
        <is>
          <t>Lanthanum</t>
        </is>
      </c>
      <c r="D28" s="6" t="inlineStr">
        <is>
          <t>La</t>
        </is>
      </c>
      <c r="E28" s="6" t="n">
        <v>139</v>
      </c>
      <c r="F28" s="6" t="inlineStr">
        <is>
          <t>3+</t>
        </is>
      </c>
      <c r="G28" s="6" t="inlineStr">
        <is>
          <t>La(SO4)3(3-)</t>
        </is>
      </c>
      <c r="H28" s="3" t="n">
        <v>3</v>
      </c>
      <c r="I28" s="3" t="n">
        <v>300</v>
      </c>
      <c r="J28" s="6">
        <f>(I28/1000)/E28</f>
        <v/>
      </c>
      <c r="K28" s="6">
        <f>J28*H28</f>
        <v/>
      </c>
      <c r="L28" s="6">
        <f>($D$15/H28)*E28*1000</f>
        <v/>
      </c>
      <c r="M28" s="7">
        <f>I28/L28</f>
        <v/>
      </c>
      <c r="N28" s="6">
        <f>IF(M28&gt;=1,"OVER LIMIT",IF(M28&gt;=0.85,"CRITICAL",IF(M28&gt;=0.6,"WARNING","OK")))</f>
        <v/>
      </c>
    </row>
    <row r="29">
      <c r="B29" s="6" t="n">
        <v>11</v>
      </c>
      <c r="C29" s="6" t="inlineStr">
        <is>
          <t>Cerium</t>
        </is>
      </c>
      <c r="D29" s="6" t="inlineStr">
        <is>
          <t>Ce</t>
        </is>
      </c>
      <c r="E29" s="6" t="n">
        <v>140</v>
      </c>
      <c r="F29" s="6" t="inlineStr">
        <is>
          <t>3+</t>
        </is>
      </c>
      <c r="G29" s="6" t="inlineStr">
        <is>
          <t>Ce(SO4)3(3-)</t>
        </is>
      </c>
      <c r="H29" s="3" t="n">
        <v>3</v>
      </c>
      <c r="I29" s="3" t="n">
        <v>550</v>
      </c>
      <c r="J29" s="6">
        <f>(I29/1000)/E29</f>
        <v/>
      </c>
      <c r="K29" s="6">
        <f>J29*H29</f>
        <v/>
      </c>
      <c r="L29" s="6">
        <f>($D$15/H29)*E29*1000</f>
        <v/>
      </c>
      <c r="M29" s="7">
        <f>I29/L29</f>
        <v/>
      </c>
      <c r="N29" s="6">
        <f>IF(M29&gt;=1,"OVER LIMIT",IF(M29&gt;=0.85,"CRITICAL",IF(M29&gt;=0.6,"WARNING","OK")))</f>
        <v/>
      </c>
    </row>
    <row r="30">
      <c r="B30" s="6" t="n">
        <v>12</v>
      </c>
      <c r="C30" s="6" t="inlineStr">
        <is>
          <t>Praseodymium</t>
        </is>
      </c>
      <c r="D30" s="6" t="inlineStr">
        <is>
          <t>Pr</t>
        </is>
      </c>
      <c r="E30" s="6" t="n">
        <v>141</v>
      </c>
      <c r="F30" s="6" t="inlineStr">
        <is>
          <t>3+</t>
        </is>
      </c>
      <c r="G30" s="6" t="inlineStr">
        <is>
          <t>Pr(SO4)3(3-)</t>
        </is>
      </c>
      <c r="H30" s="3" t="n">
        <v>3</v>
      </c>
      <c r="I30" s="3" t="n">
        <v>70</v>
      </c>
      <c r="J30" s="6">
        <f>(I30/1000)/E30</f>
        <v/>
      </c>
      <c r="K30" s="6">
        <f>J30*H30</f>
        <v/>
      </c>
      <c r="L30" s="6">
        <f>($D$15/H30)*E30*1000</f>
        <v/>
      </c>
      <c r="M30" s="7">
        <f>I30/L30</f>
        <v/>
      </c>
      <c r="N30" s="6">
        <f>IF(M30&gt;=1,"OVER LIMIT",IF(M30&gt;=0.85,"CRITICAL",IF(M30&gt;=0.6,"WARNING","OK")))</f>
        <v/>
      </c>
    </row>
    <row r="31">
      <c r="B31" s="6" t="n">
        <v>13</v>
      </c>
      <c r="C31" s="6" t="inlineStr">
        <is>
          <t>Neodymium</t>
        </is>
      </c>
      <c r="D31" s="6" t="inlineStr">
        <is>
          <t>Nd</t>
        </is>
      </c>
      <c r="E31" s="6" t="n">
        <v>146</v>
      </c>
      <c r="F31" s="6" t="inlineStr">
        <is>
          <t>3+</t>
        </is>
      </c>
      <c r="G31" s="6" t="inlineStr">
        <is>
          <t>Nd(SO4)3(3-)</t>
        </is>
      </c>
      <c r="H31" s="3" t="n">
        <v>3</v>
      </c>
      <c r="I31" s="3" t="n">
        <v>240</v>
      </c>
      <c r="J31" s="6">
        <f>(I31/1000)/E31</f>
        <v/>
      </c>
      <c r="K31" s="6">
        <f>J31*H31</f>
        <v/>
      </c>
      <c r="L31" s="6">
        <f>($D$15/H31)*E31*1000</f>
        <v/>
      </c>
      <c r="M31" s="7">
        <f>I31/L31</f>
        <v/>
      </c>
      <c r="N31" s="6">
        <f>IF(M31&gt;=1,"OVER LIMIT",IF(M31&gt;=0.85,"CRITICAL",IF(M31&gt;=0.6,"WARNING","OK")))</f>
        <v/>
      </c>
    </row>
    <row r="32">
      <c r="B32" s="6" t="n">
        <v>14</v>
      </c>
      <c r="C32" s="6" t="inlineStr">
        <is>
          <t>Samarium</t>
        </is>
      </c>
      <c r="D32" s="6" t="inlineStr">
        <is>
          <t>Sm</t>
        </is>
      </c>
      <c r="E32" s="6" t="n">
        <v>147</v>
      </c>
      <c r="F32" s="6" t="inlineStr">
        <is>
          <t>3+</t>
        </is>
      </c>
      <c r="G32" s="6" t="inlineStr">
        <is>
          <t>Sm(SO4)3(3-)</t>
        </is>
      </c>
      <c r="H32" s="3" t="n">
        <v>3</v>
      </c>
      <c r="I32" s="3" t="n">
        <v>40</v>
      </c>
      <c r="J32" s="6">
        <f>(I32/1000)/E32</f>
        <v/>
      </c>
      <c r="K32" s="6">
        <f>J32*H32</f>
        <v/>
      </c>
      <c r="L32" s="6">
        <f>($D$15/H32)*E32*1000</f>
        <v/>
      </c>
      <c r="M32" s="7">
        <f>I32/L32</f>
        <v/>
      </c>
      <c r="N32" s="6">
        <f>IF(M32&gt;=1,"OVER LIMIT",IF(M32&gt;=0.85,"CRITICAL",IF(M32&gt;=0.6,"WARNING","OK")))</f>
        <v/>
      </c>
    </row>
    <row r="33">
      <c r="B33" s="6" t="n">
        <v>15</v>
      </c>
      <c r="C33" s="6" t="inlineStr">
        <is>
          <t>Europium</t>
        </is>
      </c>
      <c r="D33" s="6" t="inlineStr">
        <is>
          <t>Eu</t>
        </is>
      </c>
      <c r="E33" s="6" t="n">
        <v>153</v>
      </c>
      <c r="F33" s="6" t="inlineStr">
        <is>
          <t>3+</t>
        </is>
      </c>
      <c r="G33" s="6" t="inlineStr">
        <is>
          <t>Eu(SO4)3(3-)</t>
        </is>
      </c>
      <c r="H33" s="3" t="n">
        <v>3</v>
      </c>
      <c r="I33" s="3" t="n">
        <v>8</v>
      </c>
      <c r="J33" s="6">
        <f>(I33/1000)/E33</f>
        <v/>
      </c>
      <c r="K33" s="6">
        <f>J33*H33</f>
        <v/>
      </c>
      <c r="L33" s="6">
        <f>($D$15/H33)*E33*1000</f>
        <v/>
      </c>
      <c r="M33" s="7">
        <f>I33/L33</f>
        <v/>
      </c>
      <c r="N33" s="6">
        <f>IF(M33&gt;=1,"OVER LIMIT",IF(M33&gt;=0.85,"CRITICAL",IF(M33&gt;=0.6,"WARNING","OK")))</f>
        <v/>
      </c>
    </row>
    <row r="34">
      <c r="B34" s="6" t="n">
        <v>16</v>
      </c>
      <c r="C34" s="6" t="inlineStr">
        <is>
          <t>Gadolinium</t>
        </is>
      </c>
      <c r="D34" s="6" t="inlineStr">
        <is>
          <t>Gd</t>
        </is>
      </c>
      <c r="E34" s="6" t="n">
        <v>157</v>
      </c>
      <c r="F34" s="6" t="inlineStr">
        <is>
          <t>3+</t>
        </is>
      </c>
      <c r="G34" s="6" t="inlineStr">
        <is>
          <t>Gd(SO4)3(3-)</t>
        </is>
      </c>
      <c r="H34" s="3" t="n">
        <v>3</v>
      </c>
      <c r="I34" s="3" t="n">
        <v>35</v>
      </c>
      <c r="J34" s="6">
        <f>(I34/1000)/E34</f>
        <v/>
      </c>
      <c r="K34" s="6">
        <f>J34*H34</f>
        <v/>
      </c>
      <c r="L34" s="6">
        <f>($D$15/H34)*E34*1000</f>
        <v/>
      </c>
      <c r="M34" s="7">
        <f>I34/L34</f>
        <v/>
      </c>
      <c r="N34" s="6">
        <f>IF(M34&gt;=1,"OVER LIMIT",IF(M34&gt;=0.85,"CRITICAL",IF(M34&gt;=0.6,"WARNING","OK")))</f>
        <v/>
      </c>
    </row>
    <row r="35">
      <c r="B35" s="6" t="n">
        <v>17</v>
      </c>
      <c r="C35" s="6" t="inlineStr">
        <is>
          <t>Terbium</t>
        </is>
      </c>
      <c r="D35" s="6" t="inlineStr">
        <is>
          <t>Tb</t>
        </is>
      </c>
      <c r="E35" s="6" t="n">
        <v>159</v>
      </c>
      <c r="F35" s="6" t="inlineStr">
        <is>
          <t>3+</t>
        </is>
      </c>
      <c r="G35" s="6" t="inlineStr">
        <is>
          <t>Tb(SO4)3(3-)</t>
        </is>
      </c>
      <c r="H35" s="3" t="n">
        <v>3</v>
      </c>
      <c r="I35" s="3" t="n">
        <v>5</v>
      </c>
      <c r="J35" s="6">
        <f>(I35/1000)/E35</f>
        <v/>
      </c>
      <c r="K35" s="6">
        <f>J35*H35</f>
        <v/>
      </c>
      <c r="L35" s="6">
        <f>($D$15/H35)*E35*1000</f>
        <v/>
      </c>
      <c r="M35" s="7">
        <f>I35/L35</f>
        <v/>
      </c>
      <c r="N35" s="6">
        <f>IF(M35&gt;=1,"OVER LIMIT",IF(M35&gt;=0.85,"CRITICAL",IF(M35&gt;=0.6,"WARNING","OK")))</f>
        <v/>
      </c>
    </row>
    <row r="36">
      <c r="B36" s="6" t="n">
        <v>18</v>
      </c>
      <c r="C36" s="6" t="inlineStr">
        <is>
          <t>Dysprosium</t>
        </is>
      </c>
      <c r="D36" s="6" t="inlineStr">
        <is>
          <t>Dy</t>
        </is>
      </c>
      <c r="E36" s="6" t="n">
        <v>163</v>
      </c>
      <c r="F36" s="6" t="inlineStr">
        <is>
          <t>3+</t>
        </is>
      </c>
      <c r="G36" s="6" t="inlineStr">
        <is>
          <t>Dy(SO4)3(3-)</t>
        </is>
      </c>
      <c r="H36" s="3" t="n">
        <v>3</v>
      </c>
      <c r="I36" s="3" t="n">
        <v>20</v>
      </c>
      <c r="J36" s="6">
        <f>(I36/1000)/E36</f>
        <v/>
      </c>
      <c r="K36" s="6">
        <f>J36*H36</f>
        <v/>
      </c>
      <c r="L36" s="6">
        <f>($D$15/H36)*E36*1000</f>
        <v/>
      </c>
      <c r="M36" s="7">
        <f>I36/L36</f>
        <v/>
      </c>
      <c r="N36" s="6">
        <f>IF(M36&gt;=1,"OVER LIMIT",IF(M36&gt;=0.85,"CRITICAL",IF(M36&gt;=0.6,"WARNING","OK")))</f>
        <v/>
      </c>
    </row>
    <row r="37">
      <c r="B37" s="6" t="n">
        <v>19</v>
      </c>
      <c r="C37" s="6" t="inlineStr">
        <is>
          <t>Holmium</t>
        </is>
      </c>
      <c r="D37" s="6" t="inlineStr">
        <is>
          <t>Ho</t>
        </is>
      </c>
      <c r="E37" s="6" t="n">
        <v>165</v>
      </c>
      <c r="F37" s="6" t="inlineStr">
        <is>
          <t>3+</t>
        </is>
      </c>
      <c r="G37" s="6" t="inlineStr">
        <is>
          <t>Ho(SO4)3(3-)</t>
        </is>
      </c>
      <c r="H37" s="3" t="n">
        <v>3</v>
      </c>
      <c r="I37" s="3" t="n">
        <v>4</v>
      </c>
      <c r="J37" s="6">
        <f>(I37/1000)/E37</f>
        <v/>
      </c>
      <c r="K37" s="6">
        <f>J37*H37</f>
        <v/>
      </c>
      <c r="L37" s="6">
        <f>($D$15/H37)*E37*1000</f>
        <v/>
      </c>
      <c r="M37" s="7">
        <f>I37/L37</f>
        <v/>
      </c>
      <c r="N37" s="6">
        <f>IF(M37&gt;=1,"OVER LIMIT",IF(M37&gt;=0.85,"CRITICAL",IF(M37&gt;=0.6,"WARNING","OK")))</f>
        <v/>
      </c>
    </row>
    <row r="38">
      <c r="B38" s="6" t="n">
        <v>20</v>
      </c>
      <c r="C38" s="6" t="inlineStr">
        <is>
          <t>Erbium</t>
        </is>
      </c>
      <c r="D38" s="6" t="inlineStr">
        <is>
          <t>Er</t>
        </is>
      </c>
      <c r="E38" s="6" t="n">
        <v>166</v>
      </c>
      <c r="F38" s="6" t="inlineStr">
        <is>
          <t>3+</t>
        </is>
      </c>
      <c r="G38" s="6" t="inlineStr">
        <is>
          <t>Er(SO4)3(3-)</t>
        </is>
      </c>
      <c r="H38" s="3" t="n">
        <v>3</v>
      </c>
      <c r="I38" s="3" t="n">
        <v>10</v>
      </c>
      <c r="J38" s="6">
        <f>(I38/1000)/E38</f>
        <v/>
      </c>
      <c r="K38" s="6">
        <f>J38*H38</f>
        <v/>
      </c>
      <c r="L38" s="6">
        <f>($D$15/H38)*E38*1000</f>
        <v/>
      </c>
      <c r="M38" s="7">
        <f>I38/L38</f>
        <v/>
      </c>
      <c r="N38" s="6">
        <f>IF(M38&gt;=1,"OVER LIMIT",IF(M38&gt;=0.85,"CRITICAL",IF(M38&gt;=0.6,"WARNING","OK")))</f>
        <v/>
      </c>
    </row>
    <row r="39">
      <c r="B39" s="6" t="n">
        <v>21</v>
      </c>
      <c r="C39" s="6" t="inlineStr">
        <is>
          <t>Thulium</t>
        </is>
      </c>
      <c r="D39" s="6" t="inlineStr">
        <is>
          <t>Tm</t>
        </is>
      </c>
      <c r="E39" s="6" t="n">
        <v>169</v>
      </c>
      <c r="F39" s="6" t="inlineStr">
        <is>
          <t>3+</t>
        </is>
      </c>
      <c r="G39" s="6" t="inlineStr">
        <is>
          <t>Tm(SO4)3(3-)</t>
        </is>
      </c>
      <c r="H39" s="3" t="n">
        <v>3</v>
      </c>
      <c r="I39" s="3" t="n">
        <v>1.5</v>
      </c>
      <c r="J39" s="6">
        <f>(I39/1000)/E39</f>
        <v/>
      </c>
      <c r="K39" s="6">
        <f>J39*H39</f>
        <v/>
      </c>
      <c r="L39" s="6">
        <f>($D$15/H39)*E39*1000</f>
        <v/>
      </c>
      <c r="M39" s="7">
        <f>I39/L39</f>
        <v/>
      </c>
      <c r="N39" s="6">
        <f>IF(M39&gt;=1,"OVER LIMIT",IF(M39&gt;=0.85,"CRITICAL",IF(M39&gt;=0.6,"WARNING","OK")))</f>
        <v/>
      </c>
    </row>
    <row r="40">
      <c r="B40" s="6" t="n">
        <v>22</v>
      </c>
      <c r="C40" s="6" t="inlineStr">
        <is>
          <t>Ytterbium</t>
        </is>
      </c>
      <c r="D40" s="6" t="inlineStr">
        <is>
          <t>Yb</t>
        </is>
      </c>
      <c r="E40" s="6" t="n">
        <v>172</v>
      </c>
      <c r="F40" s="6" t="inlineStr">
        <is>
          <t>3+</t>
        </is>
      </c>
      <c r="G40" s="6" t="inlineStr">
        <is>
          <t>Yb(SO4)3(3-)</t>
        </is>
      </c>
      <c r="H40" s="3" t="n">
        <v>3</v>
      </c>
      <c r="I40" s="3" t="n">
        <v>9</v>
      </c>
      <c r="J40" s="6">
        <f>(I40/1000)/E40</f>
        <v/>
      </c>
      <c r="K40" s="6">
        <f>J40*H40</f>
        <v/>
      </c>
      <c r="L40" s="6">
        <f>($D$15/H40)*E40*1000</f>
        <v/>
      </c>
      <c r="M40" s="7">
        <f>I40/L40</f>
        <v/>
      </c>
      <c r="N40" s="6">
        <f>IF(M40&gt;=1,"OVER LIMIT",IF(M40&gt;=0.85,"CRITICAL",IF(M40&gt;=0.6,"WARNING","OK")))</f>
        <v/>
      </c>
    </row>
    <row r="41">
      <c r="B41" s="6" t="n">
        <v>23</v>
      </c>
      <c r="C41" s="6" t="inlineStr">
        <is>
          <t>Lutetium</t>
        </is>
      </c>
      <c r="D41" s="6" t="inlineStr">
        <is>
          <t>Lu</t>
        </is>
      </c>
      <c r="E41" s="6" t="n">
        <v>175</v>
      </c>
      <c r="F41" s="6" t="inlineStr">
        <is>
          <t>3+</t>
        </is>
      </c>
      <c r="G41" s="6" t="inlineStr">
        <is>
          <t>Lu(SO4)3(3-)</t>
        </is>
      </c>
      <c r="H41" s="3" t="n">
        <v>3</v>
      </c>
      <c r="I41" s="3" t="n">
        <v>1.2</v>
      </c>
      <c r="J41" s="6">
        <f>(I41/1000)/E41</f>
        <v/>
      </c>
      <c r="K41" s="6">
        <f>J41*H41</f>
        <v/>
      </c>
      <c r="L41" s="6">
        <f>($D$15/H41)*E41*1000</f>
        <v/>
      </c>
      <c r="M41" s="7">
        <f>I41/L41</f>
        <v/>
      </c>
      <c r="N41" s="6">
        <f>IF(M41&gt;=1,"OVER LIMIT",IF(M41&gt;=0.85,"CRITICAL",IF(M41&gt;=0.6,"WARNING","OK")))</f>
        <v/>
      </c>
    </row>
    <row r="42">
      <c r="B42" s="6" t="n">
        <v>24</v>
      </c>
      <c r="C42" s="6" t="inlineStr">
        <is>
          <t>Hafnium</t>
        </is>
      </c>
      <c r="D42" s="6" t="inlineStr">
        <is>
          <t>Hf</t>
        </is>
      </c>
      <c r="E42" s="6" t="n">
        <v>178</v>
      </c>
      <c r="F42" s="6" t="inlineStr">
        <is>
          <t>4+</t>
        </is>
      </c>
      <c r="G42" s="6" t="inlineStr">
        <is>
          <t>HfO(SO4)2(2-)</t>
        </is>
      </c>
      <c r="H42" s="3" t="n">
        <v>2</v>
      </c>
      <c r="I42" s="3" t="n">
        <v>3</v>
      </c>
      <c r="J42" s="6">
        <f>(I42/1000)/E42</f>
        <v/>
      </c>
      <c r="K42" s="6">
        <f>J42*H42</f>
        <v/>
      </c>
      <c r="L42" s="6">
        <f>($D$15/H42)*E42*1000</f>
        <v/>
      </c>
      <c r="M42" s="7">
        <f>I42/L42</f>
        <v/>
      </c>
      <c r="N42" s="6">
        <f>IF(M42&gt;=1,"OVER LIMIT",IF(M42&gt;=0.85,"CRITICAL",IF(M42&gt;=0.6,"WARNING","OK")))</f>
        <v/>
      </c>
    </row>
    <row r="43">
      <c r="B43" s="6" t="n">
        <v>25</v>
      </c>
      <c r="C43" s="6" t="inlineStr">
        <is>
          <t>Thorium</t>
        </is>
      </c>
      <c r="D43" s="6" t="inlineStr">
        <is>
          <t>Th</t>
        </is>
      </c>
      <c r="E43" s="6" t="n">
        <v>232</v>
      </c>
      <c r="F43" s="6" t="inlineStr">
        <is>
          <t>4+</t>
        </is>
      </c>
      <c r="G43" s="6" t="inlineStr">
        <is>
          <t>Th(SO4)3(2-)</t>
        </is>
      </c>
      <c r="H43" s="3" t="n">
        <v>2</v>
      </c>
      <c r="I43" s="3" t="n">
        <v>6</v>
      </c>
      <c r="J43" s="6">
        <f>(I43/1000)/E43</f>
        <v/>
      </c>
      <c r="K43" s="6">
        <f>J43*H43</f>
        <v/>
      </c>
      <c r="L43" s="6">
        <f>($D$15/H43)*E43*1000</f>
        <v/>
      </c>
      <c r="M43" s="7">
        <f>I43/L43</f>
        <v/>
      </c>
      <c r="N43" s="6">
        <f>IF(M43&gt;=1,"OVER LIMIT",IF(M43&gt;=0.85,"CRITICAL",IF(M43&gt;=0.6,"WARNING","OK")))</f>
        <v/>
      </c>
    </row>
    <row r="44">
      <c r="B44" s="6" t="n">
        <v>26</v>
      </c>
      <c r="C44" s="6" t="inlineStr">
        <is>
          <t>Uranium</t>
        </is>
      </c>
      <c r="D44" s="6" t="inlineStr">
        <is>
          <t>U</t>
        </is>
      </c>
      <c r="E44" s="6" t="n">
        <v>238</v>
      </c>
      <c r="F44" s="6" t="inlineStr">
        <is>
          <t>4+ (U(IV))</t>
        </is>
      </c>
      <c r="G44" s="6" t="inlineStr">
        <is>
          <t>U(SO4)3(2-)</t>
        </is>
      </c>
      <c r="H44" s="3" t="n">
        <v>2</v>
      </c>
      <c r="I44" s="3" t="n">
        <v>4</v>
      </c>
      <c r="J44" s="6">
        <f>(I44/1000)/E44</f>
        <v/>
      </c>
      <c r="K44" s="6">
        <f>J44*H44</f>
        <v/>
      </c>
      <c r="L44" s="6">
        <f>($D$15/H44)*E44*1000</f>
        <v/>
      </c>
      <c r="M44" s="7">
        <f>I44/L44</f>
        <v/>
      </c>
      <c r="N44" s="6">
        <f>IF(M44&gt;=1,"OVER LIMIT",IF(M44&gt;=0.85,"CRITICAL",IF(M44&gt;=0.6,"WARNING","OK")))</f>
        <v/>
      </c>
    </row>
    <row r="45">
      <c r="B45" s="6" t="n"/>
      <c r="C45" s="8" t="inlineStr">
        <is>
          <t>TOTAL (competitive saturation)</t>
        </is>
      </c>
      <c r="D45" s="6" t="n"/>
      <c r="E45" s="6" t="n"/>
      <c r="F45" s="6" t="n"/>
      <c r="G45" s="6" t="n"/>
      <c r="H45" s="6" t="n"/>
      <c r="I45" s="6" t="n"/>
      <c r="J45" s="6" t="n"/>
      <c r="K45" s="9">
        <f>SUM(K19:K44)</f>
        <v/>
      </c>
      <c r="L45" s="10">
        <f>$D$15</f>
        <v/>
      </c>
      <c r="M45" s="11">
        <f>K45/L45</f>
        <v/>
      </c>
      <c r="N45" s="8">
        <f>IF(M45&gt;=1,"OVER LIMIT",IF(M45&gt;=0.85,"CRITICAL",IF(M45&gt;=0.6,"WARNING","OK")))</f>
        <v/>
      </c>
    </row>
  </sheetData>
  <conditionalFormatting sqref="M19:M44">
    <cfRule type="colorScale" priority="1">
      <colorScale>
        <cfvo type="num" val="0"/>
        <cfvo type="num" val="0.7"/>
        <cfvo type="num" val="1"/>
        <color rgb="0063BE7B"/>
        <color rgb="00FFEB84"/>
        <color rgb="00F8696B"/>
      </colorScale>
    </cfRule>
  </conditionalFormatting>
  <conditionalFormatting sqref="M45">
    <cfRule type="colorScale" priority="1">
      <colorScale>
        <cfvo type="num" val="0"/>
        <cfvo type="num" val="0.7"/>
        <cfvo type="num" val="1"/>
        <color rgb="0063BE7B"/>
        <color rgb="00FFEB84"/>
        <color rgb="00F8696B"/>
      </colorScale>
    </cfRule>
  </conditionalFormatting>
  <conditionalFormatting sqref="N19:N44">
    <cfRule type="cellIs" priority="3" operator="equal" dxfId="0">
      <formula>"OK"</formula>
    </cfRule>
    <cfRule type="cellIs" priority="4" operator="equal" dxfId="1">
      <formula>"WARNING"</formula>
    </cfRule>
    <cfRule type="cellIs" priority="5" operator="equal" dxfId="2">
      <formula>"CRITICAL"</formula>
    </cfRule>
    <cfRule type="cellIs" priority="6" operator="equal" dxfId="3">
      <formula>"OVER LIMIT"</formula>
    </cfRule>
  </conditionalFormatting>
  <conditionalFormatting sqref="N45">
    <cfRule type="cellIs" priority="7" operator="equal" dxfId="0">
      <formula>"OK"</formula>
    </cfRule>
    <cfRule type="cellIs" priority="8" operator="equal" dxfId="1">
      <formula>"WARNING"</formula>
    </cfRule>
    <cfRule type="cellIs" priority="9" operator="equal" dxfId="2">
      <formula>"CRITICAL"</formula>
    </cfRule>
    <cfRule type="cellIs" priority="10" operator="equal" dxfId="3">
      <formula>"OVER LIMIT"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2026-07-06T04:01:36Z</dcterms:created>
  <dcterms:modified xsi:type="dcterms:W3CDTF">2026-07-06T04:01:36Z</dcterms:modified>
</cp:coreProperties>
</file>