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X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A237E"/>
      <sz val="9"/>
    </font>
    <font>
      <name val="Calibri"/>
      <b val="1"/>
      <color rgb="00212121"/>
      <sz val="9"/>
    </font>
    <font>
      <name val="Calibri"/>
      <b val="1"/>
      <color rgb="002E7D32"/>
      <sz val="9"/>
    </font>
    <font>
      <name val="Calibri"/>
      <b val="1"/>
      <color rgb="000D47A1"/>
      <sz val="9"/>
    </font>
    <font>
      <name val="Calibri"/>
      <b val="1"/>
      <color rgb="00FFFFFF"/>
      <sz val="12"/>
    </font>
    <font>
      <name val="Calibri"/>
      <b val="1"/>
      <color rgb="002E4057"/>
      <sz val="10"/>
    </font>
    <font>
      <name val="Calibri"/>
      <b val="1"/>
      <color rgb="00FFFFFF"/>
      <sz val="10"/>
    </font>
    <font>
      <name val="Calibri"/>
      <color rgb="00212121"/>
      <sz val="10"/>
    </font>
    <font>
      <name val="Calibri"/>
      <color rgb="001A237E"/>
      <sz val="10"/>
    </font>
    <font>
      <name val="Calibri"/>
      <color rgb="002E7D32"/>
      <sz val="10"/>
    </font>
    <font>
      <name val="Calibri"/>
      <color rgb="000D47A1"/>
      <sz val="10"/>
    </font>
    <font>
      <name val="Calibri"/>
      <color rgb="00212121"/>
      <sz val="8"/>
    </font>
    <font>
      <name val="Calibri"/>
      <b val="1"/>
      <color rgb="002E7D32"/>
      <sz val="10"/>
    </font>
    <font>
      <name val="Calibri"/>
      <b val="1"/>
      <color rgb="00212121"/>
      <sz val="10"/>
    </font>
  </fonts>
  <fills count="11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FFDE7"/>
      </patternFill>
    </fill>
    <fill>
      <patternFill patternType="solid">
        <fgColor rgb="00FFFFFF"/>
      </patternFill>
    </fill>
    <fill>
      <patternFill patternType="solid">
        <fgColor rgb="00E8EAF6"/>
      </patternFill>
    </fill>
    <fill>
      <patternFill patternType="solid">
        <fgColor rgb="00F1F8E9"/>
      </patternFill>
    </fill>
    <fill>
      <patternFill patternType="solid">
        <fgColor rgb="00E3F2FD"/>
      </patternFill>
    </fill>
    <fill>
      <patternFill patternType="solid">
        <fgColor rgb="002E4057"/>
      </patternFill>
    </fill>
    <fill>
      <patternFill patternType="solid">
        <fgColor rgb="00E8F5E9"/>
      </patternFill>
    </fill>
    <fill>
      <patternFill patternType="solid">
        <fgColor rgb="004A6FA5"/>
      </patternFill>
    </fill>
  </fills>
  <borders count="9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/>
      <top style="thin">
        <color rgb="00BDBDBD"/>
      </top>
      <bottom style="thin">
        <color rgb="00BDBDBD"/>
      </bottom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  <border>
      <left style="thin">
        <color rgb="00BDBDBD"/>
      </left>
      <right/>
      <top/>
      <bottom/>
      <diagonal/>
    </border>
    <border>
      <left style="thin">
        <color rgb="00BDBDBD"/>
      </left>
      <right style="thin">
        <color rgb="00BDBDBD"/>
      </right>
      <top/>
      <bottom/>
      <diagonal/>
    </border>
    <border>
      <left style="thin">
        <color rgb="00BDBDBD"/>
      </left>
      <right style="thin">
        <color rgb="00BDBDBD"/>
      </right>
      <top/>
      <bottom style="thin">
        <color rgb="00BDBDBD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center" wrapText="1"/>
    </xf>
    <xf numFmtId="0" fontId="13" fillId="4" borderId="0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15" fillId="3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 — Aqueous Profile vs Stage</a:t>
            </a:r>
          </a:p>
        </rich>
      </tx>
    </title>
    <plotArea>
      <lineChart>
        <grouping val="standard"/>
        <ser>
          <idx val="0"/>
          <order val="0"/>
          <tx>
            <strRef>
              <f>'SX Model'!B111</f>
            </strRef>
          </tx>
          <spPr>
            <a:ln>
              <a:solidFill>
                <a:srgbClr val="1B3A6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'SX Model'!$A$112:$A$136</f>
            </numRef>
          </cat>
          <val>
            <numRef>
              <f>'SX Model'!$B$112:$B$136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Stage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x_aq (g/L)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Th — Aqueous Profile vs Stage</a:t>
            </a:r>
          </a:p>
        </rich>
      </tx>
    </title>
    <plotArea>
      <lineChart>
        <grouping val="standard"/>
        <ser>
          <idx val="0"/>
          <order val="0"/>
          <tx>
            <strRef>
              <f>'SX Model'!C111</f>
            </strRef>
          </tx>
          <spPr>
            <a:ln>
              <a:solidFill>
                <a:srgbClr val="1B3A6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'SX Model'!$A$112:$A$136</f>
            </numRef>
          </cat>
          <val>
            <numRef>
              <f>'SX Model'!$C$112:$C$136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Stage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x_aq (g/L)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Hf — Aqueous Profile vs Stage</a:t>
            </a:r>
          </a:p>
        </rich>
      </tx>
    </title>
    <plotArea>
      <lineChart>
        <grouping val="standard"/>
        <ser>
          <idx val="0"/>
          <order val="0"/>
          <tx>
            <strRef>
              <f>'SX Model'!D111</f>
            </strRef>
          </tx>
          <spPr>
            <a:ln>
              <a:solidFill>
                <a:srgbClr val="1B3A6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'SX Model'!$A$112:$A$136</f>
            </numRef>
          </cat>
          <val>
            <numRef>
              <f>'SX Model'!$D$112:$D$136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Stage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x_aq (g/L)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Zr — Aqueous Profile vs Stage</a:t>
            </a:r>
          </a:p>
        </rich>
      </tx>
    </title>
    <plotArea>
      <lineChart>
        <grouping val="standard"/>
        <ser>
          <idx val="0"/>
          <order val="0"/>
          <tx>
            <strRef>
              <f>'SX Model'!E111</f>
            </strRef>
          </tx>
          <spPr>
            <a:ln>
              <a:solidFill>
                <a:srgbClr val="1B3A6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'SX Model'!$A$112:$A$136</f>
            </numRef>
          </cat>
          <val>
            <numRef>
              <f>'SX Model'!$E$112:$E$136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Stage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x_aq (g/L)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137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159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181</row>
      <rowOff>0</rowOff>
    </from>
    <ext cx="648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203</row>
      <rowOff>0</rowOff>
    </from>
    <ext cx="648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B3A6B"/>
    <outlinePr summaryBelow="1" summaryRight="1"/>
    <pageSetUpPr/>
  </sheetPr>
  <dimension ref="A1:BZ280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</cols>
  <sheetData>
    <row r="1" ht="30" customHeight="1">
      <c r="A1" s="1" t="inlineStr">
        <is>
          <t>STEADY-STATE SX SIMULATION — Primene JMT / H₂SO₄ Loading / HNO₃ Stripping — U, Th, Hf, Zr</t>
        </is>
      </c>
    </row>
    <row r="2" ht="18" customHeight="1">
      <c r="A2" s="2" t="inlineStr">
        <is>
          <t>INPUT (yellow)</t>
        </is>
      </c>
      <c r="E2" s="3" t="inlineStr">
        <is>
          <t>CALC (white)</t>
        </is>
      </c>
      <c r="I2" s="4" t="inlineStr">
        <is>
          <t>STEP (blue-grey)</t>
        </is>
      </c>
      <c r="M2" s="5" t="inlineStr">
        <is>
          <t>OUTPUT (mint)</t>
        </is>
      </c>
      <c r="Q2" s="6" t="inlineStr">
        <is>
          <t>REF (light blue)</t>
        </is>
      </c>
    </row>
    <row r="3" ht="6" customHeight="1"/>
    <row r="4" ht="20" customHeight="1">
      <c r="A4" s="7" t="inlineStr">
        <is>
          <t>SECTION 0 — P/Q REGRESSION  (D = P × [acid]^Q  via log-log linear regression)</t>
        </is>
      </c>
    </row>
    <row r="5" ht="18" customHeight="1">
      <c r="A5" s="8" t="inlineStr">
        <is>
          <t>LOADING DATA  (H₂SO₄ system)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10" t="n"/>
      <c r="N5" s="11" t="inlineStr">
        <is>
          <t>STRIPPING DATA  (HNO₃ system)</t>
        </is>
      </c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10" t="n"/>
    </row>
    <row r="6" ht="34" customHeight="1">
      <c r="A6" s="12" t="inlineStr">
        <is>
          <t>Stage</t>
        </is>
      </c>
      <c r="B6" s="12" t="inlineStr">
        <is>
          <t>[acid] N</t>
        </is>
      </c>
      <c r="C6" s="12" t="inlineStr">
        <is>
          <t>Flow_aq
(mL/min)</t>
        </is>
      </c>
      <c r="D6" s="12" t="inlineStr">
        <is>
          <t>Flow_org
(mL/min)</t>
        </is>
      </c>
      <c r="E6" s="12" t="inlineStr">
        <is>
          <t>U_aq
(ppm)</t>
        </is>
      </c>
      <c r="F6" s="12" t="inlineStr">
        <is>
          <t>Th_aq
(ppm)</t>
        </is>
      </c>
      <c r="G6" s="12" t="inlineStr">
        <is>
          <t>Hf_aq
(ppm)</t>
        </is>
      </c>
      <c r="H6" s="12" t="inlineStr">
        <is>
          <t>Zr_aq
(ppm)</t>
        </is>
      </c>
      <c r="I6" s="12" t="inlineStr">
        <is>
          <t>U_org
(ppm)</t>
        </is>
      </c>
      <c r="J6" s="12" t="inlineStr">
        <is>
          <t>Th_org
(ppm)</t>
        </is>
      </c>
      <c r="K6" s="12" t="inlineStr">
        <is>
          <t>Hf_org
(ppm)</t>
        </is>
      </c>
      <c r="L6" s="12" t="inlineStr">
        <is>
          <t>Zr_org
(ppm)</t>
        </is>
      </c>
      <c r="N6" s="12" t="inlineStr">
        <is>
          <t>Stage</t>
        </is>
      </c>
      <c r="O6" s="12" t="inlineStr">
        <is>
          <t>[acid] N</t>
        </is>
      </c>
      <c r="P6" s="12" t="inlineStr">
        <is>
          <t>Flow_aq
(mL/min)</t>
        </is>
      </c>
      <c r="Q6" s="12" t="inlineStr">
        <is>
          <t>Flow_org
(mL/min)</t>
        </is>
      </c>
      <c r="R6" s="12" t="inlineStr">
        <is>
          <t>U_aq
(ppm)</t>
        </is>
      </c>
      <c r="S6" s="12" t="inlineStr">
        <is>
          <t>Th_aq
(ppm)</t>
        </is>
      </c>
      <c r="T6" s="12" t="inlineStr">
        <is>
          <t>Hf_aq
(ppm)</t>
        </is>
      </c>
      <c r="U6" s="12" t="inlineStr">
        <is>
          <t>Zr_aq
(ppm)</t>
        </is>
      </c>
      <c r="V6" s="12" t="inlineStr">
        <is>
          <t>U_org
(ppm)</t>
        </is>
      </c>
      <c r="W6" s="12" t="inlineStr">
        <is>
          <t>Th_org
(ppm)</t>
        </is>
      </c>
      <c r="X6" s="12" t="inlineStr">
        <is>
          <t>Hf_org
(ppm)</t>
        </is>
      </c>
      <c r="Y6" s="12" t="inlineStr">
        <is>
          <t>Zr_org
(ppm)</t>
        </is>
      </c>
    </row>
    <row r="7" ht="16" customHeight="1">
      <c r="A7" s="13" t="inlineStr">
        <is>
          <t>L1</t>
        </is>
      </c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N7" s="13" t="inlineStr">
        <is>
          <t>S1</t>
        </is>
      </c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</row>
    <row r="8" ht="16" customHeight="1">
      <c r="A8" s="13" t="inlineStr">
        <is>
          <t>L2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N8" s="13" t="inlineStr">
        <is>
          <t>S2</t>
        </is>
      </c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</row>
    <row r="9" ht="16" customHeight="1">
      <c r="A9" s="13" t="inlineStr">
        <is>
          <t>L3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N9" s="13" t="inlineStr">
        <is>
          <t>S3</t>
        </is>
      </c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</row>
    <row r="10" ht="18" customHeight="1">
      <c r="A10" s="12" t="inlineStr">
        <is>
          <t>CALCULATED D VALUES  (D = C_org / C_aq)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10" t="n"/>
      <c r="N10" s="12" t="inlineStr">
        <is>
          <t>CALCULATED D VALUES  (D = C_org / C_aq)</t>
        </is>
      </c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10" t="n"/>
    </row>
    <row r="11" ht="16" customHeight="1">
      <c r="A11" s="12" t="inlineStr">
        <is>
          <t>Stage</t>
        </is>
      </c>
      <c r="B11" s="12" t="inlineStr">
        <is>
          <t>D_U</t>
        </is>
      </c>
      <c r="C11" s="12" t="inlineStr">
        <is>
          <t>D_Th</t>
        </is>
      </c>
      <c r="D11" s="12" t="inlineStr">
        <is>
          <t>D_Hf</t>
        </is>
      </c>
      <c r="E11" s="12" t="inlineStr">
        <is>
          <t>D_Zr</t>
        </is>
      </c>
      <c r="N11" s="12" t="inlineStr">
        <is>
          <t>Stage</t>
        </is>
      </c>
      <c r="O11" s="12" t="inlineStr">
        <is>
          <t>D_U</t>
        </is>
      </c>
      <c r="P11" s="12" t="inlineStr">
        <is>
          <t>D_Th</t>
        </is>
      </c>
      <c r="Q11" s="12" t="inlineStr">
        <is>
          <t>D_Hf</t>
        </is>
      </c>
      <c r="R11" s="12" t="inlineStr">
        <is>
          <t>D_Zr</t>
        </is>
      </c>
    </row>
    <row r="12" ht="16" customHeight="1">
      <c r="A12" s="13" t="inlineStr">
        <is>
          <t>L1</t>
        </is>
      </c>
      <c r="B12" s="15">
        <f>IFERROR(IF(OR(E7="",I7=""),"—",I7/E7),"—")</f>
        <v/>
      </c>
      <c r="C12" s="15">
        <f>IFERROR(IF(OR(F7="",J7=""),"—",J7/F7),"—")</f>
        <v/>
      </c>
      <c r="D12" s="15">
        <f>IFERROR(IF(OR(G7="",K7=""),"—",K7/G7),"—")</f>
        <v/>
      </c>
      <c r="E12" s="15">
        <f>IFERROR(IF(OR(H7="",L7=""),"—",L7/H7),"—")</f>
        <v/>
      </c>
      <c r="N12" s="13" t="inlineStr">
        <is>
          <t>S1</t>
        </is>
      </c>
      <c r="O12" s="15">
        <f>IFERROR(IF(OR(R7="",V7=""),"—",V7/R7),"—")</f>
        <v/>
      </c>
      <c r="P12" s="15">
        <f>IFERROR(IF(OR(S7="",W7=""),"—",W7/S7),"—")</f>
        <v/>
      </c>
      <c r="Q12" s="15">
        <f>IFERROR(IF(OR(T7="",X7=""),"—",X7/T7),"—")</f>
        <v/>
      </c>
      <c r="R12" s="15">
        <f>IFERROR(IF(OR(U7="",Y7=""),"—",Y7/U7),"—")</f>
        <v/>
      </c>
    </row>
    <row r="13" ht="16" customHeight="1">
      <c r="A13" s="13" t="inlineStr">
        <is>
          <t>L2</t>
        </is>
      </c>
      <c r="B13" s="15">
        <f>IFERROR(IF(OR(E8="",I8=""),"—",I8/E8),"—")</f>
        <v/>
      </c>
      <c r="C13" s="15">
        <f>IFERROR(IF(OR(F8="",J8=""),"—",J8/F8),"—")</f>
        <v/>
      </c>
      <c r="D13" s="15">
        <f>IFERROR(IF(OR(G8="",K8=""),"—",K8/G8),"—")</f>
        <v/>
      </c>
      <c r="E13" s="15">
        <f>IFERROR(IF(OR(H8="",L8=""),"—",L8/H8),"—")</f>
        <v/>
      </c>
      <c r="N13" s="13" t="inlineStr">
        <is>
          <t>S2</t>
        </is>
      </c>
      <c r="O13" s="15">
        <f>IFERROR(IF(OR(R8="",V8=""),"—",V8/R8),"—")</f>
        <v/>
      </c>
      <c r="P13" s="15">
        <f>IFERROR(IF(OR(S8="",W8=""),"—",W8/S8),"—")</f>
        <v/>
      </c>
      <c r="Q13" s="15">
        <f>IFERROR(IF(OR(T8="",X8=""),"—",X8/T8),"—")</f>
        <v/>
      </c>
      <c r="R13" s="15">
        <f>IFERROR(IF(OR(U8="",Y8=""),"—",Y8/U8),"—")</f>
        <v/>
      </c>
    </row>
    <row r="14" ht="16" customHeight="1">
      <c r="A14" s="13" t="inlineStr">
        <is>
          <t>L3</t>
        </is>
      </c>
      <c r="B14" s="15">
        <f>IFERROR(IF(OR(E9="",I9=""),"—",I9/E9),"—")</f>
        <v/>
      </c>
      <c r="C14" s="15">
        <f>IFERROR(IF(OR(F9="",J9=""),"—",J9/F9),"—")</f>
        <v/>
      </c>
      <c r="D14" s="15">
        <f>IFERROR(IF(OR(G9="",K9=""),"—",K9/G9),"—")</f>
        <v/>
      </c>
      <c r="E14" s="15">
        <f>IFERROR(IF(OR(H9="",L9=""),"—",L9/H9),"—")</f>
        <v/>
      </c>
      <c r="N14" s="13" t="inlineStr">
        <is>
          <t>S3</t>
        </is>
      </c>
      <c r="O14" s="15">
        <f>IFERROR(IF(OR(R9="",V9=""),"—",V9/R9),"—")</f>
        <v/>
      </c>
      <c r="P14" s="15">
        <f>IFERROR(IF(OR(S9="",W9=""),"—",W9/S9),"—")</f>
        <v/>
      </c>
      <c r="Q14" s="15">
        <f>IFERROR(IF(OR(T9="",X9=""),"—",X9/T9),"—")</f>
        <v/>
      </c>
      <c r="R14" s="15">
        <f>IFERROR(IF(OR(U9="",Y9=""),"—",Y9/U9),"—")</f>
        <v/>
      </c>
    </row>
    <row r="16" ht="18" customHeight="1">
      <c r="A16" s="16" t="inlineStr">
        <is>
          <t>LOG-LOG REGRESSION SUMMARY  (D = P × [acid]^Q  →  feeds TDMA Panel B)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10" t="n"/>
    </row>
    <row r="17" ht="34" customHeight="1">
      <c r="A17" s="12" t="inlineStr">
        <is>
          <t>Element</t>
        </is>
      </c>
      <c r="B17" s="12" t="inlineStr">
        <is>
          <t>P_loading</t>
        </is>
      </c>
      <c r="C17" s="12" t="inlineStr">
        <is>
          <t>Q_loading</t>
        </is>
      </c>
      <c r="D17" s="12" t="inlineStr">
        <is>
          <t>R²_loading</t>
        </is>
      </c>
      <c r="E17" s="12" t="inlineStr">
        <is>
          <t>P_strip</t>
        </is>
      </c>
      <c r="F17" s="12" t="inlineStr">
        <is>
          <t>Q_strip</t>
        </is>
      </c>
      <c r="G17" s="12" t="inlineStr">
        <is>
          <t>R²_strip</t>
        </is>
      </c>
    </row>
    <row r="18" ht="16" customHeight="1">
      <c r="A18" s="13" t="inlineStr">
        <is>
          <t>U</t>
        </is>
      </c>
      <c r="B18" s="17">
        <f>IFERROR(IF(COUNTA(B12:B14)&lt;2,"Need ≥2 pts",EXP(INTERCEPT(LN(IF(B12:B14&lt;&gt;"—",IF(ISNUMBER(B12:B14),B12:B14,1),1)),LN(IF(B7:B9&lt;&gt;"",B7:B9,1))))),"N/A")</f>
        <v/>
      </c>
      <c r="C18" s="17">
        <f>IFERROR(IF(COUNTA(B12:B14)&lt;2,"Need ≥2 pts",SLOPE(LN(IF(B12:B14&lt;&gt;"—",IF(ISNUMBER(B12:B14),B12:B14,1),1)),LN(IF(B7:B9&lt;&gt;"",B7:B9,1)))),"N/A")</f>
        <v/>
      </c>
      <c r="D18" s="15">
        <f>IFERROR(IF(COUNTA(B12:B14)&lt;2,"Need ≥2 pts",RSQ(LN(IF(B12:B14&lt;&gt;"—",IF(ISNUMBER(B12:B14),B12:B14,1),1)),LN(IF(B7:B9&lt;&gt;"",B7:B9,1)))),"N/A")</f>
        <v/>
      </c>
      <c r="E18" s="17">
        <f>IFERROR(IF(COUNTA(O12:O14)&lt;2,"Need ≥2 pts",EXP(INTERCEPT(LN(IF(O12:O14&lt;&gt;"—",IF(ISNUMBER(O12:O14),O12:O14,1),1)),LN(IF(O7:O9&lt;&gt;"",O7:O9,1))))),"N/A")</f>
        <v/>
      </c>
      <c r="F18" s="17">
        <f>IFERROR(IF(COUNTA(O12:O14)&lt;2,"Need ≥2 pts",SLOPE(LN(IF(O12:O14&lt;&gt;"—",IF(ISNUMBER(O12:O14),O12:O14,1),1)),LN(IF(O7:O9&lt;&gt;"",O7:O9,1)))),"N/A")</f>
        <v/>
      </c>
      <c r="G18" s="15">
        <f>IFERROR(IF(COUNTA(O12:O14)&lt;2,"Need ≥2 pts",RSQ(LN(IF(O12:O14&lt;&gt;"—",IF(ISNUMBER(O12:O14),O12:O14,1),1)),LN(IF(O7:O9&lt;&gt;"",O7:O9,1)))),"N/A")</f>
        <v/>
      </c>
    </row>
    <row r="19" ht="16" customHeight="1">
      <c r="A19" s="13" t="inlineStr">
        <is>
          <t>Th</t>
        </is>
      </c>
      <c r="B19" s="17">
        <f>IFERROR(IF(COUNTA(C12:C14)&lt;2,"Need ≥2 pts",EXP(INTERCEPT(LN(IF(C12:C14&lt;&gt;"—",IF(ISNUMBER(C12:C14),C12:C14,1),1)),LN(IF(B7:B9&lt;&gt;"",B7:B9,1))))),"N/A")</f>
        <v/>
      </c>
      <c r="C19" s="17">
        <f>IFERROR(IF(COUNTA(C12:C14)&lt;2,"Need ≥2 pts",SLOPE(LN(IF(C12:C14&lt;&gt;"—",IF(ISNUMBER(C12:C14),C12:C14,1),1)),LN(IF(B7:B9&lt;&gt;"",B7:B9,1)))),"N/A")</f>
        <v/>
      </c>
      <c r="D19" s="15">
        <f>IFERROR(IF(COUNTA(C12:C14)&lt;2,"Need ≥2 pts",RSQ(LN(IF(C12:C14&lt;&gt;"—",IF(ISNUMBER(C12:C14),C12:C14,1),1)),LN(IF(B7:B9&lt;&gt;"",B7:B9,1)))),"N/A")</f>
        <v/>
      </c>
      <c r="E19" s="17">
        <f>IFERROR(IF(COUNTA(P12:P14)&lt;2,"Need ≥2 pts",EXP(INTERCEPT(LN(IF(P12:P14&lt;&gt;"—",IF(ISNUMBER(P12:P14),P12:P14,1),1)),LN(IF(O7:O9&lt;&gt;"",O7:O9,1))))),"N/A")</f>
        <v/>
      </c>
      <c r="F19" s="17">
        <f>IFERROR(IF(COUNTA(P12:P14)&lt;2,"Need ≥2 pts",SLOPE(LN(IF(P12:P14&lt;&gt;"—",IF(ISNUMBER(P12:P14),P12:P14,1),1)),LN(IF(O7:O9&lt;&gt;"",O7:O9,1)))),"N/A")</f>
        <v/>
      </c>
      <c r="G19" s="15">
        <f>IFERROR(IF(COUNTA(P12:P14)&lt;2,"Need ≥2 pts",RSQ(LN(IF(P12:P14&lt;&gt;"—",IF(ISNUMBER(P12:P14),P12:P14,1),1)),LN(IF(O7:O9&lt;&gt;"",O7:O9,1)))),"N/A")</f>
        <v/>
      </c>
    </row>
    <row r="20" ht="16" customHeight="1">
      <c r="A20" s="13" t="inlineStr">
        <is>
          <t>Hf</t>
        </is>
      </c>
      <c r="B20" s="17">
        <f>IFERROR(IF(COUNTA(D12:D14)&lt;2,"Need ≥2 pts",EXP(INTERCEPT(LN(IF(D12:D14&lt;&gt;"—",IF(ISNUMBER(D12:D14),D12:D14,1),1)),LN(IF(B7:B9&lt;&gt;"",B7:B9,1))))),"N/A")</f>
        <v/>
      </c>
      <c r="C20" s="17">
        <f>IFERROR(IF(COUNTA(D12:D14)&lt;2,"Need ≥2 pts",SLOPE(LN(IF(D12:D14&lt;&gt;"—",IF(ISNUMBER(D12:D14),D12:D14,1),1)),LN(IF(B7:B9&lt;&gt;"",B7:B9,1)))),"N/A")</f>
        <v/>
      </c>
      <c r="D20" s="15">
        <f>IFERROR(IF(COUNTA(D12:D14)&lt;2,"Need ≥2 pts",RSQ(LN(IF(D12:D14&lt;&gt;"—",IF(ISNUMBER(D12:D14),D12:D14,1),1)),LN(IF(B7:B9&lt;&gt;"",B7:B9,1)))),"N/A")</f>
        <v/>
      </c>
      <c r="E20" s="17">
        <f>IFERROR(IF(COUNTA(Q12:Q14)&lt;2,"Need ≥2 pts",EXP(INTERCEPT(LN(IF(Q12:Q14&lt;&gt;"—",IF(ISNUMBER(Q12:Q14),Q12:Q14,1),1)),LN(IF(O7:O9&lt;&gt;"",O7:O9,1))))),"N/A")</f>
        <v/>
      </c>
      <c r="F20" s="17">
        <f>IFERROR(IF(COUNTA(Q12:Q14)&lt;2,"Need ≥2 pts",SLOPE(LN(IF(Q12:Q14&lt;&gt;"—",IF(ISNUMBER(Q12:Q14),Q12:Q14,1),1)),LN(IF(O7:O9&lt;&gt;"",O7:O9,1)))),"N/A")</f>
        <v/>
      </c>
      <c r="G20" s="15">
        <f>IFERROR(IF(COUNTA(Q12:Q14)&lt;2,"Need ≥2 pts",RSQ(LN(IF(Q12:Q14&lt;&gt;"—",IF(ISNUMBER(Q12:Q14),Q12:Q14,1),1)),LN(IF(O7:O9&lt;&gt;"",O7:O9,1)))),"N/A")</f>
        <v/>
      </c>
    </row>
    <row r="21" ht="16" customHeight="1">
      <c r="A21" s="13" t="inlineStr">
        <is>
          <t>Zr</t>
        </is>
      </c>
      <c r="B21" s="17">
        <f>IFERROR(IF(COUNTA(E12:E14)&lt;2,"Need ≥2 pts",EXP(INTERCEPT(LN(IF(E12:E14&lt;&gt;"—",IF(ISNUMBER(E12:E14),E12:E14,1),1)),LN(IF(B7:B9&lt;&gt;"",B7:B9,1))))),"N/A")</f>
        <v/>
      </c>
      <c r="C21" s="17">
        <f>IFERROR(IF(COUNTA(E12:E14)&lt;2,"Need ≥2 pts",SLOPE(LN(IF(E12:E14&lt;&gt;"—",IF(ISNUMBER(E12:E14),E12:E14,1),1)),LN(IF(B7:B9&lt;&gt;"",B7:B9,1)))),"N/A")</f>
        <v/>
      </c>
      <c r="D21" s="15">
        <f>IFERROR(IF(COUNTA(E12:E14)&lt;2,"Need ≥2 pts",RSQ(LN(IF(E12:E14&lt;&gt;"—",IF(ISNUMBER(E12:E14),E12:E14,1),1)),LN(IF(B7:B9&lt;&gt;"",B7:B9,1)))),"N/A")</f>
        <v/>
      </c>
      <c r="E21" s="17">
        <f>IFERROR(IF(COUNTA(R12:R14)&lt;2,"Need ≥2 pts",EXP(INTERCEPT(LN(IF(R12:R14&lt;&gt;"—",IF(ISNUMBER(R12:R14),R12:R14,1),1)),LN(IF(O7:O9&lt;&gt;"",O7:O9,1))))),"N/A")</f>
        <v/>
      </c>
      <c r="F21" s="17">
        <f>IFERROR(IF(COUNTA(R12:R14)&lt;2,"Need ≥2 pts",SLOPE(LN(IF(R12:R14&lt;&gt;"—",IF(ISNUMBER(R12:R14),R12:R14,1),1)),LN(IF(O7:O9&lt;&gt;"",O7:O9,1)))),"N/A")</f>
        <v/>
      </c>
      <c r="G21" s="15">
        <f>IFERROR(IF(COUNTA(R12:R14)&lt;2,"Need ≥2 pts",RSQ(LN(IF(R12:R14&lt;&gt;"—",IF(ISNUMBER(R12:R14),R12:R14,1),1)),LN(IF(O7:O9&lt;&gt;"",O7:O9,1)))),"N/A")</f>
        <v/>
      </c>
    </row>
    <row r="57" ht="20" customHeight="1">
      <c r="A57" s="18" t="inlineStr">
        <is>
          <t>TDMA SOLVER — INPUT PANELS</t>
        </is>
      </c>
    </row>
    <row r="58" ht="16" customHeight="1">
      <c r="A58" s="16" t="inlineStr">
        <is>
          <t>PANEL A — General Inputs</t>
        </is>
      </c>
      <c r="B58" s="10" t="n"/>
      <c r="F58" s="16" t="inlineStr">
        <is>
          <t>PANEL B — Distribution Coefficients (linked from Regression)</t>
        </is>
      </c>
      <c r="G58" s="9" t="n"/>
      <c r="H58" s="9" t="n"/>
      <c r="I58" s="9" t="n"/>
      <c r="J58" s="9" t="n"/>
      <c r="K58" s="10" t="n"/>
      <c r="M58" s="16" t="inlineStr">
        <is>
          <t>PANEL C — Feed Conc. (g/L)</t>
        </is>
      </c>
      <c r="N58" s="9" t="n"/>
      <c r="O58" s="10" t="n"/>
      <c r="Q58" s="16" t="inlineStr">
        <is>
          <t>PANEL D — Results Summary</t>
        </is>
      </c>
      <c r="R58" s="10" t="n"/>
      <c r="T58" s="16" t="inlineStr">
        <is>
          <t>PANEL E — O/A Ratio Tracker</t>
        </is>
      </c>
      <c r="U58" s="9" t="n"/>
      <c r="V58" s="10" t="n"/>
    </row>
    <row r="59" ht="16" customHeight="1">
      <c r="A59" s="19" t="inlineStr">
        <is>
          <t>n_ext (extraction stages)</t>
        </is>
      </c>
      <c r="B59" s="14" t="n">
        <v>3</v>
      </c>
      <c r="F59" s="12" t="inlineStr">
        <is>
          <t>Element</t>
        </is>
      </c>
      <c r="G59" s="12" t="inlineStr">
        <is>
          <t>P_load</t>
        </is>
      </c>
      <c r="H59" s="12" t="inlineStr">
        <is>
          <t>Q_load</t>
        </is>
      </c>
      <c r="I59" s="12" t="inlineStr">
        <is>
          <t>P_strip</t>
        </is>
      </c>
      <c r="J59" s="12" t="inlineStr">
        <is>
          <t>Q_strip</t>
        </is>
      </c>
      <c r="K59" s="12" t="inlineStr">
        <is>
          <t>Note</t>
        </is>
      </c>
      <c r="M59" s="12" t="inlineStr">
        <is>
          <t>Element</t>
        </is>
      </c>
      <c r="N59" s="12" t="inlineStr">
        <is>
          <t>X_feed (g/L)</t>
        </is>
      </c>
      <c r="O59" s="12" t="inlineStr">
        <is>
          <t>MW (g/mol)</t>
        </is>
      </c>
      <c r="Q59" s="12" t="inlineStr">
        <is>
          <t>Metric</t>
        </is>
      </c>
      <c r="R59" s="12" t="inlineStr">
        <is>
          <t>Value (g/L)</t>
        </is>
      </c>
      <c r="T59" s="12" t="inlineStr">
        <is>
          <t>Section</t>
        </is>
      </c>
      <c r="U59" s="12" t="inlineStr">
        <is>
          <t>O/A (org/aq)</t>
        </is>
      </c>
      <c r="V59" s="12" t="inlineStr">
        <is>
          <t>Note</t>
        </is>
      </c>
    </row>
    <row r="60" ht="16" customHeight="1">
      <c r="A60" s="19" t="inlineStr">
        <is>
          <t>n_scr (scrub stages)</t>
        </is>
      </c>
      <c r="B60" s="14" t="n">
        <v>0</v>
      </c>
      <c r="F60" s="13" t="inlineStr">
        <is>
          <t>U</t>
        </is>
      </c>
      <c r="G60" s="17">
        <f>IFERROR(IF(ISNUMBER($B$18),$B$18,0.8),0.8)</f>
        <v/>
      </c>
      <c r="H60" s="17">
        <f>IFERROR(IF(ISNUMBER($C$18),$C$18,-1.2),-1.2)</f>
        <v/>
      </c>
      <c r="I60" s="17">
        <f>IFERROR(IF(ISNUMBER($E$18),$E$18,0.8),0.8)</f>
        <v/>
      </c>
      <c r="J60" s="17">
        <f>IFERROR(IF(ISNUMBER($F$18),$F$18,-1.2),-1.2)</f>
        <v/>
      </c>
      <c r="K60" s="20" t="inlineStr">
        <is>
          <t>Live-linked from regression</t>
        </is>
      </c>
      <c r="M60" s="13" t="inlineStr">
        <is>
          <t>U</t>
        </is>
      </c>
      <c r="N60" s="14" t="n">
        <v>5</v>
      </c>
      <c r="O60" s="15" t="n">
        <v>238.03</v>
      </c>
      <c r="Q60" s="21" t="inlineStr">
        <is>
          <t>Raffinate U (g/L)</t>
        </is>
      </c>
      <c r="R60" s="17">
        <f>AH83</f>
        <v/>
      </c>
      <c r="T60" s="13" t="inlineStr">
        <is>
          <t>Extraction</t>
        </is>
      </c>
      <c r="U60" s="17">
        <f>$B$67/$B$65</f>
        <v/>
      </c>
      <c r="V60" s="15" t="inlineStr">
        <is>
          <t>O/F</t>
        </is>
      </c>
    </row>
    <row r="61" ht="16" customHeight="1">
      <c r="A61" s="19" t="inlineStr">
        <is>
          <t>n_str (strip stages)</t>
        </is>
      </c>
      <c r="B61" s="14" t="n">
        <v>2</v>
      </c>
      <c r="F61" s="13" t="inlineStr">
        <is>
          <t>Th</t>
        </is>
      </c>
      <c r="G61" s="17">
        <f>IFERROR(IF(ISNUMBER($B$19),$B$19,1.5),1.5)</f>
        <v/>
      </c>
      <c r="H61" s="17">
        <f>IFERROR(IF(ISNUMBER($C$19),$C$19,-1.5),-1.5)</f>
        <v/>
      </c>
      <c r="I61" s="17">
        <f>IFERROR(IF(ISNUMBER($E$19),$E$19,1.5),1.5)</f>
        <v/>
      </c>
      <c r="J61" s="17">
        <f>IFERROR(IF(ISNUMBER($F$19),$F$19,-1.5),-1.5)</f>
        <v/>
      </c>
      <c r="K61" s="20" t="inlineStr">
        <is>
          <t>Live-linked from regression</t>
        </is>
      </c>
      <c r="M61" s="13" t="inlineStr">
        <is>
          <t>Th</t>
        </is>
      </c>
      <c r="N61" s="14" t="n">
        <v>2</v>
      </c>
      <c r="O61" s="15" t="n">
        <v>232.04</v>
      </c>
      <c r="Q61" s="21" t="inlineStr">
        <is>
          <t>Loaded Org U (g/L)</t>
        </is>
      </c>
      <c r="R61" s="17">
        <f>IFERROR(INDEX(I83:I107,$B$59),0)</f>
        <v/>
      </c>
      <c r="T61" s="13" t="inlineStr">
        <is>
          <t>Scrub</t>
        </is>
      </c>
      <c r="U61" s="17">
        <f>$B$67/($B$66*$B$68+0.001)</f>
        <v/>
      </c>
      <c r="V61" s="15" t="inlineStr">
        <is>
          <t>O/(S*R)</t>
        </is>
      </c>
    </row>
    <row r="62" ht="16" customHeight="1">
      <c r="A62" s="19" t="inlineStr">
        <is>
          <t>[H₂SO₄] Extraction (N)</t>
        </is>
      </c>
      <c r="B62" s="14" t="n">
        <v>0.5</v>
      </c>
      <c r="F62" s="13" t="inlineStr">
        <is>
          <t>Hf</t>
        </is>
      </c>
      <c r="G62" s="17">
        <f>IFERROR(IF(ISNUMBER($B$20),$B$20,0.3),0.3)</f>
        <v/>
      </c>
      <c r="H62" s="17">
        <f>IFERROR(IF(ISNUMBER($C$20),$C$20,-0.8),-0.8)</f>
        <v/>
      </c>
      <c r="I62" s="17">
        <f>IFERROR(IF(ISNUMBER($E$20),$E$20,0.3),0.3)</f>
        <v/>
      </c>
      <c r="J62" s="17">
        <f>IFERROR(IF(ISNUMBER($F$20),$F$20,-0.8),-0.8)</f>
        <v/>
      </c>
      <c r="K62" s="20" t="inlineStr">
        <is>
          <t>Live-linked from regression</t>
        </is>
      </c>
      <c r="M62" s="13" t="inlineStr">
        <is>
          <t>Hf</t>
        </is>
      </c>
      <c r="N62" s="14" t="n">
        <v>0.5</v>
      </c>
      <c r="O62" s="15" t="n">
        <v>178.49</v>
      </c>
      <c r="Q62" s="21" t="inlineStr">
        <is>
          <t>Pregnant U (g/L)</t>
        </is>
      </c>
      <c r="R62" s="17">
        <f>IFERROR(INDEX(AH83:AH107,$B$59+$B$60+$B$61),0)</f>
        <v/>
      </c>
      <c r="T62" s="13" t="inlineStr">
        <is>
          <t>Strip</t>
        </is>
      </c>
      <c r="U62" s="17">
        <f>$B$67/$B$66</f>
        <v/>
      </c>
      <c r="V62" s="15" t="inlineStr">
        <is>
          <t>O/S</t>
        </is>
      </c>
    </row>
    <row r="63" ht="16" customHeight="1">
      <c r="A63" s="19" t="inlineStr">
        <is>
          <t>[H₂SO₄] Scrub (N)</t>
        </is>
      </c>
      <c r="B63" s="14" t="n">
        <v>1</v>
      </c>
      <c r="F63" s="13" t="inlineStr">
        <is>
          <t>Zr</t>
        </is>
      </c>
      <c r="G63" s="17">
        <f>IFERROR(IF(ISNUMBER($B$21),$B$21,2.0),2.0)</f>
        <v/>
      </c>
      <c r="H63" s="17">
        <f>IFERROR(IF(ISNUMBER($C$21),$C$21,-1.0),-1.0)</f>
        <v/>
      </c>
      <c r="I63" s="17">
        <f>IFERROR(IF(ISNUMBER($E$21),$E$21,2.0),2.0)</f>
        <v/>
      </c>
      <c r="J63" s="17">
        <f>IFERROR(IF(ISNUMBER($F$21),$F$21,-1.0),-1.0)</f>
        <v/>
      </c>
      <c r="K63" s="20" t="inlineStr">
        <is>
          <t>Live-linked from regression</t>
        </is>
      </c>
      <c r="M63" s="13" t="inlineStr">
        <is>
          <t>Zr</t>
        </is>
      </c>
      <c r="N63" s="14" t="n">
        <v>1</v>
      </c>
      <c r="O63" s="15" t="n">
        <v>91.22</v>
      </c>
      <c r="Q63" s="21" t="inlineStr">
        <is>
          <t>Raffinate Th (g/L)</t>
        </is>
      </c>
      <c r="R63" s="17">
        <f>AI83</f>
        <v/>
      </c>
    </row>
    <row r="64" ht="16" customHeight="1">
      <c r="A64" s="19" t="inlineStr">
        <is>
          <t>[HNO₃] Strip (N)</t>
        </is>
      </c>
      <c r="B64" s="14" t="n">
        <v>4</v>
      </c>
      <c r="Q64" s="21" t="inlineStr">
        <is>
          <t>Loaded Org Th (g/L)</t>
        </is>
      </c>
      <c r="R64" s="17">
        <f>IFERROR(INDEX(Q83:Q107,$B$59),0)</f>
        <v/>
      </c>
    </row>
    <row r="65" ht="16" customHeight="1">
      <c r="A65" s="19" t="inlineStr">
        <is>
          <t>F — Feed flow aq (L/min)</t>
        </is>
      </c>
      <c r="B65" s="14" t="n">
        <v>1</v>
      </c>
      <c r="Q65" s="21" t="inlineStr">
        <is>
          <t>Pregnant Th (g/L)</t>
        </is>
      </c>
      <c r="R65" s="17">
        <f>IFERROR(INDEX(AI83:AI107,$B$59+$B$60+$B$61),0)</f>
        <v/>
      </c>
    </row>
    <row r="66" ht="16" customHeight="1">
      <c r="A66" s="19" t="inlineStr">
        <is>
          <t>S — Strip flow aq (L/min)</t>
        </is>
      </c>
      <c r="B66" s="14" t="n">
        <v>1</v>
      </c>
      <c r="Q66" s="21" t="inlineStr">
        <is>
          <t>Raffinate Hf (g/L)</t>
        </is>
      </c>
      <c r="R66" s="17">
        <f>AJ83</f>
        <v/>
      </c>
    </row>
    <row r="67" ht="16" customHeight="1">
      <c r="A67" s="19" t="inlineStr">
        <is>
          <t>O — Org flow (L/min)</t>
        </is>
      </c>
      <c r="B67" s="14" t="n">
        <v>1</v>
      </c>
      <c r="Q67" s="21" t="inlineStr">
        <is>
          <t>Loaded Org Hf (g/L)</t>
        </is>
      </c>
      <c r="R67" s="17">
        <f>IFERROR(INDEX(Y83:Y107,$B$59),0)</f>
        <v/>
      </c>
    </row>
    <row r="68" ht="16" customHeight="1">
      <c r="A68" s="19" t="inlineStr">
        <is>
          <t>R — Recycle ratio</t>
        </is>
      </c>
      <c r="B68" s="14" t="n">
        <v>0</v>
      </c>
      <c r="Q68" s="21" t="inlineStr">
        <is>
          <t>Pregnant Hf (g/L)</t>
        </is>
      </c>
      <c r="R68" s="17">
        <f>IFERROR(INDEX(AJ83:AJ107,$B$59+$B$60+$B$61),0)</f>
        <v/>
      </c>
    </row>
    <row r="69" ht="16" customHeight="1">
      <c r="Q69" s="21" t="inlineStr">
        <is>
          <t>Raffinate Zr (g/L)</t>
        </is>
      </c>
      <c r="R69" s="17">
        <f>AK83</f>
        <v/>
      </c>
    </row>
    <row r="70" ht="16" customHeight="1">
      <c r="Q70" s="21" t="inlineStr">
        <is>
          <t>Loaded Org Zr (g/L)</t>
        </is>
      </c>
      <c r="R70" s="17">
        <f>IFERROR(INDEX(AG83:AG107,$B$59),0)</f>
        <v/>
      </c>
    </row>
    <row r="71" ht="16" customHeight="1">
      <c r="Q71" s="21" t="inlineStr">
        <is>
          <t>Pregnant Zr (g/L)</t>
        </is>
      </c>
      <c r="R71" s="17">
        <f>IFERROR(INDEX(AK83:AK107,$B$59+$B$60+$B$61),0)</f>
        <v/>
      </c>
    </row>
    <row r="80" ht="20" customHeight="1">
      <c r="A80" s="18" t="inlineStr">
        <is>
          <t>TDMA SOLVER — 25 STAGES</t>
        </is>
      </c>
    </row>
    <row r="81" ht="16" customHeight="1">
      <c r="A81" s="16" t="inlineStr">
        <is>
          <t>Stage</t>
        </is>
      </c>
      <c r="B81" s="12" t="inlineStr">
        <is>
          <t>U  (8-column TDMA block)</t>
        </is>
      </c>
      <c r="C81" s="9" t="n"/>
      <c r="D81" s="9" t="n"/>
      <c r="E81" s="9" t="n"/>
      <c r="F81" s="9" t="n"/>
      <c r="G81" s="9" t="n"/>
      <c r="H81" s="9" t="n"/>
      <c r="I81" s="10" t="n"/>
      <c r="J81" s="12" t="inlineStr">
        <is>
          <t>Th  (8-column TDMA block)</t>
        </is>
      </c>
      <c r="K81" s="9" t="n"/>
      <c r="L81" s="9" t="n"/>
      <c r="M81" s="9" t="n"/>
      <c r="N81" s="9" t="n"/>
      <c r="O81" s="9" t="n"/>
      <c r="P81" s="9" t="n"/>
      <c r="Q81" s="10" t="n"/>
      <c r="R81" s="12" t="inlineStr">
        <is>
          <t>Hf  (8-column TDMA block)</t>
        </is>
      </c>
      <c r="S81" s="9" t="n"/>
      <c r="T81" s="9" t="n"/>
      <c r="U81" s="9" t="n"/>
      <c r="V81" s="9" t="n"/>
      <c r="W81" s="9" t="n"/>
      <c r="X81" s="9" t="n"/>
      <c r="Y81" s="10" t="n"/>
      <c r="Z81" s="12" t="inlineStr">
        <is>
          <t>Zr  (8-column TDMA block)</t>
        </is>
      </c>
      <c r="AA81" s="9" t="n"/>
      <c r="AB81" s="9" t="n"/>
      <c r="AC81" s="9" t="n"/>
      <c r="AD81" s="9" t="n"/>
      <c r="AE81" s="9" t="n"/>
      <c r="AF81" s="9" t="n"/>
      <c r="AG81" s="10" t="n"/>
      <c r="AH81" s="22" t="inlineStr">
        <is>
          <t>x_aq
U</t>
        </is>
      </c>
      <c r="AI81" s="22" t="inlineStr">
        <is>
          <t>x_aq
Th</t>
        </is>
      </c>
      <c r="AJ81" s="22" t="inlineStr">
        <is>
          <t>x_aq
Hf</t>
        </is>
      </c>
      <c r="AK81" s="22" t="inlineStr">
        <is>
          <t>x_aq
Zr</t>
        </is>
      </c>
      <c r="AL81" s="12" t="inlineStr">
        <is>
          <t>Total
Org</t>
        </is>
      </c>
      <c r="AM81" s="12" t="inlineStr">
        <is>
          <t>Total
Aq</t>
        </is>
      </c>
    </row>
    <row r="82" ht="16" customHeight="1">
      <c r="A82" s="23" t="n"/>
      <c r="B82" s="12" t="inlineStr">
        <is>
          <t>D_n</t>
        </is>
      </c>
      <c r="C82" s="12" t="inlineStr">
        <is>
          <t>a_n</t>
        </is>
      </c>
      <c r="D82" s="12" t="inlineStr">
        <is>
          <t>b_n</t>
        </is>
      </c>
      <c r="E82" s="12" t="inlineStr">
        <is>
          <t>c_n</t>
        </is>
      </c>
      <c r="F82" s="12" t="inlineStr">
        <is>
          <t>d_n</t>
        </is>
      </c>
      <c r="G82" s="12" t="inlineStr">
        <is>
          <t>c'_n</t>
        </is>
      </c>
      <c r="H82" s="12" t="inlineStr">
        <is>
          <t>d'_n</t>
        </is>
      </c>
      <c r="I82" s="12" t="inlineStr">
        <is>
          <t>y_org</t>
        </is>
      </c>
      <c r="J82" s="12" t="inlineStr">
        <is>
          <t>D_n</t>
        </is>
      </c>
      <c r="K82" s="12" t="inlineStr">
        <is>
          <t>a_n</t>
        </is>
      </c>
      <c r="L82" s="12" t="inlineStr">
        <is>
          <t>b_n</t>
        </is>
      </c>
      <c r="M82" s="12" t="inlineStr">
        <is>
          <t>c_n</t>
        </is>
      </c>
      <c r="N82" s="12" t="inlineStr">
        <is>
          <t>d_n</t>
        </is>
      </c>
      <c r="O82" s="12" t="inlineStr">
        <is>
          <t>c'_n</t>
        </is>
      </c>
      <c r="P82" s="12" t="inlineStr">
        <is>
          <t>d'_n</t>
        </is>
      </c>
      <c r="Q82" s="12" t="inlineStr">
        <is>
          <t>y_org</t>
        </is>
      </c>
      <c r="R82" s="12" t="inlineStr">
        <is>
          <t>D_n</t>
        </is>
      </c>
      <c r="S82" s="12" t="inlineStr">
        <is>
          <t>a_n</t>
        </is>
      </c>
      <c r="T82" s="12" t="inlineStr">
        <is>
          <t>b_n</t>
        </is>
      </c>
      <c r="U82" s="12" t="inlineStr">
        <is>
          <t>c_n</t>
        </is>
      </c>
      <c r="V82" s="12" t="inlineStr">
        <is>
          <t>d_n</t>
        </is>
      </c>
      <c r="W82" s="12" t="inlineStr">
        <is>
          <t>c'_n</t>
        </is>
      </c>
      <c r="X82" s="12" t="inlineStr">
        <is>
          <t>d'_n</t>
        </is>
      </c>
      <c r="Y82" s="12" t="inlineStr">
        <is>
          <t>y_org</t>
        </is>
      </c>
      <c r="Z82" s="12" t="inlineStr">
        <is>
          <t>D_n</t>
        </is>
      </c>
      <c r="AA82" s="12" t="inlineStr">
        <is>
          <t>a_n</t>
        </is>
      </c>
      <c r="AB82" s="12" t="inlineStr">
        <is>
          <t>b_n</t>
        </is>
      </c>
      <c r="AC82" s="12" t="inlineStr">
        <is>
          <t>c_n</t>
        </is>
      </c>
      <c r="AD82" s="12" t="inlineStr">
        <is>
          <t>d_n</t>
        </is>
      </c>
      <c r="AE82" s="12" t="inlineStr">
        <is>
          <t>c'_n</t>
        </is>
      </c>
      <c r="AF82" s="12" t="inlineStr">
        <is>
          <t>d'_n</t>
        </is>
      </c>
      <c r="AG82" s="12" t="inlineStr">
        <is>
          <t>y_org</t>
        </is>
      </c>
    </row>
    <row r="83" ht="16" customHeight="1">
      <c r="A83" s="24" t="n">
        <v>1</v>
      </c>
      <c r="B83" s="13">
        <f>IF(1&gt;$B$59+$B$60,$I$60*$B$64^$J$60,$G$60*$B$62^$H$60)</f>
        <v/>
      </c>
      <c r="C83" s="13">
        <f>IF(1=1,0,$B$67)</f>
        <v/>
      </c>
      <c r="D83" s="13">
        <f>-($B$67+(IF(1&lt;=$B$59,$B$66*$B$68+$B$65,IF(1&lt;=$B$59+$B$60,$B$66*$B$68,$B$66)))/B83)</f>
        <v/>
      </c>
      <c r="E83" s="13">
        <f>IF(1=$B$59+$B$60,0,IF(1&gt;$B$59+$B$60,$B$66/B84,IF(1&gt;=$B$59,$B$66*$B$68/B84,($B$66*$B$68+$B$65)/B84)))</f>
        <v/>
      </c>
      <c r="F83" s="13">
        <f>IF(1=$B$59,-$N$60*$B$65,0)</f>
        <v/>
      </c>
      <c r="G83" s="13">
        <f>E83/D83</f>
        <v/>
      </c>
      <c r="H83" s="13">
        <f>F83/D83</f>
        <v/>
      </c>
      <c r="I83" s="17">
        <f>H83-G83*I84</f>
        <v/>
      </c>
      <c r="J83" s="13">
        <f>IF(1&gt;$B$59+$B$60,$I$61*$B$64^$J$61,$G$61*$B$62^$H$61)</f>
        <v/>
      </c>
      <c r="K83" s="13">
        <f>IF(1=1,0,$B$67)</f>
        <v/>
      </c>
      <c r="L83" s="13">
        <f>-($B$67+(IF(1&lt;=$B$59,$B$66*$B$68+$B$65,IF(1&lt;=$B$59+$B$60,$B$66*$B$68,$B$66)))/J83)</f>
        <v/>
      </c>
      <c r="M83" s="13">
        <f>IF(1=$B$59+$B$60,0,IF(1&gt;$B$59+$B$60,$B$66/J84,IF(1&gt;=$B$59,$B$66*$B$68/J84,($B$66*$B$68+$B$65)/J84)))</f>
        <v/>
      </c>
      <c r="N83" s="13">
        <f>IF(1=$B$59,-$N$61*$B$65,0)</f>
        <v/>
      </c>
      <c r="O83" s="13">
        <f>M83/L83</f>
        <v/>
      </c>
      <c r="P83" s="13">
        <f>N83/L83</f>
        <v/>
      </c>
      <c r="Q83" s="17">
        <f>P83-O83*Q84</f>
        <v/>
      </c>
      <c r="R83" s="13">
        <f>IF(1&gt;$B$59+$B$60,$I$62*$B$64^$J$62,$G$62*$B$62^$H$62)</f>
        <v/>
      </c>
      <c r="S83" s="13">
        <f>IF(1=1,0,$B$67)</f>
        <v/>
      </c>
      <c r="T83" s="13">
        <f>-($B$67+(IF(1&lt;=$B$59,$B$66*$B$68+$B$65,IF(1&lt;=$B$59+$B$60,$B$66*$B$68,$B$66)))/R83)</f>
        <v/>
      </c>
      <c r="U83" s="13">
        <f>IF(1=$B$59+$B$60,0,IF(1&gt;$B$59+$B$60,$B$66/R84,IF(1&gt;=$B$59,$B$66*$B$68/R84,($B$66*$B$68+$B$65)/R84)))</f>
        <v/>
      </c>
      <c r="V83" s="13">
        <f>IF(1=$B$59,-$N$62*$B$65,0)</f>
        <v/>
      </c>
      <c r="W83" s="13">
        <f>U83/T83</f>
        <v/>
      </c>
      <c r="X83" s="13">
        <f>V83/T83</f>
        <v/>
      </c>
      <c r="Y83" s="17">
        <f>X83-W83*Y84</f>
        <v/>
      </c>
      <c r="Z83" s="13">
        <f>IF(1&gt;$B$59+$B$60,$I$63*$B$64^$J$63,$G$63*$B$62^$H$63)</f>
        <v/>
      </c>
      <c r="AA83" s="13">
        <f>IF(1=1,0,$B$67)</f>
        <v/>
      </c>
      <c r="AB83" s="13">
        <f>-($B$67+(IF(1&lt;=$B$59,$B$66*$B$68+$B$65,IF(1&lt;=$B$59+$B$60,$B$66*$B$68,$B$66)))/Z83)</f>
        <v/>
      </c>
      <c r="AC83" s="13">
        <f>IF(1=$B$59+$B$60,0,IF(1&gt;$B$59+$B$60,$B$66/Z84,IF(1&gt;=$B$59,$B$66*$B$68/Z84,($B$66*$B$68+$B$65)/Z84)))</f>
        <v/>
      </c>
      <c r="AD83" s="13">
        <f>IF(1=$B$59,-$N$63*$B$65,0)</f>
        <v/>
      </c>
      <c r="AE83" s="13">
        <f>AC83/AB83</f>
        <v/>
      </c>
      <c r="AF83" s="13">
        <f>AD83/AB83</f>
        <v/>
      </c>
      <c r="AG83" s="17">
        <f>AF83-AE83*AG84</f>
        <v/>
      </c>
      <c r="AH83" s="15">
        <f>IFERROR(I83/B83,0)</f>
        <v/>
      </c>
      <c r="AI83" s="15">
        <f>IFERROR(Q83/J83,0)</f>
        <v/>
      </c>
      <c r="AJ83" s="15">
        <f>IFERROR(Y83/R83,0)</f>
        <v/>
      </c>
      <c r="AK83" s="15">
        <f>IFERROR(AG83/Z83,0)</f>
        <v/>
      </c>
      <c r="AL83" s="15">
        <f>I83+Q83+Y83+AG83</f>
        <v/>
      </c>
      <c r="AM83" s="15">
        <f>AH83+AI83+AJ83+AK83</f>
        <v/>
      </c>
    </row>
    <row r="84" ht="16" customHeight="1">
      <c r="A84" s="24" t="n">
        <v>2</v>
      </c>
      <c r="B84" s="13">
        <f>IF(2&gt;$B$59+$B$60,$I$60*$B$64^$J$60,$G$60*$B$62^$H$60)</f>
        <v/>
      </c>
      <c r="C84" s="13">
        <f>IF(2=1,0,$B$67)</f>
        <v/>
      </c>
      <c r="D84" s="13">
        <f>-($B$67+(IF(2&lt;=$B$59,$B$66*$B$68+$B$65,IF(2&lt;=$B$59+$B$60,$B$66*$B$68,$B$66)))/B84)</f>
        <v/>
      </c>
      <c r="E84" s="13">
        <f>IF(2=$B$59+$B$60,0,IF(2&gt;$B$59+$B$60,$B$66/B85,IF(2&gt;=$B$59,$B$66*$B$68/B85,($B$66*$B$68+$B$65)/B85)))</f>
        <v/>
      </c>
      <c r="F84" s="13">
        <f>IF(2=$B$59,-$N$60*$B$65,0)</f>
        <v/>
      </c>
      <c r="G84" s="13">
        <f>E84/(D84-C84*G83)</f>
        <v/>
      </c>
      <c r="H84" s="13">
        <f>(F84-C84*H83)/(D84-C84*G83)</f>
        <v/>
      </c>
      <c r="I84" s="17">
        <f>H84-G84*I85</f>
        <v/>
      </c>
      <c r="J84" s="13">
        <f>IF(2&gt;$B$59+$B$60,$I$61*$B$64^$J$61,$G$61*$B$62^$H$61)</f>
        <v/>
      </c>
      <c r="K84" s="13">
        <f>IF(2=1,0,$B$67)</f>
        <v/>
      </c>
      <c r="L84" s="13">
        <f>-($B$67+(IF(2&lt;=$B$59,$B$66*$B$68+$B$65,IF(2&lt;=$B$59+$B$60,$B$66*$B$68,$B$66)))/J84)</f>
        <v/>
      </c>
      <c r="M84" s="13">
        <f>IF(2=$B$59+$B$60,0,IF(2&gt;$B$59+$B$60,$B$66/J85,IF(2&gt;=$B$59,$B$66*$B$68/J85,($B$66*$B$68+$B$65)/J85)))</f>
        <v/>
      </c>
      <c r="N84" s="13">
        <f>IF(2=$B$59,-$N$61*$B$65,0)</f>
        <v/>
      </c>
      <c r="O84" s="13">
        <f>M84/(L84-K84*O83)</f>
        <v/>
      </c>
      <c r="P84" s="13">
        <f>(N84-K84*P83)/(L84-K84*O83)</f>
        <v/>
      </c>
      <c r="Q84" s="17">
        <f>P84-O84*Q85</f>
        <v/>
      </c>
      <c r="R84" s="13">
        <f>IF(2&gt;$B$59+$B$60,$I$62*$B$64^$J$62,$G$62*$B$62^$H$62)</f>
        <v/>
      </c>
      <c r="S84" s="13">
        <f>IF(2=1,0,$B$67)</f>
        <v/>
      </c>
      <c r="T84" s="13">
        <f>-($B$67+(IF(2&lt;=$B$59,$B$66*$B$68+$B$65,IF(2&lt;=$B$59+$B$60,$B$66*$B$68,$B$66)))/R84)</f>
        <v/>
      </c>
      <c r="U84" s="13">
        <f>IF(2=$B$59+$B$60,0,IF(2&gt;$B$59+$B$60,$B$66/R85,IF(2&gt;=$B$59,$B$66*$B$68/R85,($B$66*$B$68+$B$65)/R85)))</f>
        <v/>
      </c>
      <c r="V84" s="13">
        <f>IF(2=$B$59,-$N$62*$B$65,0)</f>
        <v/>
      </c>
      <c r="W84" s="13">
        <f>U84/(T84-S84*W83)</f>
        <v/>
      </c>
      <c r="X84" s="13">
        <f>(V84-S84*X83)/(T84-S84*W83)</f>
        <v/>
      </c>
      <c r="Y84" s="17">
        <f>X84-W84*Y85</f>
        <v/>
      </c>
      <c r="Z84" s="13">
        <f>IF(2&gt;$B$59+$B$60,$I$63*$B$64^$J$63,$G$63*$B$62^$H$63)</f>
        <v/>
      </c>
      <c r="AA84" s="13">
        <f>IF(2=1,0,$B$67)</f>
        <v/>
      </c>
      <c r="AB84" s="13">
        <f>-($B$67+(IF(2&lt;=$B$59,$B$66*$B$68+$B$65,IF(2&lt;=$B$59+$B$60,$B$66*$B$68,$B$66)))/Z84)</f>
        <v/>
      </c>
      <c r="AC84" s="13">
        <f>IF(2=$B$59+$B$60,0,IF(2&gt;$B$59+$B$60,$B$66/Z85,IF(2&gt;=$B$59,$B$66*$B$68/Z85,($B$66*$B$68+$B$65)/Z85)))</f>
        <v/>
      </c>
      <c r="AD84" s="13">
        <f>IF(2=$B$59,-$N$63*$B$65,0)</f>
        <v/>
      </c>
      <c r="AE84" s="13">
        <f>AC84/(AB84-AA84*AE83)</f>
        <v/>
      </c>
      <c r="AF84" s="13">
        <f>(AD84-AA84*AF83)/(AB84-AA84*AE83)</f>
        <v/>
      </c>
      <c r="AG84" s="17">
        <f>AF84-AE84*AG85</f>
        <v/>
      </c>
      <c r="AH84" s="15">
        <f>IFERROR(I84/B84,0)</f>
        <v/>
      </c>
      <c r="AI84" s="15">
        <f>IFERROR(Q84/J84,0)</f>
        <v/>
      </c>
      <c r="AJ84" s="15">
        <f>IFERROR(Y84/R84,0)</f>
        <v/>
      </c>
      <c r="AK84" s="15">
        <f>IFERROR(AG84/Z84,0)</f>
        <v/>
      </c>
      <c r="AL84" s="15">
        <f>I84+Q84+Y84+AG84</f>
        <v/>
      </c>
      <c r="AM84" s="15">
        <f>AH84+AI84+AJ84+AK84</f>
        <v/>
      </c>
    </row>
    <row r="85" ht="16" customHeight="1">
      <c r="A85" s="24" t="n">
        <v>3</v>
      </c>
      <c r="B85" s="13">
        <f>IF(3&gt;$B$59+$B$60,$I$60*$B$64^$J$60,$G$60*$B$62^$H$60)</f>
        <v/>
      </c>
      <c r="C85" s="13">
        <f>IF(3=1,0,$B$67)</f>
        <v/>
      </c>
      <c r="D85" s="13">
        <f>-($B$67+(IF(3&lt;=$B$59,$B$66*$B$68+$B$65,IF(3&lt;=$B$59+$B$60,$B$66*$B$68,$B$66)))/B85)</f>
        <v/>
      </c>
      <c r="E85" s="13">
        <f>IF(3=$B$59+$B$60,0,IF(3&gt;$B$59+$B$60,$B$66/B86,IF(3&gt;=$B$59,$B$66*$B$68/B86,($B$66*$B$68+$B$65)/B86)))</f>
        <v/>
      </c>
      <c r="F85" s="13">
        <f>IF(3=$B$59,-$N$60*$B$65,0)</f>
        <v/>
      </c>
      <c r="G85" s="13">
        <f>E85/(D85-C85*G84)</f>
        <v/>
      </c>
      <c r="H85" s="13">
        <f>(F85-C85*H84)/(D85-C85*G84)</f>
        <v/>
      </c>
      <c r="I85" s="17">
        <f>H85-G85*I86</f>
        <v/>
      </c>
      <c r="J85" s="13">
        <f>IF(3&gt;$B$59+$B$60,$I$61*$B$64^$J$61,$G$61*$B$62^$H$61)</f>
        <v/>
      </c>
      <c r="K85" s="13">
        <f>IF(3=1,0,$B$67)</f>
        <v/>
      </c>
      <c r="L85" s="13">
        <f>-($B$67+(IF(3&lt;=$B$59,$B$66*$B$68+$B$65,IF(3&lt;=$B$59+$B$60,$B$66*$B$68,$B$66)))/J85)</f>
        <v/>
      </c>
      <c r="M85" s="13">
        <f>IF(3=$B$59+$B$60,0,IF(3&gt;$B$59+$B$60,$B$66/J86,IF(3&gt;=$B$59,$B$66*$B$68/J86,($B$66*$B$68+$B$65)/J86)))</f>
        <v/>
      </c>
      <c r="N85" s="13">
        <f>IF(3=$B$59,-$N$61*$B$65,0)</f>
        <v/>
      </c>
      <c r="O85" s="13">
        <f>M85/(L85-K85*O84)</f>
        <v/>
      </c>
      <c r="P85" s="13">
        <f>(N85-K85*P84)/(L85-K85*O84)</f>
        <v/>
      </c>
      <c r="Q85" s="17">
        <f>P85-O85*Q86</f>
        <v/>
      </c>
      <c r="R85" s="13">
        <f>IF(3&gt;$B$59+$B$60,$I$62*$B$64^$J$62,$G$62*$B$62^$H$62)</f>
        <v/>
      </c>
      <c r="S85" s="13">
        <f>IF(3=1,0,$B$67)</f>
        <v/>
      </c>
      <c r="T85" s="13">
        <f>-($B$67+(IF(3&lt;=$B$59,$B$66*$B$68+$B$65,IF(3&lt;=$B$59+$B$60,$B$66*$B$68,$B$66)))/R85)</f>
        <v/>
      </c>
      <c r="U85" s="13">
        <f>IF(3=$B$59+$B$60,0,IF(3&gt;$B$59+$B$60,$B$66/R86,IF(3&gt;=$B$59,$B$66*$B$68/R86,($B$66*$B$68+$B$65)/R86)))</f>
        <v/>
      </c>
      <c r="V85" s="13">
        <f>IF(3=$B$59,-$N$62*$B$65,0)</f>
        <v/>
      </c>
      <c r="W85" s="13">
        <f>U85/(T85-S85*W84)</f>
        <v/>
      </c>
      <c r="X85" s="13">
        <f>(V85-S85*X84)/(T85-S85*W84)</f>
        <v/>
      </c>
      <c r="Y85" s="17">
        <f>X85-W85*Y86</f>
        <v/>
      </c>
      <c r="Z85" s="13">
        <f>IF(3&gt;$B$59+$B$60,$I$63*$B$64^$J$63,$G$63*$B$62^$H$63)</f>
        <v/>
      </c>
      <c r="AA85" s="13">
        <f>IF(3=1,0,$B$67)</f>
        <v/>
      </c>
      <c r="AB85" s="13">
        <f>-($B$67+(IF(3&lt;=$B$59,$B$66*$B$68+$B$65,IF(3&lt;=$B$59+$B$60,$B$66*$B$68,$B$66)))/Z85)</f>
        <v/>
      </c>
      <c r="AC85" s="13">
        <f>IF(3=$B$59+$B$60,0,IF(3&gt;$B$59+$B$60,$B$66/Z86,IF(3&gt;=$B$59,$B$66*$B$68/Z86,($B$66*$B$68+$B$65)/Z86)))</f>
        <v/>
      </c>
      <c r="AD85" s="13">
        <f>IF(3=$B$59,-$N$63*$B$65,0)</f>
        <v/>
      </c>
      <c r="AE85" s="13">
        <f>AC85/(AB85-AA85*AE84)</f>
        <v/>
      </c>
      <c r="AF85" s="13">
        <f>(AD85-AA85*AF84)/(AB85-AA85*AE84)</f>
        <v/>
      </c>
      <c r="AG85" s="17">
        <f>AF85-AE85*AG86</f>
        <v/>
      </c>
      <c r="AH85" s="15">
        <f>IFERROR(I85/B85,0)</f>
        <v/>
      </c>
      <c r="AI85" s="15">
        <f>IFERROR(Q85/J85,0)</f>
        <v/>
      </c>
      <c r="AJ85" s="15">
        <f>IFERROR(Y85/R85,0)</f>
        <v/>
      </c>
      <c r="AK85" s="15">
        <f>IFERROR(AG85/Z85,0)</f>
        <v/>
      </c>
      <c r="AL85" s="15">
        <f>I85+Q85+Y85+AG85</f>
        <v/>
      </c>
      <c r="AM85" s="15">
        <f>AH85+AI85+AJ85+AK85</f>
        <v/>
      </c>
    </row>
    <row r="86" ht="16" customHeight="1">
      <c r="A86" s="25" t="n">
        <v>4</v>
      </c>
      <c r="B86" s="13">
        <f>IF(4&gt;$B$59+$B$60,$I$60*$B$64^$J$60,$G$60*$B$62^$H$60)</f>
        <v/>
      </c>
      <c r="C86" s="13">
        <f>IF(4=1,0,$B$67)</f>
        <v/>
      </c>
      <c r="D86" s="13">
        <f>-($B$67+(IF(4&lt;=$B$59,$B$66*$B$68+$B$65,IF(4&lt;=$B$59+$B$60,$B$66*$B$68,$B$66)))/B86)</f>
        <v/>
      </c>
      <c r="E86" s="13">
        <f>IF(4=$B$59+$B$60,0,IF(4&gt;$B$59+$B$60,$B$66/B87,IF(4&gt;=$B$59,$B$66*$B$68/B87,($B$66*$B$68+$B$65)/B87)))</f>
        <v/>
      </c>
      <c r="F86" s="13">
        <f>IF(4=$B$59,-$N$60*$B$65,0)</f>
        <v/>
      </c>
      <c r="G86" s="13">
        <f>E86/(D86-C86*G85)</f>
        <v/>
      </c>
      <c r="H86" s="13">
        <f>(F86-C86*H85)/(D86-C86*G85)</f>
        <v/>
      </c>
      <c r="I86" s="17">
        <f>H86-G86*I87</f>
        <v/>
      </c>
      <c r="J86" s="13">
        <f>IF(4&gt;$B$59+$B$60,$I$61*$B$64^$J$61,$G$61*$B$62^$H$61)</f>
        <v/>
      </c>
      <c r="K86" s="13">
        <f>IF(4=1,0,$B$67)</f>
        <v/>
      </c>
      <c r="L86" s="13">
        <f>-($B$67+(IF(4&lt;=$B$59,$B$66*$B$68+$B$65,IF(4&lt;=$B$59+$B$60,$B$66*$B$68,$B$66)))/J86)</f>
        <v/>
      </c>
      <c r="M86" s="13">
        <f>IF(4=$B$59+$B$60,0,IF(4&gt;$B$59+$B$60,$B$66/J87,IF(4&gt;=$B$59,$B$66*$B$68/J87,($B$66*$B$68+$B$65)/J87)))</f>
        <v/>
      </c>
      <c r="N86" s="13">
        <f>IF(4=$B$59,-$N$61*$B$65,0)</f>
        <v/>
      </c>
      <c r="O86" s="13">
        <f>M86/(L86-K86*O85)</f>
        <v/>
      </c>
      <c r="P86" s="13">
        <f>(N86-K86*P85)/(L86-K86*O85)</f>
        <v/>
      </c>
      <c r="Q86" s="17">
        <f>P86-O86*Q87</f>
        <v/>
      </c>
      <c r="R86" s="13">
        <f>IF(4&gt;$B$59+$B$60,$I$62*$B$64^$J$62,$G$62*$B$62^$H$62)</f>
        <v/>
      </c>
      <c r="S86" s="13">
        <f>IF(4=1,0,$B$67)</f>
        <v/>
      </c>
      <c r="T86" s="13">
        <f>-($B$67+(IF(4&lt;=$B$59,$B$66*$B$68+$B$65,IF(4&lt;=$B$59+$B$60,$B$66*$B$68,$B$66)))/R86)</f>
        <v/>
      </c>
      <c r="U86" s="13">
        <f>IF(4=$B$59+$B$60,0,IF(4&gt;$B$59+$B$60,$B$66/R87,IF(4&gt;=$B$59,$B$66*$B$68/R87,($B$66*$B$68+$B$65)/R87)))</f>
        <v/>
      </c>
      <c r="V86" s="13">
        <f>IF(4=$B$59,-$N$62*$B$65,0)</f>
        <v/>
      </c>
      <c r="W86" s="13">
        <f>U86/(T86-S86*W85)</f>
        <v/>
      </c>
      <c r="X86" s="13">
        <f>(V86-S86*X85)/(T86-S86*W85)</f>
        <v/>
      </c>
      <c r="Y86" s="17">
        <f>X86-W86*Y87</f>
        <v/>
      </c>
      <c r="Z86" s="13">
        <f>IF(4&gt;$B$59+$B$60,$I$63*$B$64^$J$63,$G$63*$B$62^$H$63)</f>
        <v/>
      </c>
      <c r="AA86" s="13">
        <f>IF(4=1,0,$B$67)</f>
        <v/>
      </c>
      <c r="AB86" s="13">
        <f>-($B$67+(IF(4&lt;=$B$59,$B$66*$B$68+$B$65,IF(4&lt;=$B$59+$B$60,$B$66*$B$68,$B$66)))/Z86)</f>
        <v/>
      </c>
      <c r="AC86" s="13">
        <f>IF(4=$B$59+$B$60,0,IF(4&gt;$B$59+$B$60,$B$66/Z87,IF(4&gt;=$B$59,$B$66*$B$68/Z87,($B$66*$B$68+$B$65)/Z87)))</f>
        <v/>
      </c>
      <c r="AD86" s="13">
        <f>IF(4=$B$59,-$N$63*$B$65,0)</f>
        <v/>
      </c>
      <c r="AE86" s="13">
        <f>AC86/(AB86-AA86*AE85)</f>
        <v/>
      </c>
      <c r="AF86" s="13">
        <f>(AD86-AA86*AF85)/(AB86-AA86*AE85)</f>
        <v/>
      </c>
      <c r="AG86" s="17">
        <f>AF86-AE86*AG87</f>
        <v/>
      </c>
      <c r="AH86" s="15">
        <f>IFERROR(I86/B86,0)</f>
        <v/>
      </c>
      <c r="AI86" s="15">
        <f>IFERROR(Q86/J86,0)</f>
        <v/>
      </c>
      <c r="AJ86" s="15">
        <f>IFERROR(Y86/R86,0)</f>
        <v/>
      </c>
      <c r="AK86" s="15">
        <f>IFERROR(AG86/Z86,0)</f>
        <v/>
      </c>
      <c r="AL86" s="15">
        <f>I86+Q86+Y86+AG86</f>
        <v/>
      </c>
      <c r="AM86" s="15">
        <f>AH86+AI86+AJ86+AK86</f>
        <v/>
      </c>
    </row>
    <row r="87" ht="16" customHeight="1">
      <c r="A87" s="25" t="n">
        <v>5</v>
      </c>
      <c r="B87" s="13">
        <f>IF(5&gt;$B$59+$B$60,$I$60*$B$64^$J$60,$G$60*$B$62^$H$60)</f>
        <v/>
      </c>
      <c r="C87" s="13">
        <f>IF(5=1,0,$B$67)</f>
        <v/>
      </c>
      <c r="D87" s="13">
        <f>-($B$67+(IF(5&lt;=$B$59,$B$66*$B$68+$B$65,IF(5&lt;=$B$59+$B$60,$B$66*$B$68,$B$66)))/B87)</f>
        <v/>
      </c>
      <c r="E87" s="13">
        <f>IF(5=$B$59+$B$60,0,IF(5&gt;$B$59+$B$60,$B$66/B88,IF(5&gt;=$B$59,$B$66*$B$68/B88,($B$66*$B$68+$B$65)/B88)))</f>
        <v/>
      </c>
      <c r="F87" s="13">
        <f>IF(5=$B$59,-$N$60*$B$65,0)</f>
        <v/>
      </c>
      <c r="G87" s="13">
        <f>E87/(D87-C87*G86)</f>
        <v/>
      </c>
      <c r="H87" s="13">
        <f>(F87-C87*H86)/(D87-C87*G86)</f>
        <v/>
      </c>
      <c r="I87" s="17">
        <f>H87-G87*I88</f>
        <v/>
      </c>
      <c r="J87" s="13">
        <f>IF(5&gt;$B$59+$B$60,$I$61*$B$64^$J$61,$G$61*$B$62^$H$61)</f>
        <v/>
      </c>
      <c r="K87" s="13">
        <f>IF(5=1,0,$B$67)</f>
        <v/>
      </c>
      <c r="L87" s="13">
        <f>-($B$67+(IF(5&lt;=$B$59,$B$66*$B$68+$B$65,IF(5&lt;=$B$59+$B$60,$B$66*$B$68,$B$66)))/J87)</f>
        <v/>
      </c>
      <c r="M87" s="13">
        <f>IF(5=$B$59+$B$60,0,IF(5&gt;$B$59+$B$60,$B$66/J88,IF(5&gt;=$B$59,$B$66*$B$68/J88,($B$66*$B$68+$B$65)/J88)))</f>
        <v/>
      </c>
      <c r="N87" s="13">
        <f>IF(5=$B$59,-$N$61*$B$65,0)</f>
        <v/>
      </c>
      <c r="O87" s="13">
        <f>M87/(L87-K87*O86)</f>
        <v/>
      </c>
      <c r="P87" s="13">
        <f>(N87-K87*P86)/(L87-K87*O86)</f>
        <v/>
      </c>
      <c r="Q87" s="17">
        <f>P87-O87*Q88</f>
        <v/>
      </c>
      <c r="R87" s="13">
        <f>IF(5&gt;$B$59+$B$60,$I$62*$B$64^$J$62,$G$62*$B$62^$H$62)</f>
        <v/>
      </c>
      <c r="S87" s="13">
        <f>IF(5=1,0,$B$67)</f>
        <v/>
      </c>
      <c r="T87" s="13">
        <f>-($B$67+(IF(5&lt;=$B$59,$B$66*$B$68+$B$65,IF(5&lt;=$B$59+$B$60,$B$66*$B$68,$B$66)))/R87)</f>
        <v/>
      </c>
      <c r="U87" s="13">
        <f>IF(5=$B$59+$B$60,0,IF(5&gt;$B$59+$B$60,$B$66/R88,IF(5&gt;=$B$59,$B$66*$B$68/R88,($B$66*$B$68+$B$65)/R88)))</f>
        <v/>
      </c>
      <c r="V87" s="13">
        <f>IF(5=$B$59,-$N$62*$B$65,0)</f>
        <v/>
      </c>
      <c r="W87" s="13">
        <f>U87/(T87-S87*W86)</f>
        <v/>
      </c>
      <c r="X87" s="13">
        <f>(V87-S87*X86)/(T87-S87*W86)</f>
        <v/>
      </c>
      <c r="Y87" s="17">
        <f>X87-W87*Y88</f>
        <v/>
      </c>
      <c r="Z87" s="13">
        <f>IF(5&gt;$B$59+$B$60,$I$63*$B$64^$J$63,$G$63*$B$62^$H$63)</f>
        <v/>
      </c>
      <c r="AA87" s="13">
        <f>IF(5=1,0,$B$67)</f>
        <v/>
      </c>
      <c r="AB87" s="13">
        <f>-($B$67+(IF(5&lt;=$B$59,$B$66*$B$68+$B$65,IF(5&lt;=$B$59+$B$60,$B$66*$B$68,$B$66)))/Z87)</f>
        <v/>
      </c>
      <c r="AC87" s="13">
        <f>IF(5=$B$59+$B$60,0,IF(5&gt;$B$59+$B$60,$B$66/Z88,IF(5&gt;=$B$59,$B$66*$B$68/Z88,($B$66*$B$68+$B$65)/Z88)))</f>
        <v/>
      </c>
      <c r="AD87" s="13">
        <f>IF(5=$B$59,-$N$63*$B$65,0)</f>
        <v/>
      </c>
      <c r="AE87" s="13">
        <f>AC87/(AB87-AA87*AE86)</f>
        <v/>
      </c>
      <c r="AF87" s="13">
        <f>(AD87-AA87*AF86)/(AB87-AA87*AE86)</f>
        <v/>
      </c>
      <c r="AG87" s="17">
        <f>AF87-AE87*AG88</f>
        <v/>
      </c>
      <c r="AH87" s="15">
        <f>IFERROR(I87/B87,0)</f>
        <v/>
      </c>
      <c r="AI87" s="15">
        <f>IFERROR(Q87/J87,0)</f>
        <v/>
      </c>
      <c r="AJ87" s="15">
        <f>IFERROR(Y87/R87,0)</f>
        <v/>
      </c>
      <c r="AK87" s="15">
        <f>IFERROR(AG87/Z87,0)</f>
        <v/>
      </c>
      <c r="AL87" s="15">
        <f>I87+Q87+Y87+AG87</f>
        <v/>
      </c>
      <c r="AM87" s="15">
        <f>AH87+AI87+AJ87+AK87</f>
        <v/>
      </c>
    </row>
    <row r="88" ht="16" customHeight="1">
      <c r="A88" s="26" t="n">
        <v>6</v>
      </c>
      <c r="B88" s="13">
        <f>IF(6&gt;$B$59+$B$60,$I$60*$B$64^$J$60,$G$60*$B$62^$H$60)</f>
        <v/>
      </c>
      <c r="C88" s="13">
        <f>IF(6=1,0,$B$67)</f>
        <v/>
      </c>
      <c r="D88" s="13">
        <f>-($B$67+(IF(6&lt;=$B$59,$B$66*$B$68+$B$65,IF(6&lt;=$B$59+$B$60,$B$66*$B$68,$B$66)))/B88)</f>
        <v/>
      </c>
      <c r="E88" s="13">
        <f>IF(6=$B$59+$B$60,0,IF(6&gt;$B$59+$B$60,$B$66/B89,IF(6&gt;=$B$59,$B$66*$B$68/B89,($B$66*$B$68+$B$65)/B89)))</f>
        <v/>
      </c>
      <c r="F88" s="13">
        <f>IF(6=$B$59,-$N$60*$B$65,0)</f>
        <v/>
      </c>
      <c r="G88" s="13">
        <f>E88/(D88-C88*G87)</f>
        <v/>
      </c>
      <c r="H88" s="13">
        <f>(F88-C88*H87)/(D88-C88*G87)</f>
        <v/>
      </c>
      <c r="I88" s="17">
        <f>H88-G88*I89</f>
        <v/>
      </c>
      <c r="J88" s="13">
        <f>IF(6&gt;$B$59+$B$60,$I$61*$B$64^$J$61,$G$61*$B$62^$H$61)</f>
        <v/>
      </c>
      <c r="K88" s="13">
        <f>IF(6=1,0,$B$67)</f>
        <v/>
      </c>
      <c r="L88" s="13">
        <f>-($B$67+(IF(6&lt;=$B$59,$B$66*$B$68+$B$65,IF(6&lt;=$B$59+$B$60,$B$66*$B$68,$B$66)))/J88)</f>
        <v/>
      </c>
      <c r="M88" s="13">
        <f>IF(6=$B$59+$B$60,0,IF(6&gt;$B$59+$B$60,$B$66/J89,IF(6&gt;=$B$59,$B$66*$B$68/J89,($B$66*$B$68+$B$65)/J89)))</f>
        <v/>
      </c>
      <c r="N88" s="13">
        <f>IF(6=$B$59,-$N$61*$B$65,0)</f>
        <v/>
      </c>
      <c r="O88" s="13">
        <f>M88/(L88-K88*O87)</f>
        <v/>
      </c>
      <c r="P88" s="13">
        <f>(N88-K88*P87)/(L88-K88*O87)</f>
        <v/>
      </c>
      <c r="Q88" s="17">
        <f>P88-O88*Q89</f>
        <v/>
      </c>
      <c r="R88" s="13">
        <f>IF(6&gt;$B$59+$B$60,$I$62*$B$64^$J$62,$G$62*$B$62^$H$62)</f>
        <v/>
      </c>
      <c r="S88" s="13">
        <f>IF(6=1,0,$B$67)</f>
        <v/>
      </c>
      <c r="T88" s="13">
        <f>-($B$67+(IF(6&lt;=$B$59,$B$66*$B$68+$B$65,IF(6&lt;=$B$59+$B$60,$B$66*$B$68,$B$66)))/R88)</f>
        <v/>
      </c>
      <c r="U88" s="13">
        <f>IF(6=$B$59+$B$60,0,IF(6&gt;$B$59+$B$60,$B$66/R89,IF(6&gt;=$B$59,$B$66*$B$68/R89,($B$66*$B$68+$B$65)/R89)))</f>
        <v/>
      </c>
      <c r="V88" s="13">
        <f>IF(6=$B$59,-$N$62*$B$65,0)</f>
        <v/>
      </c>
      <c r="W88" s="13">
        <f>U88/(T88-S88*W87)</f>
        <v/>
      </c>
      <c r="X88" s="13">
        <f>(V88-S88*X87)/(T88-S88*W87)</f>
        <v/>
      </c>
      <c r="Y88" s="17">
        <f>X88-W88*Y89</f>
        <v/>
      </c>
      <c r="Z88" s="13">
        <f>IF(6&gt;$B$59+$B$60,$I$63*$B$64^$J$63,$G$63*$B$62^$H$63)</f>
        <v/>
      </c>
      <c r="AA88" s="13">
        <f>IF(6=1,0,$B$67)</f>
        <v/>
      </c>
      <c r="AB88" s="13">
        <f>-($B$67+(IF(6&lt;=$B$59,$B$66*$B$68+$B$65,IF(6&lt;=$B$59+$B$60,$B$66*$B$68,$B$66)))/Z88)</f>
        <v/>
      </c>
      <c r="AC88" s="13">
        <f>IF(6=$B$59+$B$60,0,IF(6&gt;$B$59+$B$60,$B$66/Z89,IF(6&gt;=$B$59,$B$66*$B$68/Z89,($B$66*$B$68+$B$65)/Z89)))</f>
        <v/>
      </c>
      <c r="AD88" s="13">
        <f>IF(6=$B$59,-$N$63*$B$65,0)</f>
        <v/>
      </c>
      <c r="AE88" s="13">
        <f>AC88/(AB88-AA88*AE87)</f>
        <v/>
      </c>
      <c r="AF88" s="13">
        <f>(AD88-AA88*AF87)/(AB88-AA88*AE87)</f>
        <v/>
      </c>
      <c r="AG88" s="17">
        <f>AF88-AE88*AG89</f>
        <v/>
      </c>
      <c r="AH88" s="15">
        <f>IFERROR(I88/B88,0)</f>
        <v/>
      </c>
      <c r="AI88" s="15">
        <f>IFERROR(Q88/J88,0)</f>
        <v/>
      </c>
      <c r="AJ88" s="15">
        <f>IFERROR(Y88/R88,0)</f>
        <v/>
      </c>
      <c r="AK88" s="15">
        <f>IFERROR(AG88/Z88,0)</f>
        <v/>
      </c>
      <c r="AL88" s="15">
        <f>I88+Q88+Y88+AG88</f>
        <v/>
      </c>
      <c r="AM88" s="15">
        <f>AH88+AI88+AJ88+AK88</f>
        <v/>
      </c>
    </row>
    <row r="89" ht="16" customHeight="1">
      <c r="A89" s="26" t="n">
        <v>7</v>
      </c>
      <c r="B89" s="13">
        <f>IF(7&gt;$B$59+$B$60,$I$60*$B$64^$J$60,$G$60*$B$62^$H$60)</f>
        <v/>
      </c>
      <c r="C89" s="13">
        <f>IF(7=1,0,$B$67)</f>
        <v/>
      </c>
      <c r="D89" s="13">
        <f>-($B$67+(IF(7&lt;=$B$59,$B$66*$B$68+$B$65,IF(7&lt;=$B$59+$B$60,$B$66*$B$68,$B$66)))/B89)</f>
        <v/>
      </c>
      <c r="E89" s="13">
        <f>IF(7=$B$59+$B$60,0,IF(7&gt;$B$59+$B$60,$B$66/B90,IF(7&gt;=$B$59,$B$66*$B$68/B90,($B$66*$B$68+$B$65)/B90)))</f>
        <v/>
      </c>
      <c r="F89" s="13">
        <f>IF(7=$B$59,-$N$60*$B$65,0)</f>
        <v/>
      </c>
      <c r="G89" s="13">
        <f>E89/(D89-C89*G88)</f>
        <v/>
      </c>
      <c r="H89" s="13">
        <f>(F89-C89*H88)/(D89-C89*G88)</f>
        <v/>
      </c>
      <c r="I89" s="17">
        <f>H89-G89*I90</f>
        <v/>
      </c>
      <c r="J89" s="13">
        <f>IF(7&gt;$B$59+$B$60,$I$61*$B$64^$J$61,$G$61*$B$62^$H$61)</f>
        <v/>
      </c>
      <c r="K89" s="13">
        <f>IF(7=1,0,$B$67)</f>
        <v/>
      </c>
      <c r="L89" s="13">
        <f>-($B$67+(IF(7&lt;=$B$59,$B$66*$B$68+$B$65,IF(7&lt;=$B$59+$B$60,$B$66*$B$68,$B$66)))/J89)</f>
        <v/>
      </c>
      <c r="M89" s="13">
        <f>IF(7=$B$59+$B$60,0,IF(7&gt;$B$59+$B$60,$B$66/J90,IF(7&gt;=$B$59,$B$66*$B$68/J90,($B$66*$B$68+$B$65)/J90)))</f>
        <v/>
      </c>
      <c r="N89" s="13">
        <f>IF(7=$B$59,-$N$61*$B$65,0)</f>
        <v/>
      </c>
      <c r="O89" s="13">
        <f>M89/(L89-K89*O88)</f>
        <v/>
      </c>
      <c r="P89" s="13">
        <f>(N89-K89*P88)/(L89-K89*O88)</f>
        <v/>
      </c>
      <c r="Q89" s="17">
        <f>P89-O89*Q90</f>
        <v/>
      </c>
      <c r="R89" s="13">
        <f>IF(7&gt;$B$59+$B$60,$I$62*$B$64^$J$62,$G$62*$B$62^$H$62)</f>
        <v/>
      </c>
      <c r="S89" s="13">
        <f>IF(7=1,0,$B$67)</f>
        <v/>
      </c>
      <c r="T89" s="13">
        <f>-($B$67+(IF(7&lt;=$B$59,$B$66*$B$68+$B$65,IF(7&lt;=$B$59+$B$60,$B$66*$B$68,$B$66)))/R89)</f>
        <v/>
      </c>
      <c r="U89" s="13">
        <f>IF(7=$B$59+$B$60,0,IF(7&gt;$B$59+$B$60,$B$66/R90,IF(7&gt;=$B$59,$B$66*$B$68/R90,($B$66*$B$68+$B$65)/R90)))</f>
        <v/>
      </c>
      <c r="V89" s="13">
        <f>IF(7=$B$59,-$N$62*$B$65,0)</f>
        <v/>
      </c>
      <c r="W89" s="13">
        <f>U89/(T89-S89*W88)</f>
        <v/>
      </c>
      <c r="X89" s="13">
        <f>(V89-S89*X88)/(T89-S89*W88)</f>
        <v/>
      </c>
      <c r="Y89" s="17">
        <f>X89-W89*Y90</f>
        <v/>
      </c>
      <c r="Z89" s="13">
        <f>IF(7&gt;$B$59+$B$60,$I$63*$B$64^$J$63,$G$63*$B$62^$H$63)</f>
        <v/>
      </c>
      <c r="AA89" s="13">
        <f>IF(7=1,0,$B$67)</f>
        <v/>
      </c>
      <c r="AB89" s="13">
        <f>-($B$67+(IF(7&lt;=$B$59,$B$66*$B$68+$B$65,IF(7&lt;=$B$59+$B$60,$B$66*$B$68,$B$66)))/Z89)</f>
        <v/>
      </c>
      <c r="AC89" s="13">
        <f>IF(7=$B$59+$B$60,0,IF(7&gt;$B$59+$B$60,$B$66/Z90,IF(7&gt;=$B$59,$B$66*$B$68/Z90,($B$66*$B$68+$B$65)/Z90)))</f>
        <v/>
      </c>
      <c r="AD89" s="13">
        <f>IF(7=$B$59,-$N$63*$B$65,0)</f>
        <v/>
      </c>
      <c r="AE89" s="13">
        <f>AC89/(AB89-AA89*AE88)</f>
        <v/>
      </c>
      <c r="AF89" s="13">
        <f>(AD89-AA89*AF88)/(AB89-AA89*AE88)</f>
        <v/>
      </c>
      <c r="AG89" s="17">
        <f>AF89-AE89*AG90</f>
        <v/>
      </c>
      <c r="AH89" s="15">
        <f>IFERROR(I89/B89,0)</f>
        <v/>
      </c>
      <c r="AI89" s="15">
        <f>IFERROR(Q89/J89,0)</f>
        <v/>
      </c>
      <c r="AJ89" s="15">
        <f>IFERROR(Y89/R89,0)</f>
        <v/>
      </c>
      <c r="AK89" s="15">
        <f>IFERROR(AG89/Z89,0)</f>
        <v/>
      </c>
      <c r="AL89" s="15">
        <f>I89+Q89+Y89+AG89</f>
        <v/>
      </c>
      <c r="AM89" s="15">
        <f>AH89+AI89+AJ89+AK89</f>
        <v/>
      </c>
    </row>
    <row r="90" ht="16" customHeight="1">
      <c r="A90" s="26" t="n">
        <v>8</v>
      </c>
      <c r="B90" s="13">
        <f>IF(8&gt;$B$59+$B$60,$I$60*$B$64^$J$60,$G$60*$B$62^$H$60)</f>
        <v/>
      </c>
      <c r="C90" s="13">
        <f>IF(8=1,0,$B$67)</f>
        <v/>
      </c>
      <c r="D90" s="13">
        <f>-($B$67+(IF(8&lt;=$B$59,$B$66*$B$68+$B$65,IF(8&lt;=$B$59+$B$60,$B$66*$B$68,$B$66)))/B90)</f>
        <v/>
      </c>
      <c r="E90" s="13">
        <f>IF(8=$B$59+$B$60,0,IF(8&gt;$B$59+$B$60,$B$66/B91,IF(8&gt;=$B$59,$B$66*$B$68/B91,($B$66*$B$68+$B$65)/B91)))</f>
        <v/>
      </c>
      <c r="F90" s="13">
        <f>IF(8=$B$59,-$N$60*$B$65,0)</f>
        <v/>
      </c>
      <c r="G90" s="13">
        <f>E90/(D90-C90*G89)</f>
        <v/>
      </c>
      <c r="H90" s="13">
        <f>(F90-C90*H89)/(D90-C90*G89)</f>
        <v/>
      </c>
      <c r="I90" s="17">
        <f>H90-G90*I91</f>
        <v/>
      </c>
      <c r="J90" s="13">
        <f>IF(8&gt;$B$59+$B$60,$I$61*$B$64^$J$61,$G$61*$B$62^$H$61)</f>
        <v/>
      </c>
      <c r="K90" s="13">
        <f>IF(8=1,0,$B$67)</f>
        <v/>
      </c>
      <c r="L90" s="13">
        <f>-($B$67+(IF(8&lt;=$B$59,$B$66*$B$68+$B$65,IF(8&lt;=$B$59+$B$60,$B$66*$B$68,$B$66)))/J90)</f>
        <v/>
      </c>
      <c r="M90" s="13">
        <f>IF(8=$B$59+$B$60,0,IF(8&gt;$B$59+$B$60,$B$66/J91,IF(8&gt;=$B$59,$B$66*$B$68/J91,($B$66*$B$68+$B$65)/J91)))</f>
        <v/>
      </c>
      <c r="N90" s="13">
        <f>IF(8=$B$59,-$N$61*$B$65,0)</f>
        <v/>
      </c>
      <c r="O90" s="13">
        <f>M90/(L90-K90*O89)</f>
        <v/>
      </c>
      <c r="P90" s="13">
        <f>(N90-K90*P89)/(L90-K90*O89)</f>
        <v/>
      </c>
      <c r="Q90" s="17">
        <f>P90-O90*Q91</f>
        <v/>
      </c>
      <c r="R90" s="13">
        <f>IF(8&gt;$B$59+$B$60,$I$62*$B$64^$J$62,$G$62*$B$62^$H$62)</f>
        <v/>
      </c>
      <c r="S90" s="13">
        <f>IF(8=1,0,$B$67)</f>
        <v/>
      </c>
      <c r="T90" s="13">
        <f>-($B$67+(IF(8&lt;=$B$59,$B$66*$B$68+$B$65,IF(8&lt;=$B$59+$B$60,$B$66*$B$68,$B$66)))/R90)</f>
        <v/>
      </c>
      <c r="U90" s="13">
        <f>IF(8=$B$59+$B$60,0,IF(8&gt;$B$59+$B$60,$B$66/R91,IF(8&gt;=$B$59,$B$66*$B$68/R91,($B$66*$B$68+$B$65)/R91)))</f>
        <v/>
      </c>
      <c r="V90" s="13">
        <f>IF(8=$B$59,-$N$62*$B$65,0)</f>
        <v/>
      </c>
      <c r="W90" s="13">
        <f>U90/(T90-S90*W89)</f>
        <v/>
      </c>
      <c r="X90" s="13">
        <f>(V90-S90*X89)/(T90-S90*W89)</f>
        <v/>
      </c>
      <c r="Y90" s="17">
        <f>X90-W90*Y91</f>
        <v/>
      </c>
      <c r="Z90" s="13">
        <f>IF(8&gt;$B$59+$B$60,$I$63*$B$64^$J$63,$G$63*$B$62^$H$63)</f>
        <v/>
      </c>
      <c r="AA90" s="13">
        <f>IF(8=1,0,$B$67)</f>
        <v/>
      </c>
      <c r="AB90" s="13">
        <f>-($B$67+(IF(8&lt;=$B$59,$B$66*$B$68+$B$65,IF(8&lt;=$B$59+$B$60,$B$66*$B$68,$B$66)))/Z90)</f>
        <v/>
      </c>
      <c r="AC90" s="13">
        <f>IF(8=$B$59+$B$60,0,IF(8&gt;$B$59+$B$60,$B$66/Z91,IF(8&gt;=$B$59,$B$66*$B$68/Z91,($B$66*$B$68+$B$65)/Z91)))</f>
        <v/>
      </c>
      <c r="AD90" s="13">
        <f>IF(8=$B$59,-$N$63*$B$65,0)</f>
        <v/>
      </c>
      <c r="AE90" s="13">
        <f>AC90/(AB90-AA90*AE89)</f>
        <v/>
      </c>
      <c r="AF90" s="13">
        <f>(AD90-AA90*AF89)/(AB90-AA90*AE89)</f>
        <v/>
      </c>
      <c r="AG90" s="17">
        <f>AF90-AE90*AG91</f>
        <v/>
      </c>
      <c r="AH90" s="15">
        <f>IFERROR(I90/B90,0)</f>
        <v/>
      </c>
      <c r="AI90" s="15">
        <f>IFERROR(Q90/J90,0)</f>
        <v/>
      </c>
      <c r="AJ90" s="15">
        <f>IFERROR(Y90/R90,0)</f>
        <v/>
      </c>
      <c r="AK90" s="15">
        <f>IFERROR(AG90/Z90,0)</f>
        <v/>
      </c>
      <c r="AL90" s="15">
        <f>I90+Q90+Y90+AG90</f>
        <v/>
      </c>
      <c r="AM90" s="15">
        <f>AH90+AI90+AJ90+AK90</f>
        <v/>
      </c>
    </row>
    <row r="91" ht="16" customHeight="1">
      <c r="A91" s="26" t="n">
        <v>9</v>
      </c>
      <c r="B91" s="13">
        <f>IF(9&gt;$B$59+$B$60,$I$60*$B$64^$J$60,$G$60*$B$62^$H$60)</f>
        <v/>
      </c>
      <c r="C91" s="13">
        <f>IF(9=1,0,$B$67)</f>
        <v/>
      </c>
      <c r="D91" s="13">
        <f>-($B$67+(IF(9&lt;=$B$59,$B$66*$B$68+$B$65,IF(9&lt;=$B$59+$B$60,$B$66*$B$68,$B$66)))/B91)</f>
        <v/>
      </c>
      <c r="E91" s="13">
        <f>IF(9=$B$59+$B$60,0,IF(9&gt;$B$59+$B$60,$B$66/B92,IF(9&gt;=$B$59,$B$66*$B$68/B92,($B$66*$B$68+$B$65)/B92)))</f>
        <v/>
      </c>
      <c r="F91" s="13">
        <f>IF(9=$B$59,-$N$60*$B$65,0)</f>
        <v/>
      </c>
      <c r="G91" s="13">
        <f>E91/(D91-C91*G90)</f>
        <v/>
      </c>
      <c r="H91" s="13">
        <f>(F91-C91*H90)/(D91-C91*G90)</f>
        <v/>
      </c>
      <c r="I91" s="17">
        <f>H91-G91*I92</f>
        <v/>
      </c>
      <c r="J91" s="13">
        <f>IF(9&gt;$B$59+$B$60,$I$61*$B$64^$J$61,$G$61*$B$62^$H$61)</f>
        <v/>
      </c>
      <c r="K91" s="13">
        <f>IF(9=1,0,$B$67)</f>
        <v/>
      </c>
      <c r="L91" s="13">
        <f>-($B$67+(IF(9&lt;=$B$59,$B$66*$B$68+$B$65,IF(9&lt;=$B$59+$B$60,$B$66*$B$68,$B$66)))/J91)</f>
        <v/>
      </c>
      <c r="M91" s="13">
        <f>IF(9=$B$59+$B$60,0,IF(9&gt;$B$59+$B$60,$B$66/J92,IF(9&gt;=$B$59,$B$66*$B$68/J92,($B$66*$B$68+$B$65)/J92)))</f>
        <v/>
      </c>
      <c r="N91" s="13">
        <f>IF(9=$B$59,-$N$61*$B$65,0)</f>
        <v/>
      </c>
      <c r="O91" s="13">
        <f>M91/(L91-K91*O90)</f>
        <v/>
      </c>
      <c r="P91" s="13">
        <f>(N91-K91*P90)/(L91-K91*O90)</f>
        <v/>
      </c>
      <c r="Q91" s="17">
        <f>P91-O91*Q92</f>
        <v/>
      </c>
      <c r="R91" s="13">
        <f>IF(9&gt;$B$59+$B$60,$I$62*$B$64^$J$62,$G$62*$B$62^$H$62)</f>
        <v/>
      </c>
      <c r="S91" s="13">
        <f>IF(9=1,0,$B$67)</f>
        <v/>
      </c>
      <c r="T91" s="13">
        <f>-($B$67+(IF(9&lt;=$B$59,$B$66*$B$68+$B$65,IF(9&lt;=$B$59+$B$60,$B$66*$B$68,$B$66)))/R91)</f>
        <v/>
      </c>
      <c r="U91" s="13">
        <f>IF(9=$B$59+$B$60,0,IF(9&gt;$B$59+$B$60,$B$66/R92,IF(9&gt;=$B$59,$B$66*$B$68/R92,($B$66*$B$68+$B$65)/R92)))</f>
        <v/>
      </c>
      <c r="V91" s="13">
        <f>IF(9=$B$59,-$N$62*$B$65,0)</f>
        <v/>
      </c>
      <c r="W91" s="13">
        <f>U91/(T91-S91*W90)</f>
        <v/>
      </c>
      <c r="X91" s="13">
        <f>(V91-S91*X90)/(T91-S91*W90)</f>
        <v/>
      </c>
      <c r="Y91" s="17">
        <f>X91-W91*Y92</f>
        <v/>
      </c>
      <c r="Z91" s="13">
        <f>IF(9&gt;$B$59+$B$60,$I$63*$B$64^$J$63,$G$63*$B$62^$H$63)</f>
        <v/>
      </c>
      <c r="AA91" s="13">
        <f>IF(9=1,0,$B$67)</f>
        <v/>
      </c>
      <c r="AB91" s="13">
        <f>-($B$67+(IF(9&lt;=$B$59,$B$66*$B$68+$B$65,IF(9&lt;=$B$59+$B$60,$B$66*$B$68,$B$66)))/Z91)</f>
        <v/>
      </c>
      <c r="AC91" s="13">
        <f>IF(9=$B$59+$B$60,0,IF(9&gt;$B$59+$B$60,$B$66/Z92,IF(9&gt;=$B$59,$B$66*$B$68/Z92,($B$66*$B$68+$B$65)/Z92)))</f>
        <v/>
      </c>
      <c r="AD91" s="13">
        <f>IF(9=$B$59,-$N$63*$B$65,0)</f>
        <v/>
      </c>
      <c r="AE91" s="13">
        <f>AC91/(AB91-AA91*AE90)</f>
        <v/>
      </c>
      <c r="AF91" s="13">
        <f>(AD91-AA91*AF90)/(AB91-AA91*AE90)</f>
        <v/>
      </c>
      <c r="AG91" s="17">
        <f>AF91-AE91*AG92</f>
        <v/>
      </c>
      <c r="AH91" s="15">
        <f>IFERROR(I91/B91,0)</f>
        <v/>
      </c>
      <c r="AI91" s="15">
        <f>IFERROR(Q91/J91,0)</f>
        <v/>
      </c>
      <c r="AJ91" s="15">
        <f>IFERROR(Y91/R91,0)</f>
        <v/>
      </c>
      <c r="AK91" s="15">
        <f>IFERROR(AG91/Z91,0)</f>
        <v/>
      </c>
      <c r="AL91" s="15">
        <f>I91+Q91+Y91+AG91</f>
        <v/>
      </c>
      <c r="AM91" s="15">
        <f>AH91+AI91+AJ91+AK91</f>
        <v/>
      </c>
    </row>
    <row r="92" ht="16" customHeight="1">
      <c r="A92" s="26" t="n">
        <v>10</v>
      </c>
      <c r="B92" s="13">
        <f>IF(10&gt;$B$59+$B$60,$I$60*$B$64^$J$60,$G$60*$B$62^$H$60)</f>
        <v/>
      </c>
      <c r="C92" s="13">
        <f>IF(10=1,0,$B$67)</f>
        <v/>
      </c>
      <c r="D92" s="13">
        <f>-($B$67+(IF(10&lt;=$B$59,$B$66*$B$68+$B$65,IF(10&lt;=$B$59+$B$60,$B$66*$B$68,$B$66)))/B92)</f>
        <v/>
      </c>
      <c r="E92" s="13">
        <f>IF(10=$B$59+$B$60,0,IF(10&gt;$B$59+$B$60,$B$66/B93,IF(10&gt;=$B$59,$B$66*$B$68/B93,($B$66*$B$68+$B$65)/B93)))</f>
        <v/>
      </c>
      <c r="F92" s="13">
        <f>IF(10=$B$59,-$N$60*$B$65,0)</f>
        <v/>
      </c>
      <c r="G92" s="13">
        <f>E92/(D92-C92*G91)</f>
        <v/>
      </c>
      <c r="H92" s="13">
        <f>(F92-C92*H91)/(D92-C92*G91)</f>
        <v/>
      </c>
      <c r="I92" s="17">
        <f>H92-G92*I93</f>
        <v/>
      </c>
      <c r="J92" s="13">
        <f>IF(10&gt;$B$59+$B$60,$I$61*$B$64^$J$61,$G$61*$B$62^$H$61)</f>
        <v/>
      </c>
      <c r="K92" s="13">
        <f>IF(10=1,0,$B$67)</f>
        <v/>
      </c>
      <c r="L92" s="13">
        <f>-($B$67+(IF(10&lt;=$B$59,$B$66*$B$68+$B$65,IF(10&lt;=$B$59+$B$60,$B$66*$B$68,$B$66)))/J92)</f>
        <v/>
      </c>
      <c r="M92" s="13">
        <f>IF(10=$B$59+$B$60,0,IF(10&gt;$B$59+$B$60,$B$66/J93,IF(10&gt;=$B$59,$B$66*$B$68/J93,($B$66*$B$68+$B$65)/J93)))</f>
        <v/>
      </c>
      <c r="N92" s="13">
        <f>IF(10=$B$59,-$N$61*$B$65,0)</f>
        <v/>
      </c>
      <c r="O92" s="13">
        <f>M92/(L92-K92*O91)</f>
        <v/>
      </c>
      <c r="P92" s="13">
        <f>(N92-K92*P91)/(L92-K92*O91)</f>
        <v/>
      </c>
      <c r="Q92" s="17">
        <f>P92-O92*Q93</f>
        <v/>
      </c>
      <c r="R92" s="13">
        <f>IF(10&gt;$B$59+$B$60,$I$62*$B$64^$J$62,$G$62*$B$62^$H$62)</f>
        <v/>
      </c>
      <c r="S92" s="13">
        <f>IF(10=1,0,$B$67)</f>
        <v/>
      </c>
      <c r="T92" s="13">
        <f>-($B$67+(IF(10&lt;=$B$59,$B$66*$B$68+$B$65,IF(10&lt;=$B$59+$B$60,$B$66*$B$68,$B$66)))/R92)</f>
        <v/>
      </c>
      <c r="U92" s="13">
        <f>IF(10=$B$59+$B$60,0,IF(10&gt;$B$59+$B$60,$B$66/R93,IF(10&gt;=$B$59,$B$66*$B$68/R93,($B$66*$B$68+$B$65)/R93)))</f>
        <v/>
      </c>
      <c r="V92" s="13">
        <f>IF(10=$B$59,-$N$62*$B$65,0)</f>
        <v/>
      </c>
      <c r="W92" s="13">
        <f>U92/(T92-S92*W91)</f>
        <v/>
      </c>
      <c r="X92" s="13">
        <f>(V92-S92*X91)/(T92-S92*W91)</f>
        <v/>
      </c>
      <c r="Y92" s="17">
        <f>X92-W92*Y93</f>
        <v/>
      </c>
      <c r="Z92" s="13">
        <f>IF(10&gt;$B$59+$B$60,$I$63*$B$64^$J$63,$G$63*$B$62^$H$63)</f>
        <v/>
      </c>
      <c r="AA92" s="13">
        <f>IF(10=1,0,$B$67)</f>
        <v/>
      </c>
      <c r="AB92" s="13">
        <f>-($B$67+(IF(10&lt;=$B$59,$B$66*$B$68+$B$65,IF(10&lt;=$B$59+$B$60,$B$66*$B$68,$B$66)))/Z92)</f>
        <v/>
      </c>
      <c r="AC92" s="13">
        <f>IF(10=$B$59+$B$60,0,IF(10&gt;$B$59+$B$60,$B$66/Z93,IF(10&gt;=$B$59,$B$66*$B$68/Z93,($B$66*$B$68+$B$65)/Z93)))</f>
        <v/>
      </c>
      <c r="AD92" s="13">
        <f>IF(10=$B$59,-$N$63*$B$65,0)</f>
        <v/>
      </c>
      <c r="AE92" s="13">
        <f>AC92/(AB92-AA92*AE91)</f>
        <v/>
      </c>
      <c r="AF92" s="13">
        <f>(AD92-AA92*AF91)/(AB92-AA92*AE91)</f>
        <v/>
      </c>
      <c r="AG92" s="17">
        <f>AF92-AE92*AG93</f>
        <v/>
      </c>
      <c r="AH92" s="15">
        <f>IFERROR(I92/B92,0)</f>
        <v/>
      </c>
      <c r="AI92" s="15">
        <f>IFERROR(Q92/J92,0)</f>
        <v/>
      </c>
      <c r="AJ92" s="15">
        <f>IFERROR(Y92/R92,0)</f>
        <v/>
      </c>
      <c r="AK92" s="15">
        <f>IFERROR(AG92/Z92,0)</f>
        <v/>
      </c>
      <c r="AL92" s="15">
        <f>I92+Q92+Y92+AG92</f>
        <v/>
      </c>
      <c r="AM92" s="15">
        <f>AH92+AI92+AJ92+AK92</f>
        <v/>
      </c>
    </row>
    <row r="93" ht="16" customHeight="1">
      <c r="A93" s="26" t="n">
        <v>11</v>
      </c>
      <c r="B93" s="13">
        <f>IF(11&gt;$B$59+$B$60,$I$60*$B$64^$J$60,$G$60*$B$62^$H$60)</f>
        <v/>
      </c>
      <c r="C93" s="13">
        <f>IF(11=1,0,$B$67)</f>
        <v/>
      </c>
      <c r="D93" s="13">
        <f>-($B$67+(IF(11&lt;=$B$59,$B$66*$B$68+$B$65,IF(11&lt;=$B$59+$B$60,$B$66*$B$68,$B$66)))/B93)</f>
        <v/>
      </c>
      <c r="E93" s="13">
        <f>IF(11=$B$59+$B$60,0,IF(11&gt;$B$59+$B$60,$B$66/B94,IF(11&gt;=$B$59,$B$66*$B$68/B94,($B$66*$B$68+$B$65)/B94)))</f>
        <v/>
      </c>
      <c r="F93" s="13">
        <f>IF(11=$B$59,-$N$60*$B$65,0)</f>
        <v/>
      </c>
      <c r="G93" s="13">
        <f>E93/(D93-C93*G92)</f>
        <v/>
      </c>
      <c r="H93" s="13">
        <f>(F93-C93*H92)/(D93-C93*G92)</f>
        <v/>
      </c>
      <c r="I93" s="17">
        <f>H93-G93*I94</f>
        <v/>
      </c>
      <c r="J93" s="13">
        <f>IF(11&gt;$B$59+$B$60,$I$61*$B$64^$J$61,$G$61*$B$62^$H$61)</f>
        <v/>
      </c>
      <c r="K93" s="13">
        <f>IF(11=1,0,$B$67)</f>
        <v/>
      </c>
      <c r="L93" s="13">
        <f>-($B$67+(IF(11&lt;=$B$59,$B$66*$B$68+$B$65,IF(11&lt;=$B$59+$B$60,$B$66*$B$68,$B$66)))/J93)</f>
        <v/>
      </c>
      <c r="M93" s="13">
        <f>IF(11=$B$59+$B$60,0,IF(11&gt;$B$59+$B$60,$B$66/J94,IF(11&gt;=$B$59,$B$66*$B$68/J94,($B$66*$B$68+$B$65)/J94)))</f>
        <v/>
      </c>
      <c r="N93" s="13">
        <f>IF(11=$B$59,-$N$61*$B$65,0)</f>
        <v/>
      </c>
      <c r="O93" s="13">
        <f>M93/(L93-K93*O92)</f>
        <v/>
      </c>
      <c r="P93" s="13">
        <f>(N93-K93*P92)/(L93-K93*O92)</f>
        <v/>
      </c>
      <c r="Q93" s="17">
        <f>P93-O93*Q94</f>
        <v/>
      </c>
      <c r="R93" s="13">
        <f>IF(11&gt;$B$59+$B$60,$I$62*$B$64^$J$62,$G$62*$B$62^$H$62)</f>
        <v/>
      </c>
      <c r="S93" s="13">
        <f>IF(11=1,0,$B$67)</f>
        <v/>
      </c>
      <c r="T93" s="13">
        <f>-($B$67+(IF(11&lt;=$B$59,$B$66*$B$68+$B$65,IF(11&lt;=$B$59+$B$60,$B$66*$B$68,$B$66)))/R93)</f>
        <v/>
      </c>
      <c r="U93" s="13">
        <f>IF(11=$B$59+$B$60,0,IF(11&gt;$B$59+$B$60,$B$66/R94,IF(11&gt;=$B$59,$B$66*$B$68/R94,($B$66*$B$68+$B$65)/R94)))</f>
        <v/>
      </c>
      <c r="V93" s="13">
        <f>IF(11=$B$59,-$N$62*$B$65,0)</f>
        <v/>
      </c>
      <c r="W93" s="13">
        <f>U93/(T93-S93*W92)</f>
        <v/>
      </c>
      <c r="X93" s="13">
        <f>(V93-S93*X92)/(T93-S93*W92)</f>
        <v/>
      </c>
      <c r="Y93" s="17">
        <f>X93-W93*Y94</f>
        <v/>
      </c>
      <c r="Z93" s="13">
        <f>IF(11&gt;$B$59+$B$60,$I$63*$B$64^$J$63,$G$63*$B$62^$H$63)</f>
        <v/>
      </c>
      <c r="AA93" s="13">
        <f>IF(11=1,0,$B$67)</f>
        <v/>
      </c>
      <c r="AB93" s="13">
        <f>-($B$67+(IF(11&lt;=$B$59,$B$66*$B$68+$B$65,IF(11&lt;=$B$59+$B$60,$B$66*$B$68,$B$66)))/Z93)</f>
        <v/>
      </c>
      <c r="AC93" s="13">
        <f>IF(11=$B$59+$B$60,0,IF(11&gt;$B$59+$B$60,$B$66/Z94,IF(11&gt;=$B$59,$B$66*$B$68/Z94,($B$66*$B$68+$B$65)/Z94)))</f>
        <v/>
      </c>
      <c r="AD93" s="13">
        <f>IF(11=$B$59,-$N$63*$B$65,0)</f>
        <v/>
      </c>
      <c r="AE93" s="13">
        <f>AC93/(AB93-AA93*AE92)</f>
        <v/>
      </c>
      <c r="AF93" s="13">
        <f>(AD93-AA93*AF92)/(AB93-AA93*AE92)</f>
        <v/>
      </c>
      <c r="AG93" s="17">
        <f>AF93-AE93*AG94</f>
        <v/>
      </c>
      <c r="AH93" s="15">
        <f>IFERROR(I93/B93,0)</f>
        <v/>
      </c>
      <c r="AI93" s="15">
        <f>IFERROR(Q93/J93,0)</f>
        <v/>
      </c>
      <c r="AJ93" s="15">
        <f>IFERROR(Y93/R93,0)</f>
        <v/>
      </c>
      <c r="AK93" s="15">
        <f>IFERROR(AG93/Z93,0)</f>
        <v/>
      </c>
      <c r="AL93" s="15">
        <f>I93+Q93+Y93+AG93</f>
        <v/>
      </c>
      <c r="AM93" s="15">
        <f>AH93+AI93+AJ93+AK93</f>
        <v/>
      </c>
    </row>
    <row r="94" ht="16" customHeight="1">
      <c r="A94" s="26" t="n">
        <v>12</v>
      </c>
      <c r="B94" s="13">
        <f>IF(12&gt;$B$59+$B$60,$I$60*$B$64^$J$60,$G$60*$B$62^$H$60)</f>
        <v/>
      </c>
      <c r="C94" s="13">
        <f>IF(12=1,0,$B$67)</f>
        <v/>
      </c>
      <c r="D94" s="13">
        <f>-($B$67+(IF(12&lt;=$B$59,$B$66*$B$68+$B$65,IF(12&lt;=$B$59+$B$60,$B$66*$B$68,$B$66)))/B94)</f>
        <v/>
      </c>
      <c r="E94" s="13">
        <f>IF(12=$B$59+$B$60,0,IF(12&gt;$B$59+$B$60,$B$66/B95,IF(12&gt;=$B$59,$B$66*$B$68/B95,($B$66*$B$68+$B$65)/B95)))</f>
        <v/>
      </c>
      <c r="F94" s="13">
        <f>IF(12=$B$59,-$N$60*$B$65,0)</f>
        <v/>
      </c>
      <c r="G94" s="13">
        <f>E94/(D94-C94*G93)</f>
        <v/>
      </c>
      <c r="H94" s="13">
        <f>(F94-C94*H93)/(D94-C94*G93)</f>
        <v/>
      </c>
      <c r="I94" s="17">
        <f>H94-G94*I95</f>
        <v/>
      </c>
      <c r="J94" s="13">
        <f>IF(12&gt;$B$59+$B$60,$I$61*$B$64^$J$61,$G$61*$B$62^$H$61)</f>
        <v/>
      </c>
      <c r="K94" s="13">
        <f>IF(12=1,0,$B$67)</f>
        <v/>
      </c>
      <c r="L94" s="13">
        <f>-($B$67+(IF(12&lt;=$B$59,$B$66*$B$68+$B$65,IF(12&lt;=$B$59+$B$60,$B$66*$B$68,$B$66)))/J94)</f>
        <v/>
      </c>
      <c r="M94" s="13">
        <f>IF(12=$B$59+$B$60,0,IF(12&gt;$B$59+$B$60,$B$66/J95,IF(12&gt;=$B$59,$B$66*$B$68/J95,($B$66*$B$68+$B$65)/J95)))</f>
        <v/>
      </c>
      <c r="N94" s="13">
        <f>IF(12=$B$59,-$N$61*$B$65,0)</f>
        <v/>
      </c>
      <c r="O94" s="13">
        <f>M94/(L94-K94*O93)</f>
        <v/>
      </c>
      <c r="P94" s="13">
        <f>(N94-K94*P93)/(L94-K94*O93)</f>
        <v/>
      </c>
      <c r="Q94" s="17">
        <f>P94-O94*Q95</f>
        <v/>
      </c>
      <c r="R94" s="13">
        <f>IF(12&gt;$B$59+$B$60,$I$62*$B$64^$J$62,$G$62*$B$62^$H$62)</f>
        <v/>
      </c>
      <c r="S94" s="13">
        <f>IF(12=1,0,$B$67)</f>
        <v/>
      </c>
      <c r="T94" s="13">
        <f>-($B$67+(IF(12&lt;=$B$59,$B$66*$B$68+$B$65,IF(12&lt;=$B$59+$B$60,$B$66*$B$68,$B$66)))/R94)</f>
        <v/>
      </c>
      <c r="U94" s="13">
        <f>IF(12=$B$59+$B$60,0,IF(12&gt;$B$59+$B$60,$B$66/R95,IF(12&gt;=$B$59,$B$66*$B$68/R95,($B$66*$B$68+$B$65)/R95)))</f>
        <v/>
      </c>
      <c r="V94" s="13">
        <f>IF(12=$B$59,-$N$62*$B$65,0)</f>
        <v/>
      </c>
      <c r="W94" s="13">
        <f>U94/(T94-S94*W93)</f>
        <v/>
      </c>
      <c r="X94" s="13">
        <f>(V94-S94*X93)/(T94-S94*W93)</f>
        <v/>
      </c>
      <c r="Y94" s="17">
        <f>X94-W94*Y95</f>
        <v/>
      </c>
      <c r="Z94" s="13">
        <f>IF(12&gt;$B$59+$B$60,$I$63*$B$64^$J$63,$G$63*$B$62^$H$63)</f>
        <v/>
      </c>
      <c r="AA94" s="13">
        <f>IF(12=1,0,$B$67)</f>
        <v/>
      </c>
      <c r="AB94" s="13">
        <f>-($B$67+(IF(12&lt;=$B$59,$B$66*$B$68+$B$65,IF(12&lt;=$B$59+$B$60,$B$66*$B$68,$B$66)))/Z94)</f>
        <v/>
      </c>
      <c r="AC94" s="13">
        <f>IF(12=$B$59+$B$60,0,IF(12&gt;$B$59+$B$60,$B$66/Z95,IF(12&gt;=$B$59,$B$66*$B$68/Z95,($B$66*$B$68+$B$65)/Z95)))</f>
        <v/>
      </c>
      <c r="AD94" s="13">
        <f>IF(12=$B$59,-$N$63*$B$65,0)</f>
        <v/>
      </c>
      <c r="AE94" s="13">
        <f>AC94/(AB94-AA94*AE93)</f>
        <v/>
      </c>
      <c r="AF94" s="13">
        <f>(AD94-AA94*AF93)/(AB94-AA94*AE93)</f>
        <v/>
      </c>
      <c r="AG94" s="17">
        <f>AF94-AE94*AG95</f>
        <v/>
      </c>
      <c r="AH94" s="15">
        <f>IFERROR(I94/B94,0)</f>
        <v/>
      </c>
      <c r="AI94" s="15">
        <f>IFERROR(Q94/J94,0)</f>
        <v/>
      </c>
      <c r="AJ94" s="15">
        <f>IFERROR(Y94/R94,0)</f>
        <v/>
      </c>
      <c r="AK94" s="15">
        <f>IFERROR(AG94/Z94,0)</f>
        <v/>
      </c>
      <c r="AL94" s="15">
        <f>I94+Q94+Y94+AG94</f>
        <v/>
      </c>
      <c r="AM94" s="15">
        <f>AH94+AI94+AJ94+AK94</f>
        <v/>
      </c>
    </row>
    <row r="95" ht="16" customHeight="1">
      <c r="A95" s="26" t="n">
        <v>13</v>
      </c>
      <c r="B95" s="13">
        <f>IF(13&gt;$B$59+$B$60,$I$60*$B$64^$J$60,$G$60*$B$62^$H$60)</f>
        <v/>
      </c>
      <c r="C95" s="13">
        <f>IF(13=1,0,$B$67)</f>
        <v/>
      </c>
      <c r="D95" s="13">
        <f>-($B$67+(IF(13&lt;=$B$59,$B$66*$B$68+$B$65,IF(13&lt;=$B$59+$B$60,$B$66*$B$68,$B$66)))/B95)</f>
        <v/>
      </c>
      <c r="E95" s="13">
        <f>IF(13=$B$59+$B$60,0,IF(13&gt;$B$59+$B$60,$B$66/B96,IF(13&gt;=$B$59,$B$66*$B$68/B96,($B$66*$B$68+$B$65)/B96)))</f>
        <v/>
      </c>
      <c r="F95" s="13">
        <f>IF(13=$B$59,-$N$60*$B$65,0)</f>
        <v/>
      </c>
      <c r="G95" s="13">
        <f>E95/(D95-C95*G94)</f>
        <v/>
      </c>
      <c r="H95" s="13">
        <f>(F95-C95*H94)/(D95-C95*G94)</f>
        <v/>
      </c>
      <c r="I95" s="17">
        <f>H95-G95*I96</f>
        <v/>
      </c>
      <c r="J95" s="13">
        <f>IF(13&gt;$B$59+$B$60,$I$61*$B$64^$J$61,$G$61*$B$62^$H$61)</f>
        <v/>
      </c>
      <c r="K95" s="13">
        <f>IF(13=1,0,$B$67)</f>
        <v/>
      </c>
      <c r="L95" s="13">
        <f>-($B$67+(IF(13&lt;=$B$59,$B$66*$B$68+$B$65,IF(13&lt;=$B$59+$B$60,$B$66*$B$68,$B$66)))/J95)</f>
        <v/>
      </c>
      <c r="M95" s="13">
        <f>IF(13=$B$59+$B$60,0,IF(13&gt;$B$59+$B$60,$B$66/J96,IF(13&gt;=$B$59,$B$66*$B$68/J96,($B$66*$B$68+$B$65)/J96)))</f>
        <v/>
      </c>
      <c r="N95" s="13">
        <f>IF(13=$B$59,-$N$61*$B$65,0)</f>
        <v/>
      </c>
      <c r="O95" s="13">
        <f>M95/(L95-K95*O94)</f>
        <v/>
      </c>
      <c r="P95" s="13">
        <f>(N95-K95*P94)/(L95-K95*O94)</f>
        <v/>
      </c>
      <c r="Q95" s="17">
        <f>P95-O95*Q96</f>
        <v/>
      </c>
      <c r="R95" s="13">
        <f>IF(13&gt;$B$59+$B$60,$I$62*$B$64^$J$62,$G$62*$B$62^$H$62)</f>
        <v/>
      </c>
      <c r="S95" s="13">
        <f>IF(13=1,0,$B$67)</f>
        <v/>
      </c>
      <c r="T95" s="13">
        <f>-($B$67+(IF(13&lt;=$B$59,$B$66*$B$68+$B$65,IF(13&lt;=$B$59+$B$60,$B$66*$B$68,$B$66)))/R95)</f>
        <v/>
      </c>
      <c r="U95" s="13">
        <f>IF(13=$B$59+$B$60,0,IF(13&gt;$B$59+$B$60,$B$66/R96,IF(13&gt;=$B$59,$B$66*$B$68/R96,($B$66*$B$68+$B$65)/R96)))</f>
        <v/>
      </c>
      <c r="V95" s="13">
        <f>IF(13=$B$59,-$N$62*$B$65,0)</f>
        <v/>
      </c>
      <c r="W95" s="13">
        <f>U95/(T95-S95*W94)</f>
        <v/>
      </c>
      <c r="X95" s="13">
        <f>(V95-S95*X94)/(T95-S95*W94)</f>
        <v/>
      </c>
      <c r="Y95" s="17">
        <f>X95-W95*Y96</f>
        <v/>
      </c>
      <c r="Z95" s="13">
        <f>IF(13&gt;$B$59+$B$60,$I$63*$B$64^$J$63,$G$63*$B$62^$H$63)</f>
        <v/>
      </c>
      <c r="AA95" s="13">
        <f>IF(13=1,0,$B$67)</f>
        <v/>
      </c>
      <c r="AB95" s="13">
        <f>-($B$67+(IF(13&lt;=$B$59,$B$66*$B$68+$B$65,IF(13&lt;=$B$59+$B$60,$B$66*$B$68,$B$66)))/Z95)</f>
        <v/>
      </c>
      <c r="AC95" s="13">
        <f>IF(13=$B$59+$B$60,0,IF(13&gt;$B$59+$B$60,$B$66/Z96,IF(13&gt;=$B$59,$B$66*$B$68/Z96,($B$66*$B$68+$B$65)/Z96)))</f>
        <v/>
      </c>
      <c r="AD95" s="13">
        <f>IF(13=$B$59,-$N$63*$B$65,0)</f>
        <v/>
      </c>
      <c r="AE95" s="13">
        <f>AC95/(AB95-AA95*AE94)</f>
        <v/>
      </c>
      <c r="AF95" s="13">
        <f>(AD95-AA95*AF94)/(AB95-AA95*AE94)</f>
        <v/>
      </c>
      <c r="AG95" s="17">
        <f>AF95-AE95*AG96</f>
        <v/>
      </c>
      <c r="AH95" s="15">
        <f>IFERROR(I95/B95,0)</f>
        <v/>
      </c>
      <c r="AI95" s="15">
        <f>IFERROR(Q95/J95,0)</f>
        <v/>
      </c>
      <c r="AJ95" s="15">
        <f>IFERROR(Y95/R95,0)</f>
        <v/>
      </c>
      <c r="AK95" s="15">
        <f>IFERROR(AG95/Z95,0)</f>
        <v/>
      </c>
      <c r="AL95" s="15">
        <f>I95+Q95+Y95+AG95</f>
        <v/>
      </c>
      <c r="AM95" s="15">
        <f>AH95+AI95+AJ95+AK95</f>
        <v/>
      </c>
    </row>
    <row r="96" ht="16" customHeight="1">
      <c r="A96" s="26" t="n">
        <v>14</v>
      </c>
      <c r="B96" s="13">
        <f>IF(14&gt;$B$59+$B$60,$I$60*$B$64^$J$60,$G$60*$B$62^$H$60)</f>
        <v/>
      </c>
      <c r="C96" s="13">
        <f>IF(14=1,0,$B$67)</f>
        <v/>
      </c>
      <c r="D96" s="13">
        <f>-($B$67+(IF(14&lt;=$B$59,$B$66*$B$68+$B$65,IF(14&lt;=$B$59+$B$60,$B$66*$B$68,$B$66)))/B96)</f>
        <v/>
      </c>
      <c r="E96" s="13">
        <f>IF(14=$B$59+$B$60,0,IF(14&gt;$B$59+$B$60,$B$66/B97,IF(14&gt;=$B$59,$B$66*$B$68/B97,($B$66*$B$68+$B$65)/B97)))</f>
        <v/>
      </c>
      <c r="F96" s="13">
        <f>IF(14=$B$59,-$N$60*$B$65,0)</f>
        <v/>
      </c>
      <c r="G96" s="13">
        <f>E96/(D96-C96*G95)</f>
        <v/>
      </c>
      <c r="H96" s="13">
        <f>(F96-C96*H95)/(D96-C96*G95)</f>
        <v/>
      </c>
      <c r="I96" s="17">
        <f>H96-G96*I97</f>
        <v/>
      </c>
      <c r="J96" s="13">
        <f>IF(14&gt;$B$59+$B$60,$I$61*$B$64^$J$61,$G$61*$B$62^$H$61)</f>
        <v/>
      </c>
      <c r="K96" s="13">
        <f>IF(14=1,0,$B$67)</f>
        <v/>
      </c>
      <c r="L96" s="13">
        <f>-($B$67+(IF(14&lt;=$B$59,$B$66*$B$68+$B$65,IF(14&lt;=$B$59+$B$60,$B$66*$B$68,$B$66)))/J96)</f>
        <v/>
      </c>
      <c r="M96" s="13">
        <f>IF(14=$B$59+$B$60,0,IF(14&gt;$B$59+$B$60,$B$66/J97,IF(14&gt;=$B$59,$B$66*$B$68/J97,($B$66*$B$68+$B$65)/J97)))</f>
        <v/>
      </c>
      <c r="N96" s="13">
        <f>IF(14=$B$59,-$N$61*$B$65,0)</f>
        <v/>
      </c>
      <c r="O96" s="13">
        <f>M96/(L96-K96*O95)</f>
        <v/>
      </c>
      <c r="P96" s="13">
        <f>(N96-K96*P95)/(L96-K96*O95)</f>
        <v/>
      </c>
      <c r="Q96" s="17">
        <f>P96-O96*Q97</f>
        <v/>
      </c>
      <c r="R96" s="13">
        <f>IF(14&gt;$B$59+$B$60,$I$62*$B$64^$J$62,$G$62*$B$62^$H$62)</f>
        <v/>
      </c>
      <c r="S96" s="13">
        <f>IF(14=1,0,$B$67)</f>
        <v/>
      </c>
      <c r="T96" s="13">
        <f>-($B$67+(IF(14&lt;=$B$59,$B$66*$B$68+$B$65,IF(14&lt;=$B$59+$B$60,$B$66*$B$68,$B$66)))/R96)</f>
        <v/>
      </c>
      <c r="U96" s="13">
        <f>IF(14=$B$59+$B$60,0,IF(14&gt;$B$59+$B$60,$B$66/R97,IF(14&gt;=$B$59,$B$66*$B$68/R97,($B$66*$B$68+$B$65)/R97)))</f>
        <v/>
      </c>
      <c r="V96" s="13">
        <f>IF(14=$B$59,-$N$62*$B$65,0)</f>
        <v/>
      </c>
      <c r="W96" s="13">
        <f>U96/(T96-S96*W95)</f>
        <v/>
      </c>
      <c r="X96" s="13">
        <f>(V96-S96*X95)/(T96-S96*W95)</f>
        <v/>
      </c>
      <c r="Y96" s="17">
        <f>X96-W96*Y97</f>
        <v/>
      </c>
      <c r="Z96" s="13">
        <f>IF(14&gt;$B$59+$B$60,$I$63*$B$64^$J$63,$G$63*$B$62^$H$63)</f>
        <v/>
      </c>
      <c r="AA96" s="13">
        <f>IF(14=1,0,$B$67)</f>
        <v/>
      </c>
      <c r="AB96" s="13">
        <f>-($B$67+(IF(14&lt;=$B$59,$B$66*$B$68+$B$65,IF(14&lt;=$B$59+$B$60,$B$66*$B$68,$B$66)))/Z96)</f>
        <v/>
      </c>
      <c r="AC96" s="13">
        <f>IF(14=$B$59+$B$60,0,IF(14&gt;$B$59+$B$60,$B$66/Z97,IF(14&gt;=$B$59,$B$66*$B$68/Z97,($B$66*$B$68+$B$65)/Z97)))</f>
        <v/>
      </c>
      <c r="AD96" s="13">
        <f>IF(14=$B$59,-$N$63*$B$65,0)</f>
        <v/>
      </c>
      <c r="AE96" s="13">
        <f>AC96/(AB96-AA96*AE95)</f>
        <v/>
      </c>
      <c r="AF96" s="13">
        <f>(AD96-AA96*AF95)/(AB96-AA96*AE95)</f>
        <v/>
      </c>
      <c r="AG96" s="17">
        <f>AF96-AE96*AG97</f>
        <v/>
      </c>
      <c r="AH96" s="15">
        <f>IFERROR(I96/B96,0)</f>
        <v/>
      </c>
      <c r="AI96" s="15">
        <f>IFERROR(Q96/J96,0)</f>
        <v/>
      </c>
      <c r="AJ96" s="15">
        <f>IFERROR(Y96/R96,0)</f>
        <v/>
      </c>
      <c r="AK96" s="15">
        <f>IFERROR(AG96/Z96,0)</f>
        <v/>
      </c>
      <c r="AL96" s="15">
        <f>I96+Q96+Y96+AG96</f>
        <v/>
      </c>
      <c r="AM96" s="15">
        <f>AH96+AI96+AJ96+AK96</f>
        <v/>
      </c>
    </row>
    <row r="97" ht="16" customHeight="1">
      <c r="A97" s="26" t="n">
        <v>15</v>
      </c>
      <c r="B97" s="13">
        <f>IF(15&gt;$B$59+$B$60,$I$60*$B$64^$J$60,$G$60*$B$62^$H$60)</f>
        <v/>
      </c>
      <c r="C97" s="13">
        <f>IF(15=1,0,$B$67)</f>
        <v/>
      </c>
      <c r="D97" s="13">
        <f>-($B$67+(IF(15&lt;=$B$59,$B$66*$B$68+$B$65,IF(15&lt;=$B$59+$B$60,$B$66*$B$68,$B$66)))/B97)</f>
        <v/>
      </c>
      <c r="E97" s="13">
        <f>IF(15=$B$59+$B$60,0,IF(15&gt;$B$59+$B$60,$B$66/B98,IF(15&gt;=$B$59,$B$66*$B$68/B98,($B$66*$B$68+$B$65)/B98)))</f>
        <v/>
      </c>
      <c r="F97" s="13">
        <f>IF(15=$B$59,-$N$60*$B$65,0)</f>
        <v/>
      </c>
      <c r="G97" s="13">
        <f>E97/(D97-C97*G96)</f>
        <v/>
      </c>
      <c r="H97" s="13">
        <f>(F97-C97*H96)/(D97-C97*G96)</f>
        <v/>
      </c>
      <c r="I97" s="17">
        <f>H97-G97*I98</f>
        <v/>
      </c>
      <c r="J97" s="13">
        <f>IF(15&gt;$B$59+$B$60,$I$61*$B$64^$J$61,$G$61*$B$62^$H$61)</f>
        <v/>
      </c>
      <c r="K97" s="13">
        <f>IF(15=1,0,$B$67)</f>
        <v/>
      </c>
      <c r="L97" s="13">
        <f>-($B$67+(IF(15&lt;=$B$59,$B$66*$B$68+$B$65,IF(15&lt;=$B$59+$B$60,$B$66*$B$68,$B$66)))/J97)</f>
        <v/>
      </c>
      <c r="M97" s="13">
        <f>IF(15=$B$59+$B$60,0,IF(15&gt;$B$59+$B$60,$B$66/J98,IF(15&gt;=$B$59,$B$66*$B$68/J98,($B$66*$B$68+$B$65)/J98)))</f>
        <v/>
      </c>
      <c r="N97" s="13">
        <f>IF(15=$B$59,-$N$61*$B$65,0)</f>
        <v/>
      </c>
      <c r="O97" s="13">
        <f>M97/(L97-K97*O96)</f>
        <v/>
      </c>
      <c r="P97" s="13">
        <f>(N97-K97*P96)/(L97-K97*O96)</f>
        <v/>
      </c>
      <c r="Q97" s="17">
        <f>P97-O97*Q98</f>
        <v/>
      </c>
      <c r="R97" s="13">
        <f>IF(15&gt;$B$59+$B$60,$I$62*$B$64^$J$62,$G$62*$B$62^$H$62)</f>
        <v/>
      </c>
      <c r="S97" s="13">
        <f>IF(15=1,0,$B$67)</f>
        <v/>
      </c>
      <c r="T97" s="13">
        <f>-($B$67+(IF(15&lt;=$B$59,$B$66*$B$68+$B$65,IF(15&lt;=$B$59+$B$60,$B$66*$B$68,$B$66)))/R97)</f>
        <v/>
      </c>
      <c r="U97" s="13">
        <f>IF(15=$B$59+$B$60,0,IF(15&gt;$B$59+$B$60,$B$66/R98,IF(15&gt;=$B$59,$B$66*$B$68/R98,($B$66*$B$68+$B$65)/R98)))</f>
        <v/>
      </c>
      <c r="V97" s="13">
        <f>IF(15=$B$59,-$N$62*$B$65,0)</f>
        <v/>
      </c>
      <c r="W97" s="13">
        <f>U97/(T97-S97*W96)</f>
        <v/>
      </c>
      <c r="X97" s="13">
        <f>(V97-S97*X96)/(T97-S97*W96)</f>
        <v/>
      </c>
      <c r="Y97" s="17">
        <f>X97-W97*Y98</f>
        <v/>
      </c>
      <c r="Z97" s="13">
        <f>IF(15&gt;$B$59+$B$60,$I$63*$B$64^$J$63,$G$63*$B$62^$H$63)</f>
        <v/>
      </c>
      <c r="AA97" s="13">
        <f>IF(15=1,0,$B$67)</f>
        <v/>
      </c>
      <c r="AB97" s="13">
        <f>-($B$67+(IF(15&lt;=$B$59,$B$66*$B$68+$B$65,IF(15&lt;=$B$59+$B$60,$B$66*$B$68,$B$66)))/Z97)</f>
        <v/>
      </c>
      <c r="AC97" s="13">
        <f>IF(15=$B$59+$B$60,0,IF(15&gt;$B$59+$B$60,$B$66/Z98,IF(15&gt;=$B$59,$B$66*$B$68/Z98,($B$66*$B$68+$B$65)/Z98)))</f>
        <v/>
      </c>
      <c r="AD97" s="13">
        <f>IF(15=$B$59,-$N$63*$B$65,0)</f>
        <v/>
      </c>
      <c r="AE97" s="13">
        <f>AC97/(AB97-AA97*AE96)</f>
        <v/>
      </c>
      <c r="AF97" s="13">
        <f>(AD97-AA97*AF96)/(AB97-AA97*AE96)</f>
        <v/>
      </c>
      <c r="AG97" s="17">
        <f>AF97-AE97*AG98</f>
        <v/>
      </c>
      <c r="AH97" s="15">
        <f>IFERROR(I97/B97,0)</f>
        <v/>
      </c>
      <c r="AI97" s="15">
        <f>IFERROR(Q97/J97,0)</f>
        <v/>
      </c>
      <c r="AJ97" s="15">
        <f>IFERROR(Y97/R97,0)</f>
        <v/>
      </c>
      <c r="AK97" s="15">
        <f>IFERROR(AG97/Z97,0)</f>
        <v/>
      </c>
      <c r="AL97" s="15">
        <f>I97+Q97+Y97+AG97</f>
        <v/>
      </c>
      <c r="AM97" s="15">
        <f>AH97+AI97+AJ97+AK97</f>
        <v/>
      </c>
    </row>
    <row r="98" ht="16" customHeight="1">
      <c r="A98" s="26" t="n">
        <v>16</v>
      </c>
      <c r="B98" s="13">
        <f>IF(16&gt;$B$59+$B$60,$I$60*$B$64^$J$60,$G$60*$B$62^$H$60)</f>
        <v/>
      </c>
      <c r="C98" s="13">
        <f>IF(16=1,0,$B$67)</f>
        <v/>
      </c>
      <c r="D98" s="13">
        <f>-($B$67+(IF(16&lt;=$B$59,$B$66*$B$68+$B$65,IF(16&lt;=$B$59+$B$60,$B$66*$B$68,$B$66)))/B98)</f>
        <v/>
      </c>
      <c r="E98" s="13">
        <f>IF(16=$B$59+$B$60,0,IF(16&gt;$B$59+$B$60,$B$66/B99,IF(16&gt;=$B$59,$B$66*$B$68/B99,($B$66*$B$68+$B$65)/B99)))</f>
        <v/>
      </c>
      <c r="F98" s="13">
        <f>IF(16=$B$59,-$N$60*$B$65,0)</f>
        <v/>
      </c>
      <c r="G98" s="13">
        <f>E98/(D98-C98*G97)</f>
        <v/>
      </c>
      <c r="H98" s="13">
        <f>(F98-C98*H97)/(D98-C98*G97)</f>
        <v/>
      </c>
      <c r="I98" s="17">
        <f>H98-G98*I99</f>
        <v/>
      </c>
      <c r="J98" s="13">
        <f>IF(16&gt;$B$59+$B$60,$I$61*$B$64^$J$61,$G$61*$B$62^$H$61)</f>
        <v/>
      </c>
      <c r="K98" s="13">
        <f>IF(16=1,0,$B$67)</f>
        <v/>
      </c>
      <c r="L98" s="13">
        <f>-($B$67+(IF(16&lt;=$B$59,$B$66*$B$68+$B$65,IF(16&lt;=$B$59+$B$60,$B$66*$B$68,$B$66)))/J98)</f>
        <v/>
      </c>
      <c r="M98" s="13">
        <f>IF(16=$B$59+$B$60,0,IF(16&gt;$B$59+$B$60,$B$66/J99,IF(16&gt;=$B$59,$B$66*$B$68/J99,($B$66*$B$68+$B$65)/J99)))</f>
        <v/>
      </c>
      <c r="N98" s="13">
        <f>IF(16=$B$59,-$N$61*$B$65,0)</f>
        <v/>
      </c>
      <c r="O98" s="13">
        <f>M98/(L98-K98*O97)</f>
        <v/>
      </c>
      <c r="P98" s="13">
        <f>(N98-K98*P97)/(L98-K98*O97)</f>
        <v/>
      </c>
      <c r="Q98" s="17">
        <f>P98-O98*Q99</f>
        <v/>
      </c>
      <c r="R98" s="13">
        <f>IF(16&gt;$B$59+$B$60,$I$62*$B$64^$J$62,$G$62*$B$62^$H$62)</f>
        <v/>
      </c>
      <c r="S98" s="13">
        <f>IF(16=1,0,$B$67)</f>
        <v/>
      </c>
      <c r="T98" s="13">
        <f>-($B$67+(IF(16&lt;=$B$59,$B$66*$B$68+$B$65,IF(16&lt;=$B$59+$B$60,$B$66*$B$68,$B$66)))/R98)</f>
        <v/>
      </c>
      <c r="U98" s="13">
        <f>IF(16=$B$59+$B$60,0,IF(16&gt;$B$59+$B$60,$B$66/R99,IF(16&gt;=$B$59,$B$66*$B$68/R99,($B$66*$B$68+$B$65)/R99)))</f>
        <v/>
      </c>
      <c r="V98" s="13">
        <f>IF(16=$B$59,-$N$62*$B$65,0)</f>
        <v/>
      </c>
      <c r="W98" s="13">
        <f>U98/(T98-S98*W97)</f>
        <v/>
      </c>
      <c r="X98" s="13">
        <f>(V98-S98*X97)/(T98-S98*W97)</f>
        <v/>
      </c>
      <c r="Y98" s="17">
        <f>X98-W98*Y99</f>
        <v/>
      </c>
      <c r="Z98" s="13">
        <f>IF(16&gt;$B$59+$B$60,$I$63*$B$64^$J$63,$G$63*$B$62^$H$63)</f>
        <v/>
      </c>
      <c r="AA98" s="13">
        <f>IF(16=1,0,$B$67)</f>
        <v/>
      </c>
      <c r="AB98" s="13">
        <f>-($B$67+(IF(16&lt;=$B$59,$B$66*$B$68+$B$65,IF(16&lt;=$B$59+$B$60,$B$66*$B$68,$B$66)))/Z98)</f>
        <v/>
      </c>
      <c r="AC98" s="13">
        <f>IF(16=$B$59+$B$60,0,IF(16&gt;$B$59+$B$60,$B$66/Z99,IF(16&gt;=$B$59,$B$66*$B$68/Z99,($B$66*$B$68+$B$65)/Z99)))</f>
        <v/>
      </c>
      <c r="AD98" s="13">
        <f>IF(16=$B$59,-$N$63*$B$65,0)</f>
        <v/>
      </c>
      <c r="AE98" s="13">
        <f>AC98/(AB98-AA98*AE97)</f>
        <v/>
      </c>
      <c r="AF98" s="13">
        <f>(AD98-AA98*AF97)/(AB98-AA98*AE97)</f>
        <v/>
      </c>
      <c r="AG98" s="17">
        <f>AF98-AE98*AG99</f>
        <v/>
      </c>
      <c r="AH98" s="15">
        <f>IFERROR(I98/B98,0)</f>
        <v/>
      </c>
      <c r="AI98" s="15">
        <f>IFERROR(Q98/J98,0)</f>
        <v/>
      </c>
      <c r="AJ98" s="15">
        <f>IFERROR(Y98/R98,0)</f>
        <v/>
      </c>
      <c r="AK98" s="15">
        <f>IFERROR(AG98/Z98,0)</f>
        <v/>
      </c>
      <c r="AL98" s="15">
        <f>I98+Q98+Y98+AG98</f>
        <v/>
      </c>
      <c r="AM98" s="15">
        <f>AH98+AI98+AJ98+AK98</f>
        <v/>
      </c>
    </row>
    <row r="99" ht="16" customHeight="1">
      <c r="A99" s="26" t="n">
        <v>17</v>
      </c>
      <c r="B99" s="13">
        <f>IF(17&gt;$B$59+$B$60,$I$60*$B$64^$J$60,$G$60*$B$62^$H$60)</f>
        <v/>
      </c>
      <c r="C99" s="13">
        <f>IF(17=1,0,$B$67)</f>
        <v/>
      </c>
      <c r="D99" s="13">
        <f>-($B$67+(IF(17&lt;=$B$59,$B$66*$B$68+$B$65,IF(17&lt;=$B$59+$B$60,$B$66*$B$68,$B$66)))/B99)</f>
        <v/>
      </c>
      <c r="E99" s="13">
        <f>IF(17=$B$59+$B$60,0,IF(17&gt;$B$59+$B$60,$B$66/B100,IF(17&gt;=$B$59,$B$66*$B$68/B100,($B$66*$B$68+$B$65)/B100)))</f>
        <v/>
      </c>
      <c r="F99" s="13">
        <f>IF(17=$B$59,-$N$60*$B$65,0)</f>
        <v/>
      </c>
      <c r="G99" s="13">
        <f>E99/(D99-C99*G98)</f>
        <v/>
      </c>
      <c r="H99" s="13">
        <f>(F99-C99*H98)/(D99-C99*G98)</f>
        <v/>
      </c>
      <c r="I99" s="17">
        <f>H99-G99*I100</f>
        <v/>
      </c>
      <c r="J99" s="13">
        <f>IF(17&gt;$B$59+$B$60,$I$61*$B$64^$J$61,$G$61*$B$62^$H$61)</f>
        <v/>
      </c>
      <c r="K99" s="13">
        <f>IF(17=1,0,$B$67)</f>
        <v/>
      </c>
      <c r="L99" s="13">
        <f>-($B$67+(IF(17&lt;=$B$59,$B$66*$B$68+$B$65,IF(17&lt;=$B$59+$B$60,$B$66*$B$68,$B$66)))/J99)</f>
        <v/>
      </c>
      <c r="M99" s="13">
        <f>IF(17=$B$59+$B$60,0,IF(17&gt;$B$59+$B$60,$B$66/J100,IF(17&gt;=$B$59,$B$66*$B$68/J100,($B$66*$B$68+$B$65)/J100)))</f>
        <v/>
      </c>
      <c r="N99" s="13">
        <f>IF(17=$B$59,-$N$61*$B$65,0)</f>
        <v/>
      </c>
      <c r="O99" s="13">
        <f>M99/(L99-K99*O98)</f>
        <v/>
      </c>
      <c r="P99" s="13">
        <f>(N99-K99*P98)/(L99-K99*O98)</f>
        <v/>
      </c>
      <c r="Q99" s="17">
        <f>P99-O99*Q100</f>
        <v/>
      </c>
      <c r="R99" s="13">
        <f>IF(17&gt;$B$59+$B$60,$I$62*$B$64^$J$62,$G$62*$B$62^$H$62)</f>
        <v/>
      </c>
      <c r="S99" s="13">
        <f>IF(17=1,0,$B$67)</f>
        <v/>
      </c>
      <c r="T99" s="13">
        <f>-($B$67+(IF(17&lt;=$B$59,$B$66*$B$68+$B$65,IF(17&lt;=$B$59+$B$60,$B$66*$B$68,$B$66)))/R99)</f>
        <v/>
      </c>
      <c r="U99" s="13">
        <f>IF(17=$B$59+$B$60,0,IF(17&gt;$B$59+$B$60,$B$66/R100,IF(17&gt;=$B$59,$B$66*$B$68/R100,($B$66*$B$68+$B$65)/R100)))</f>
        <v/>
      </c>
      <c r="V99" s="13">
        <f>IF(17=$B$59,-$N$62*$B$65,0)</f>
        <v/>
      </c>
      <c r="W99" s="13">
        <f>U99/(T99-S99*W98)</f>
        <v/>
      </c>
      <c r="X99" s="13">
        <f>(V99-S99*X98)/(T99-S99*W98)</f>
        <v/>
      </c>
      <c r="Y99" s="17">
        <f>X99-W99*Y100</f>
        <v/>
      </c>
      <c r="Z99" s="13">
        <f>IF(17&gt;$B$59+$B$60,$I$63*$B$64^$J$63,$G$63*$B$62^$H$63)</f>
        <v/>
      </c>
      <c r="AA99" s="13">
        <f>IF(17=1,0,$B$67)</f>
        <v/>
      </c>
      <c r="AB99" s="13">
        <f>-($B$67+(IF(17&lt;=$B$59,$B$66*$B$68+$B$65,IF(17&lt;=$B$59+$B$60,$B$66*$B$68,$B$66)))/Z99)</f>
        <v/>
      </c>
      <c r="AC99" s="13">
        <f>IF(17=$B$59+$B$60,0,IF(17&gt;$B$59+$B$60,$B$66/Z100,IF(17&gt;=$B$59,$B$66*$B$68/Z100,($B$66*$B$68+$B$65)/Z100)))</f>
        <v/>
      </c>
      <c r="AD99" s="13">
        <f>IF(17=$B$59,-$N$63*$B$65,0)</f>
        <v/>
      </c>
      <c r="AE99" s="13">
        <f>AC99/(AB99-AA99*AE98)</f>
        <v/>
      </c>
      <c r="AF99" s="13">
        <f>(AD99-AA99*AF98)/(AB99-AA99*AE98)</f>
        <v/>
      </c>
      <c r="AG99" s="17">
        <f>AF99-AE99*AG100</f>
        <v/>
      </c>
      <c r="AH99" s="15">
        <f>IFERROR(I99/B99,0)</f>
        <v/>
      </c>
      <c r="AI99" s="15">
        <f>IFERROR(Q99/J99,0)</f>
        <v/>
      </c>
      <c r="AJ99" s="15">
        <f>IFERROR(Y99/R99,0)</f>
        <v/>
      </c>
      <c r="AK99" s="15">
        <f>IFERROR(AG99/Z99,0)</f>
        <v/>
      </c>
      <c r="AL99" s="15">
        <f>I99+Q99+Y99+AG99</f>
        <v/>
      </c>
      <c r="AM99" s="15">
        <f>AH99+AI99+AJ99+AK99</f>
        <v/>
      </c>
    </row>
    <row r="100" ht="16" customHeight="1">
      <c r="A100" s="26" t="n">
        <v>18</v>
      </c>
      <c r="B100" s="13">
        <f>IF(18&gt;$B$59+$B$60,$I$60*$B$64^$J$60,$G$60*$B$62^$H$60)</f>
        <v/>
      </c>
      <c r="C100" s="13">
        <f>IF(18=1,0,$B$67)</f>
        <v/>
      </c>
      <c r="D100" s="13">
        <f>-($B$67+(IF(18&lt;=$B$59,$B$66*$B$68+$B$65,IF(18&lt;=$B$59+$B$60,$B$66*$B$68,$B$66)))/B100)</f>
        <v/>
      </c>
      <c r="E100" s="13">
        <f>IF(18=$B$59+$B$60,0,IF(18&gt;$B$59+$B$60,$B$66/B101,IF(18&gt;=$B$59,$B$66*$B$68/B101,($B$66*$B$68+$B$65)/B101)))</f>
        <v/>
      </c>
      <c r="F100" s="13">
        <f>IF(18=$B$59,-$N$60*$B$65,0)</f>
        <v/>
      </c>
      <c r="G100" s="13">
        <f>E100/(D100-C100*G99)</f>
        <v/>
      </c>
      <c r="H100" s="13">
        <f>(F100-C100*H99)/(D100-C100*G99)</f>
        <v/>
      </c>
      <c r="I100" s="17">
        <f>H100-G100*I101</f>
        <v/>
      </c>
      <c r="J100" s="13">
        <f>IF(18&gt;$B$59+$B$60,$I$61*$B$64^$J$61,$G$61*$B$62^$H$61)</f>
        <v/>
      </c>
      <c r="K100" s="13">
        <f>IF(18=1,0,$B$67)</f>
        <v/>
      </c>
      <c r="L100" s="13">
        <f>-($B$67+(IF(18&lt;=$B$59,$B$66*$B$68+$B$65,IF(18&lt;=$B$59+$B$60,$B$66*$B$68,$B$66)))/J100)</f>
        <v/>
      </c>
      <c r="M100" s="13">
        <f>IF(18=$B$59+$B$60,0,IF(18&gt;$B$59+$B$60,$B$66/J101,IF(18&gt;=$B$59,$B$66*$B$68/J101,($B$66*$B$68+$B$65)/J101)))</f>
        <v/>
      </c>
      <c r="N100" s="13">
        <f>IF(18=$B$59,-$N$61*$B$65,0)</f>
        <v/>
      </c>
      <c r="O100" s="13">
        <f>M100/(L100-K100*O99)</f>
        <v/>
      </c>
      <c r="P100" s="13">
        <f>(N100-K100*P99)/(L100-K100*O99)</f>
        <v/>
      </c>
      <c r="Q100" s="17">
        <f>P100-O100*Q101</f>
        <v/>
      </c>
      <c r="R100" s="13">
        <f>IF(18&gt;$B$59+$B$60,$I$62*$B$64^$J$62,$G$62*$B$62^$H$62)</f>
        <v/>
      </c>
      <c r="S100" s="13">
        <f>IF(18=1,0,$B$67)</f>
        <v/>
      </c>
      <c r="T100" s="13">
        <f>-($B$67+(IF(18&lt;=$B$59,$B$66*$B$68+$B$65,IF(18&lt;=$B$59+$B$60,$B$66*$B$68,$B$66)))/R100)</f>
        <v/>
      </c>
      <c r="U100" s="13">
        <f>IF(18=$B$59+$B$60,0,IF(18&gt;$B$59+$B$60,$B$66/R101,IF(18&gt;=$B$59,$B$66*$B$68/R101,($B$66*$B$68+$B$65)/R101)))</f>
        <v/>
      </c>
      <c r="V100" s="13">
        <f>IF(18=$B$59,-$N$62*$B$65,0)</f>
        <v/>
      </c>
      <c r="W100" s="13">
        <f>U100/(T100-S100*W99)</f>
        <v/>
      </c>
      <c r="X100" s="13">
        <f>(V100-S100*X99)/(T100-S100*W99)</f>
        <v/>
      </c>
      <c r="Y100" s="17">
        <f>X100-W100*Y101</f>
        <v/>
      </c>
      <c r="Z100" s="13">
        <f>IF(18&gt;$B$59+$B$60,$I$63*$B$64^$J$63,$G$63*$B$62^$H$63)</f>
        <v/>
      </c>
      <c r="AA100" s="13">
        <f>IF(18=1,0,$B$67)</f>
        <v/>
      </c>
      <c r="AB100" s="13">
        <f>-($B$67+(IF(18&lt;=$B$59,$B$66*$B$68+$B$65,IF(18&lt;=$B$59+$B$60,$B$66*$B$68,$B$66)))/Z100)</f>
        <v/>
      </c>
      <c r="AC100" s="13">
        <f>IF(18=$B$59+$B$60,0,IF(18&gt;$B$59+$B$60,$B$66/Z101,IF(18&gt;=$B$59,$B$66*$B$68/Z101,($B$66*$B$68+$B$65)/Z101)))</f>
        <v/>
      </c>
      <c r="AD100" s="13">
        <f>IF(18=$B$59,-$N$63*$B$65,0)</f>
        <v/>
      </c>
      <c r="AE100" s="13">
        <f>AC100/(AB100-AA100*AE99)</f>
        <v/>
      </c>
      <c r="AF100" s="13">
        <f>(AD100-AA100*AF99)/(AB100-AA100*AE99)</f>
        <v/>
      </c>
      <c r="AG100" s="17">
        <f>AF100-AE100*AG101</f>
        <v/>
      </c>
      <c r="AH100" s="15">
        <f>IFERROR(I100/B100,0)</f>
        <v/>
      </c>
      <c r="AI100" s="15">
        <f>IFERROR(Q100/J100,0)</f>
        <v/>
      </c>
      <c r="AJ100" s="15">
        <f>IFERROR(Y100/R100,0)</f>
        <v/>
      </c>
      <c r="AK100" s="15">
        <f>IFERROR(AG100/Z100,0)</f>
        <v/>
      </c>
      <c r="AL100" s="15">
        <f>I100+Q100+Y100+AG100</f>
        <v/>
      </c>
      <c r="AM100" s="15">
        <f>AH100+AI100+AJ100+AK100</f>
        <v/>
      </c>
    </row>
    <row r="101" ht="16" customHeight="1">
      <c r="A101" s="26" t="n">
        <v>19</v>
      </c>
      <c r="B101" s="13">
        <f>IF(19&gt;$B$59+$B$60,$I$60*$B$64^$J$60,$G$60*$B$62^$H$60)</f>
        <v/>
      </c>
      <c r="C101" s="13">
        <f>IF(19=1,0,$B$67)</f>
        <v/>
      </c>
      <c r="D101" s="13">
        <f>-($B$67+(IF(19&lt;=$B$59,$B$66*$B$68+$B$65,IF(19&lt;=$B$59+$B$60,$B$66*$B$68,$B$66)))/B101)</f>
        <v/>
      </c>
      <c r="E101" s="13">
        <f>IF(19=$B$59+$B$60,0,IF(19&gt;$B$59+$B$60,$B$66/B102,IF(19&gt;=$B$59,$B$66*$B$68/B102,($B$66*$B$68+$B$65)/B102)))</f>
        <v/>
      </c>
      <c r="F101" s="13">
        <f>IF(19=$B$59,-$N$60*$B$65,0)</f>
        <v/>
      </c>
      <c r="G101" s="13">
        <f>E101/(D101-C101*G100)</f>
        <v/>
      </c>
      <c r="H101" s="13">
        <f>(F101-C101*H100)/(D101-C101*G100)</f>
        <v/>
      </c>
      <c r="I101" s="17">
        <f>H101-G101*I102</f>
        <v/>
      </c>
      <c r="J101" s="13">
        <f>IF(19&gt;$B$59+$B$60,$I$61*$B$64^$J$61,$G$61*$B$62^$H$61)</f>
        <v/>
      </c>
      <c r="K101" s="13">
        <f>IF(19=1,0,$B$67)</f>
        <v/>
      </c>
      <c r="L101" s="13">
        <f>-($B$67+(IF(19&lt;=$B$59,$B$66*$B$68+$B$65,IF(19&lt;=$B$59+$B$60,$B$66*$B$68,$B$66)))/J101)</f>
        <v/>
      </c>
      <c r="M101" s="13">
        <f>IF(19=$B$59+$B$60,0,IF(19&gt;$B$59+$B$60,$B$66/J102,IF(19&gt;=$B$59,$B$66*$B$68/J102,($B$66*$B$68+$B$65)/J102)))</f>
        <v/>
      </c>
      <c r="N101" s="13">
        <f>IF(19=$B$59,-$N$61*$B$65,0)</f>
        <v/>
      </c>
      <c r="O101" s="13">
        <f>M101/(L101-K101*O100)</f>
        <v/>
      </c>
      <c r="P101" s="13">
        <f>(N101-K101*P100)/(L101-K101*O100)</f>
        <v/>
      </c>
      <c r="Q101" s="17">
        <f>P101-O101*Q102</f>
        <v/>
      </c>
      <c r="R101" s="13">
        <f>IF(19&gt;$B$59+$B$60,$I$62*$B$64^$J$62,$G$62*$B$62^$H$62)</f>
        <v/>
      </c>
      <c r="S101" s="13">
        <f>IF(19=1,0,$B$67)</f>
        <v/>
      </c>
      <c r="T101" s="13">
        <f>-($B$67+(IF(19&lt;=$B$59,$B$66*$B$68+$B$65,IF(19&lt;=$B$59+$B$60,$B$66*$B$68,$B$66)))/R101)</f>
        <v/>
      </c>
      <c r="U101" s="13">
        <f>IF(19=$B$59+$B$60,0,IF(19&gt;$B$59+$B$60,$B$66/R102,IF(19&gt;=$B$59,$B$66*$B$68/R102,($B$66*$B$68+$B$65)/R102)))</f>
        <v/>
      </c>
      <c r="V101" s="13">
        <f>IF(19=$B$59,-$N$62*$B$65,0)</f>
        <v/>
      </c>
      <c r="W101" s="13">
        <f>U101/(T101-S101*W100)</f>
        <v/>
      </c>
      <c r="X101" s="13">
        <f>(V101-S101*X100)/(T101-S101*W100)</f>
        <v/>
      </c>
      <c r="Y101" s="17">
        <f>X101-W101*Y102</f>
        <v/>
      </c>
      <c r="Z101" s="13">
        <f>IF(19&gt;$B$59+$B$60,$I$63*$B$64^$J$63,$G$63*$B$62^$H$63)</f>
        <v/>
      </c>
      <c r="AA101" s="13">
        <f>IF(19=1,0,$B$67)</f>
        <v/>
      </c>
      <c r="AB101" s="13">
        <f>-($B$67+(IF(19&lt;=$B$59,$B$66*$B$68+$B$65,IF(19&lt;=$B$59+$B$60,$B$66*$B$68,$B$66)))/Z101)</f>
        <v/>
      </c>
      <c r="AC101" s="13">
        <f>IF(19=$B$59+$B$60,0,IF(19&gt;$B$59+$B$60,$B$66/Z102,IF(19&gt;=$B$59,$B$66*$B$68/Z102,($B$66*$B$68+$B$65)/Z102)))</f>
        <v/>
      </c>
      <c r="AD101" s="13">
        <f>IF(19=$B$59,-$N$63*$B$65,0)</f>
        <v/>
      </c>
      <c r="AE101" s="13">
        <f>AC101/(AB101-AA101*AE100)</f>
        <v/>
      </c>
      <c r="AF101" s="13">
        <f>(AD101-AA101*AF100)/(AB101-AA101*AE100)</f>
        <v/>
      </c>
      <c r="AG101" s="17">
        <f>AF101-AE101*AG102</f>
        <v/>
      </c>
      <c r="AH101" s="15">
        <f>IFERROR(I101/B101,0)</f>
        <v/>
      </c>
      <c r="AI101" s="15">
        <f>IFERROR(Q101/J101,0)</f>
        <v/>
      </c>
      <c r="AJ101" s="15">
        <f>IFERROR(Y101/R101,0)</f>
        <v/>
      </c>
      <c r="AK101" s="15">
        <f>IFERROR(AG101/Z101,0)</f>
        <v/>
      </c>
      <c r="AL101" s="15">
        <f>I101+Q101+Y101+AG101</f>
        <v/>
      </c>
      <c r="AM101" s="15">
        <f>AH101+AI101+AJ101+AK101</f>
        <v/>
      </c>
    </row>
    <row r="102" ht="16" customHeight="1">
      <c r="A102" s="26" t="n">
        <v>20</v>
      </c>
      <c r="B102" s="13">
        <f>IF(20&gt;$B$59+$B$60,$I$60*$B$64^$J$60,$G$60*$B$62^$H$60)</f>
        <v/>
      </c>
      <c r="C102" s="13">
        <f>IF(20=1,0,$B$67)</f>
        <v/>
      </c>
      <c r="D102" s="13">
        <f>-($B$67+(IF(20&lt;=$B$59,$B$66*$B$68+$B$65,IF(20&lt;=$B$59+$B$60,$B$66*$B$68,$B$66)))/B102)</f>
        <v/>
      </c>
      <c r="E102" s="13">
        <f>IF(20=$B$59+$B$60,0,IF(20&gt;$B$59+$B$60,$B$66/B103,IF(20&gt;=$B$59,$B$66*$B$68/B103,($B$66*$B$68+$B$65)/B103)))</f>
        <v/>
      </c>
      <c r="F102" s="13">
        <f>IF(20=$B$59,-$N$60*$B$65,0)</f>
        <v/>
      </c>
      <c r="G102" s="13">
        <f>E102/(D102-C102*G101)</f>
        <v/>
      </c>
      <c r="H102" s="13">
        <f>(F102-C102*H101)/(D102-C102*G101)</f>
        <v/>
      </c>
      <c r="I102" s="17">
        <f>H102-G102*I103</f>
        <v/>
      </c>
      <c r="J102" s="13">
        <f>IF(20&gt;$B$59+$B$60,$I$61*$B$64^$J$61,$G$61*$B$62^$H$61)</f>
        <v/>
      </c>
      <c r="K102" s="13">
        <f>IF(20=1,0,$B$67)</f>
        <v/>
      </c>
      <c r="L102" s="13">
        <f>-($B$67+(IF(20&lt;=$B$59,$B$66*$B$68+$B$65,IF(20&lt;=$B$59+$B$60,$B$66*$B$68,$B$66)))/J102)</f>
        <v/>
      </c>
      <c r="M102" s="13">
        <f>IF(20=$B$59+$B$60,0,IF(20&gt;$B$59+$B$60,$B$66/J103,IF(20&gt;=$B$59,$B$66*$B$68/J103,($B$66*$B$68+$B$65)/J103)))</f>
        <v/>
      </c>
      <c r="N102" s="13">
        <f>IF(20=$B$59,-$N$61*$B$65,0)</f>
        <v/>
      </c>
      <c r="O102" s="13">
        <f>M102/(L102-K102*O101)</f>
        <v/>
      </c>
      <c r="P102" s="13">
        <f>(N102-K102*P101)/(L102-K102*O101)</f>
        <v/>
      </c>
      <c r="Q102" s="17">
        <f>P102-O102*Q103</f>
        <v/>
      </c>
      <c r="R102" s="13">
        <f>IF(20&gt;$B$59+$B$60,$I$62*$B$64^$J$62,$G$62*$B$62^$H$62)</f>
        <v/>
      </c>
      <c r="S102" s="13">
        <f>IF(20=1,0,$B$67)</f>
        <v/>
      </c>
      <c r="T102" s="13">
        <f>-($B$67+(IF(20&lt;=$B$59,$B$66*$B$68+$B$65,IF(20&lt;=$B$59+$B$60,$B$66*$B$68,$B$66)))/R102)</f>
        <v/>
      </c>
      <c r="U102" s="13">
        <f>IF(20=$B$59+$B$60,0,IF(20&gt;$B$59+$B$60,$B$66/R103,IF(20&gt;=$B$59,$B$66*$B$68/R103,($B$66*$B$68+$B$65)/R103)))</f>
        <v/>
      </c>
      <c r="V102" s="13">
        <f>IF(20=$B$59,-$N$62*$B$65,0)</f>
        <v/>
      </c>
      <c r="W102" s="13">
        <f>U102/(T102-S102*W101)</f>
        <v/>
      </c>
      <c r="X102" s="13">
        <f>(V102-S102*X101)/(T102-S102*W101)</f>
        <v/>
      </c>
      <c r="Y102" s="17">
        <f>X102-W102*Y103</f>
        <v/>
      </c>
      <c r="Z102" s="13">
        <f>IF(20&gt;$B$59+$B$60,$I$63*$B$64^$J$63,$G$63*$B$62^$H$63)</f>
        <v/>
      </c>
      <c r="AA102" s="13">
        <f>IF(20=1,0,$B$67)</f>
        <v/>
      </c>
      <c r="AB102" s="13">
        <f>-($B$67+(IF(20&lt;=$B$59,$B$66*$B$68+$B$65,IF(20&lt;=$B$59+$B$60,$B$66*$B$68,$B$66)))/Z102)</f>
        <v/>
      </c>
      <c r="AC102" s="13">
        <f>IF(20=$B$59+$B$60,0,IF(20&gt;$B$59+$B$60,$B$66/Z103,IF(20&gt;=$B$59,$B$66*$B$68/Z103,($B$66*$B$68+$B$65)/Z103)))</f>
        <v/>
      </c>
      <c r="AD102" s="13">
        <f>IF(20=$B$59,-$N$63*$B$65,0)</f>
        <v/>
      </c>
      <c r="AE102" s="13">
        <f>AC102/(AB102-AA102*AE101)</f>
        <v/>
      </c>
      <c r="AF102" s="13">
        <f>(AD102-AA102*AF101)/(AB102-AA102*AE101)</f>
        <v/>
      </c>
      <c r="AG102" s="17">
        <f>AF102-AE102*AG103</f>
        <v/>
      </c>
      <c r="AH102" s="15">
        <f>IFERROR(I102/B102,0)</f>
        <v/>
      </c>
      <c r="AI102" s="15">
        <f>IFERROR(Q102/J102,0)</f>
        <v/>
      </c>
      <c r="AJ102" s="15">
        <f>IFERROR(Y102/R102,0)</f>
        <v/>
      </c>
      <c r="AK102" s="15">
        <f>IFERROR(AG102/Z102,0)</f>
        <v/>
      </c>
      <c r="AL102" s="15">
        <f>I102+Q102+Y102+AG102</f>
        <v/>
      </c>
      <c r="AM102" s="15">
        <f>AH102+AI102+AJ102+AK102</f>
        <v/>
      </c>
    </row>
    <row r="103" ht="16" customHeight="1">
      <c r="A103" s="26" t="n">
        <v>21</v>
      </c>
      <c r="B103" s="13">
        <f>IF(21&gt;$B$59+$B$60,$I$60*$B$64^$J$60,$G$60*$B$62^$H$60)</f>
        <v/>
      </c>
      <c r="C103" s="13">
        <f>IF(21=1,0,$B$67)</f>
        <v/>
      </c>
      <c r="D103" s="13">
        <f>-($B$67+(IF(21&lt;=$B$59,$B$66*$B$68+$B$65,IF(21&lt;=$B$59+$B$60,$B$66*$B$68,$B$66)))/B103)</f>
        <v/>
      </c>
      <c r="E103" s="13">
        <f>IF(21=$B$59+$B$60,0,IF(21&gt;$B$59+$B$60,$B$66/B104,IF(21&gt;=$B$59,$B$66*$B$68/B104,($B$66*$B$68+$B$65)/B104)))</f>
        <v/>
      </c>
      <c r="F103" s="13">
        <f>IF(21=$B$59,-$N$60*$B$65,0)</f>
        <v/>
      </c>
      <c r="G103" s="13">
        <f>E103/(D103-C103*G102)</f>
        <v/>
      </c>
      <c r="H103" s="13">
        <f>(F103-C103*H102)/(D103-C103*G102)</f>
        <v/>
      </c>
      <c r="I103" s="17">
        <f>H103-G103*I104</f>
        <v/>
      </c>
      <c r="J103" s="13">
        <f>IF(21&gt;$B$59+$B$60,$I$61*$B$64^$J$61,$G$61*$B$62^$H$61)</f>
        <v/>
      </c>
      <c r="K103" s="13">
        <f>IF(21=1,0,$B$67)</f>
        <v/>
      </c>
      <c r="L103" s="13">
        <f>-($B$67+(IF(21&lt;=$B$59,$B$66*$B$68+$B$65,IF(21&lt;=$B$59+$B$60,$B$66*$B$68,$B$66)))/J103)</f>
        <v/>
      </c>
      <c r="M103" s="13">
        <f>IF(21=$B$59+$B$60,0,IF(21&gt;$B$59+$B$60,$B$66/J104,IF(21&gt;=$B$59,$B$66*$B$68/J104,($B$66*$B$68+$B$65)/J104)))</f>
        <v/>
      </c>
      <c r="N103" s="13">
        <f>IF(21=$B$59,-$N$61*$B$65,0)</f>
        <v/>
      </c>
      <c r="O103" s="13">
        <f>M103/(L103-K103*O102)</f>
        <v/>
      </c>
      <c r="P103" s="13">
        <f>(N103-K103*P102)/(L103-K103*O102)</f>
        <v/>
      </c>
      <c r="Q103" s="17">
        <f>P103-O103*Q104</f>
        <v/>
      </c>
      <c r="R103" s="13">
        <f>IF(21&gt;$B$59+$B$60,$I$62*$B$64^$J$62,$G$62*$B$62^$H$62)</f>
        <v/>
      </c>
      <c r="S103" s="13">
        <f>IF(21=1,0,$B$67)</f>
        <v/>
      </c>
      <c r="T103" s="13">
        <f>-($B$67+(IF(21&lt;=$B$59,$B$66*$B$68+$B$65,IF(21&lt;=$B$59+$B$60,$B$66*$B$68,$B$66)))/R103)</f>
        <v/>
      </c>
      <c r="U103" s="13">
        <f>IF(21=$B$59+$B$60,0,IF(21&gt;$B$59+$B$60,$B$66/R104,IF(21&gt;=$B$59,$B$66*$B$68/R104,($B$66*$B$68+$B$65)/R104)))</f>
        <v/>
      </c>
      <c r="V103" s="13">
        <f>IF(21=$B$59,-$N$62*$B$65,0)</f>
        <v/>
      </c>
      <c r="W103" s="13">
        <f>U103/(T103-S103*W102)</f>
        <v/>
      </c>
      <c r="X103" s="13">
        <f>(V103-S103*X102)/(T103-S103*W102)</f>
        <v/>
      </c>
      <c r="Y103" s="17">
        <f>X103-W103*Y104</f>
        <v/>
      </c>
      <c r="Z103" s="13">
        <f>IF(21&gt;$B$59+$B$60,$I$63*$B$64^$J$63,$G$63*$B$62^$H$63)</f>
        <v/>
      </c>
      <c r="AA103" s="13">
        <f>IF(21=1,0,$B$67)</f>
        <v/>
      </c>
      <c r="AB103" s="13">
        <f>-($B$67+(IF(21&lt;=$B$59,$B$66*$B$68+$B$65,IF(21&lt;=$B$59+$B$60,$B$66*$B$68,$B$66)))/Z103)</f>
        <v/>
      </c>
      <c r="AC103" s="13">
        <f>IF(21=$B$59+$B$60,0,IF(21&gt;$B$59+$B$60,$B$66/Z104,IF(21&gt;=$B$59,$B$66*$B$68/Z104,($B$66*$B$68+$B$65)/Z104)))</f>
        <v/>
      </c>
      <c r="AD103" s="13">
        <f>IF(21=$B$59,-$N$63*$B$65,0)</f>
        <v/>
      </c>
      <c r="AE103" s="13">
        <f>AC103/(AB103-AA103*AE102)</f>
        <v/>
      </c>
      <c r="AF103" s="13">
        <f>(AD103-AA103*AF102)/(AB103-AA103*AE102)</f>
        <v/>
      </c>
      <c r="AG103" s="17">
        <f>AF103-AE103*AG104</f>
        <v/>
      </c>
      <c r="AH103" s="15">
        <f>IFERROR(I103/B103,0)</f>
        <v/>
      </c>
      <c r="AI103" s="15">
        <f>IFERROR(Q103/J103,0)</f>
        <v/>
      </c>
      <c r="AJ103" s="15">
        <f>IFERROR(Y103/R103,0)</f>
        <v/>
      </c>
      <c r="AK103" s="15">
        <f>IFERROR(AG103/Z103,0)</f>
        <v/>
      </c>
      <c r="AL103" s="15">
        <f>I103+Q103+Y103+AG103</f>
        <v/>
      </c>
      <c r="AM103" s="15">
        <f>AH103+AI103+AJ103+AK103</f>
        <v/>
      </c>
    </row>
    <row r="104" ht="16" customHeight="1">
      <c r="A104" s="26" t="n">
        <v>22</v>
      </c>
      <c r="B104" s="13">
        <f>IF(22&gt;$B$59+$B$60,$I$60*$B$64^$J$60,$G$60*$B$62^$H$60)</f>
        <v/>
      </c>
      <c r="C104" s="13">
        <f>IF(22=1,0,$B$67)</f>
        <v/>
      </c>
      <c r="D104" s="13">
        <f>-($B$67+(IF(22&lt;=$B$59,$B$66*$B$68+$B$65,IF(22&lt;=$B$59+$B$60,$B$66*$B$68,$B$66)))/B104)</f>
        <v/>
      </c>
      <c r="E104" s="13">
        <f>IF(22=$B$59+$B$60,0,IF(22&gt;$B$59+$B$60,$B$66/B105,IF(22&gt;=$B$59,$B$66*$B$68/B105,($B$66*$B$68+$B$65)/B105)))</f>
        <v/>
      </c>
      <c r="F104" s="13">
        <f>IF(22=$B$59,-$N$60*$B$65,0)</f>
        <v/>
      </c>
      <c r="G104" s="13">
        <f>E104/(D104-C104*G103)</f>
        <v/>
      </c>
      <c r="H104" s="13">
        <f>(F104-C104*H103)/(D104-C104*G103)</f>
        <v/>
      </c>
      <c r="I104" s="17">
        <f>H104-G104*I105</f>
        <v/>
      </c>
      <c r="J104" s="13">
        <f>IF(22&gt;$B$59+$B$60,$I$61*$B$64^$J$61,$G$61*$B$62^$H$61)</f>
        <v/>
      </c>
      <c r="K104" s="13">
        <f>IF(22=1,0,$B$67)</f>
        <v/>
      </c>
      <c r="L104" s="13">
        <f>-($B$67+(IF(22&lt;=$B$59,$B$66*$B$68+$B$65,IF(22&lt;=$B$59+$B$60,$B$66*$B$68,$B$66)))/J104)</f>
        <v/>
      </c>
      <c r="M104" s="13">
        <f>IF(22=$B$59+$B$60,0,IF(22&gt;$B$59+$B$60,$B$66/J105,IF(22&gt;=$B$59,$B$66*$B$68/J105,($B$66*$B$68+$B$65)/J105)))</f>
        <v/>
      </c>
      <c r="N104" s="13">
        <f>IF(22=$B$59,-$N$61*$B$65,0)</f>
        <v/>
      </c>
      <c r="O104" s="13">
        <f>M104/(L104-K104*O103)</f>
        <v/>
      </c>
      <c r="P104" s="13">
        <f>(N104-K104*P103)/(L104-K104*O103)</f>
        <v/>
      </c>
      <c r="Q104" s="17">
        <f>P104-O104*Q105</f>
        <v/>
      </c>
      <c r="R104" s="13">
        <f>IF(22&gt;$B$59+$B$60,$I$62*$B$64^$J$62,$G$62*$B$62^$H$62)</f>
        <v/>
      </c>
      <c r="S104" s="13">
        <f>IF(22=1,0,$B$67)</f>
        <v/>
      </c>
      <c r="T104" s="13">
        <f>-($B$67+(IF(22&lt;=$B$59,$B$66*$B$68+$B$65,IF(22&lt;=$B$59+$B$60,$B$66*$B$68,$B$66)))/R104)</f>
        <v/>
      </c>
      <c r="U104" s="13">
        <f>IF(22=$B$59+$B$60,0,IF(22&gt;$B$59+$B$60,$B$66/R105,IF(22&gt;=$B$59,$B$66*$B$68/R105,($B$66*$B$68+$B$65)/R105)))</f>
        <v/>
      </c>
      <c r="V104" s="13">
        <f>IF(22=$B$59,-$N$62*$B$65,0)</f>
        <v/>
      </c>
      <c r="W104" s="13">
        <f>U104/(T104-S104*W103)</f>
        <v/>
      </c>
      <c r="X104" s="13">
        <f>(V104-S104*X103)/(T104-S104*W103)</f>
        <v/>
      </c>
      <c r="Y104" s="17">
        <f>X104-W104*Y105</f>
        <v/>
      </c>
      <c r="Z104" s="13">
        <f>IF(22&gt;$B$59+$B$60,$I$63*$B$64^$J$63,$G$63*$B$62^$H$63)</f>
        <v/>
      </c>
      <c r="AA104" s="13">
        <f>IF(22=1,0,$B$67)</f>
        <v/>
      </c>
      <c r="AB104" s="13">
        <f>-($B$67+(IF(22&lt;=$B$59,$B$66*$B$68+$B$65,IF(22&lt;=$B$59+$B$60,$B$66*$B$68,$B$66)))/Z104)</f>
        <v/>
      </c>
      <c r="AC104" s="13">
        <f>IF(22=$B$59+$B$60,0,IF(22&gt;$B$59+$B$60,$B$66/Z105,IF(22&gt;=$B$59,$B$66*$B$68/Z105,($B$66*$B$68+$B$65)/Z105)))</f>
        <v/>
      </c>
      <c r="AD104" s="13">
        <f>IF(22=$B$59,-$N$63*$B$65,0)</f>
        <v/>
      </c>
      <c r="AE104" s="13">
        <f>AC104/(AB104-AA104*AE103)</f>
        <v/>
      </c>
      <c r="AF104" s="13">
        <f>(AD104-AA104*AF103)/(AB104-AA104*AE103)</f>
        <v/>
      </c>
      <c r="AG104" s="17">
        <f>AF104-AE104*AG105</f>
        <v/>
      </c>
      <c r="AH104" s="15">
        <f>IFERROR(I104/B104,0)</f>
        <v/>
      </c>
      <c r="AI104" s="15">
        <f>IFERROR(Q104/J104,0)</f>
        <v/>
      </c>
      <c r="AJ104" s="15">
        <f>IFERROR(Y104/R104,0)</f>
        <v/>
      </c>
      <c r="AK104" s="15">
        <f>IFERROR(AG104/Z104,0)</f>
        <v/>
      </c>
      <c r="AL104" s="15">
        <f>I104+Q104+Y104+AG104</f>
        <v/>
      </c>
      <c r="AM104" s="15">
        <f>AH104+AI104+AJ104+AK104</f>
        <v/>
      </c>
    </row>
    <row r="105" ht="16" customHeight="1">
      <c r="A105" s="26" t="n">
        <v>23</v>
      </c>
      <c r="B105" s="13">
        <f>IF(23&gt;$B$59+$B$60,$I$60*$B$64^$J$60,$G$60*$B$62^$H$60)</f>
        <v/>
      </c>
      <c r="C105" s="13">
        <f>IF(23=1,0,$B$67)</f>
        <v/>
      </c>
      <c r="D105" s="13">
        <f>-($B$67+(IF(23&lt;=$B$59,$B$66*$B$68+$B$65,IF(23&lt;=$B$59+$B$60,$B$66*$B$68,$B$66)))/B105)</f>
        <v/>
      </c>
      <c r="E105" s="13">
        <f>IF(23=$B$59+$B$60,0,IF(23&gt;$B$59+$B$60,$B$66/B106,IF(23&gt;=$B$59,$B$66*$B$68/B106,($B$66*$B$68+$B$65)/B106)))</f>
        <v/>
      </c>
      <c r="F105" s="13">
        <f>IF(23=$B$59,-$N$60*$B$65,0)</f>
        <v/>
      </c>
      <c r="G105" s="13">
        <f>E105/(D105-C105*G104)</f>
        <v/>
      </c>
      <c r="H105" s="13">
        <f>(F105-C105*H104)/(D105-C105*G104)</f>
        <v/>
      </c>
      <c r="I105" s="17">
        <f>H105-G105*I106</f>
        <v/>
      </c>
      <c r="J105" s="13">
        <f>IF(23&gt;$B$59+$B$60,$I$61*$B$64^$J$61,$G$61*$B$62^$H$61)</f>
        <v/>
      </c>
      <c r="K105" s="13">
        <f>IF(23=1,0,$B$67)</f>
        <v/>
      </c>
      <c r="L105" s="13">
        <f>-($B$67+(IF(23&lt;=$B$59,$B$66*$B$68+$B$65,IF(23&lt;=$B$59+$B$60,$B$66*$B$68,$B$66)))/J105)</f>
        <v/>
      </c>
      <c r="M105" s="13">
        <f>IF(23=$B$59+$B$60,0,IF(23&gt;$B$59+$B$60,$B$66/J106,IF(23&gt;=$B$59,$B$66*$B$68/J106,($B$66*$B$68+$B$65)/J106)))</f>
        <v/>
      </c>
      <c r="N105" s="13">
        <f>IF(23=$B$59,-$N$61*$B$65,0)</f>
        <v/>
      </c>
      <c r="O105" s="13">
        <f>M105/(L105-K105*O104)</f>
        <v/>
      </c>
      <c r="P105" s="13">
        <f>(N105-K105*P104)/(L105-K105*O104)</f>
        <v/>
      </c>
      <c r="Q105" s="17">
        <f>P105-O105*Q106</f>
        <v/>
      </c>
      <c r="R105" s="13">
        <f>IF(23&gt;$B$59+$B$60,$I$62*$B$64^$J$62,$G$62*$B$62^$H$62)</f>
        <v/>
      </c>
      <c r="S105" s="13">
        <f>IF(23=1,0,$B$67)</f>
        <v/>
      </c>
      <c r="T105" s="13">
        <f>-($B$67+(IF(23&lt;=$B$59,$B$66*$B$68+$B$65,IF(23&lt;=$B$59+$B$60,$B$66*$B$68,$B$66)))/R105)</f>
        <v/>
      </c>
      <c r="U105" s="13">
        <f>IF(23=$B$59+$B$60,0,IF(23&gt;$B$59+$B$60,$B$66/R106,IF(23&gt;=$B$59,$B$66*$B$68/R106,($B$66*$B$68+$B$65)/R106)))</f>
        <v/>
      </c>
      <c r="V105" s="13">
        <f>IF(23=$B$59,-$N$62*$B$65,0)</f>
        <v/>
      </c>
      <c r="W105" s="13">
        <f>U105/(T105-S105*W104)</f>
        <v/>
      </c>
      <c r="X105" s="13">
        <f>(V105-S105*X104)/(T105-S105*W104)</f>
        <v/>
      </c>
      <c r="Y105" s="17">
        <f>X105-W105*Y106</f>
        <v/>
      </c>
      <c r="Z105" s="13">
        <f>IF(23&gt;$B$59+$B$60,$I$63*$B$64^$J$63,$G$63*$B$62^$H$63)</f>
        <v/>
      </c>
      <c r="AA105" s="13">
        <f>IF(23=1,0,$B$67)</f>
        <v/>
      </c>
      <c r="AB105" s="13">
        <f>-($B$67+(IF(23&lt;=$B$59,$B$66*$B$68+$B$65,IF(23&lt;=$B$59+$B$60,$B$66*$B$68,$B$66)))/Z105)</f>
        <v/>
      </c>
      <c r="AC105" s="13">
        <f>IF(23=$B$59+$B$60,0,IF(23&gt;$B$59+$B$60,$B$66/Z106,IF(23&gt;=$B$59,$B$66*$B$68/Z106,($B$66*$B$68+$B$65)/Z106)))</f>
        <v/>
      </c>
      <c r="AD105" s="13">
        <f>IF(23=$B$59,-$N$63*$B$65,0)</f>
        <v/>
      </c>
      <c r="AE105" s="13">
        <f>AC105/(AB105-AA105*AE104)</f>
        <v/>
      </c>
      <c r="AF105" s="13">
        <f>(AD105-AA105*AF104)/(AB105-AA105*AE104)</f>
        <v/>
      </c>
      <c r="AG105" s="17">
        <f>AF105-AE105*AG106</f>
        <v/>
      </c>
      <c r="AH105" s="15">
        <f>IFERROR(I105/B105,0)</f>
        <v/>
      </c>
      <c r="AI105" s="15">
        <f>IFERROR(Q105/J105,0)</f>
        <v/>
      </c>
      <c r="AJ105" s="15">
        <f>IFERROR(Y105/R105,0)</f>
        <v/>
      </c>
      <c r="AK105" s="15">
        <f>IFERROR(AG105/Z105,0)</f>
        <v/>
      </c>
      <c r="AL105" s="15">
        <f>I105+Q105+Y105+AG105</f>
        <v/>
      </c>
      <c r="AM105" s="15">
        <f>AH105+AI105+AJ105+AK105</f>
        <v/>
      </c>
    </row>
    <row r="106" ht="16" customHeight="1">
      <c r="A106" s="26" t="n">
        <v>24</v>
      </c>
      <c r="B106" s="13">
        <f>IF(24&gt;$B$59+$B$60,$I$60*$B$64^$J$60,$G$60*$B$62^$H$60)</f>
        <v/>
      </c>
      <c r="C106" s="13">
        <f>IF(24=1,0,$B$67)</f>
        <v/>
      </c>
      <c r="D106" s="13">
        <f>-($B$67+(IF(24&lt;=$B$59,$B$66*$B$68+$B$65,IF(24&lt;=$B$59+$B$60,$B$66*$B$68,$B$66)))/B106)</f>
        <v/>
      </c>
      <c r="E106" s="13">
        <f>IF(24=$B$59+$B$60,0,IF(24&gt;$B$59+$B$60,$B$66/B107,IF(24&gt;=$B$59,$B$66*$B$68/B107,($B$66*$B$68+$B$65)/B107)))</f>
        <v/>
      </c>
      <c r="F106" s="13">
        <f>IF(24=$B$59,-$N$60*$B$65,0)</f>
        <v/>
      </c>
      <c r="G106" s="13">
        <f>E106/(D106-C106*G105)</f>
        <v/>
      </c>
      <c r="H106" s="13">
        <f>(F106-C106*H105)/(D106-C106*G105)</f>
        <v/>
      </c>
      <c r="I106" s="17">
        <f>H106-G106*I107</f>
        <v/>
      </c>
      <c r="J106" s="13">
        <f>IF(24&gt;$B$59+$B$60,$I$61*$B$64^$J$61,$G$61*$B$62^$H$61)</f>
        <v/>
      </c>
      <c r="K106" s="13">
        <f>IF(24=1,0,$B$67)</f>
        <v/>
      </c>
      <c r="L106" s="13">
        <f>-($B$67+(IF(24&lt;=$B$59,$B$66*$B$68+$B$65,IF(24&lt;=$B$59+$B$60,$B$66*$B$68,$B$66)))/J106)</f>
        <v/>
      </c>
      <c r="M106" s="13">
        <f>IF(24=$B$59+$B$60,0,IF(24&gt;$B$59+$B$60,$B$66/J107,IF(24&gt;=$B$59,$B$66*$B$68/J107,($B$66*$B$68+$B$65)/J107)))</f>
        <v/>
      </c>
      <c r="N106" s="13">
        <f>IF(24=$B$59,-$N$61*$B$65,0)</f>
        <v/>
      </c>
      <c r="O106" s="13">
        <f>M106/(L106-K106*O105)</f>
        <v/>
      </c>
      <c r="P106" s="13">
        <f>(N106-K106*P105)/(L106-K106*O105)</f>
        <v/>
      </c>
      <c r="Q106" s="17">
        <f>P106-O106*Q107</f>
        <v/>
      </c>
      <c r="R106" s="13">
        <f>IF(24&gt;$B$59+$B$60,$I$62*$B$64^$J$62,$G$62*$B$62^$H$62)</f>
        <v/>
      </c>
      <c r="S106" s="13">
        <f>IF(24=1,0,$B$67)</f>
        <v/>
      </c>
      <c r="T106" s="13">
        <f>-($B$67+(IF(24&lt;=$B$59,$B$66*$B$68+$B$65,IF(24&lt;=$B$59+$B$60,$B$66*$B$68,$B$66)))/R106)</f>
        <v/>
      </c>
      <c r="U106" s="13">
        <f>IF(24=$B$59+$B$60,0,IF(24&gt;$B$59+$B$60,$B$66/R107,IF(24&gt;=$B$59,$B$66*$B$68/R107,($B$66*$B$68+$B$65)/R107)))</f>
        <v/>
      </c>
      <c r="V106" s="13">
        <f>IF(24=$B$59,-$N$62*$B$65,0)</f>
        <v/>
      </c>
      <c r="W106" s="13">
        <f>U106/(T106-S106*W105)</f>
        <v/>
      </c>
      <c r="X106" s="13">
        <f>(V106-S106*X105)/(T106-S106*W105)</f>
        <v/>
      </c>
      <c r="Y106" s="17">
        <f>X106-W106*Y107</f>
        <v/>
      </c>
      <c r="Z106" s="13">
        <f>IF(24&gt;$B$59+$B$60,$I$63*$B$64^$J$63,$G$63*$B$62^$H$63)</f>
        <v/>
      </c>
      <c r="AA106" s="13">
        <f>IF(24=1,0,$B$67)</f>
        <v/>
      </c>
      <c r="AB106" s="13">
        <f>-($B$67+(IF(24&lt;=$B$59,$B$66*$B$68+$B$65,IF(24&lt;=$B$59+$B$60,$B$66*$B$68,$B$66)))/Z106)</f>
        <v/>
      </c>
      <c r="AC106" s="13">
        <f>IF(24=$B$59+$B$60,0,IF(24&gt;$B$59+$B$60,$B$66/Z107,IF(24&gt;=$B$59,$B$66*$B$68/Z107,($B$66*$B$68+$B$65)/Z107)))</f>
        <v/>
      </c>
      <c r="AD106" s="13">
        <f>IF(24=$B$59,-$N$63*$B$65,0)</f>
        <v/>
      </c>
      <c r="AE106" s="13">
        <f>AC106/(AB106-AA106*AE105)</f>
        <v/>
      </c>
      <c r="AF106" s="13">
        <f>(AD106-AA106*AF105)/(AB106-AA106*AE105)</f>
        <v/>
      </c>
      <c r="AG106" s="17">
        <f>AF106-AE106*AG107</f>
        <v/>
      </c>
      <c r="AH106" s="15">
        <f>IFERROR(I106/B106,0)</f>
        <v/>
      </c>
      <c r="AI106" s="15">
        <f>IFERROR(Q106/J106,0)</f>
        <v/>
      </c>
      <c r="AJ106" s="15">
        <f>IFERROR(Y106/R106,0)</f>
        <v/>
      </c>
      <c r="AK106" s="15">
        <f>IFERROR(AG106/Z106,0)</f>
        <v/>
      </c>
      <c r="AL106" s="15">
        <f>I106+Q106+Y106+AG106</f>
        <v/>
      </c>
      <c r="AM106" s="15">
        <f>AH106+AI106+AJ106+AK106</f>
        <v/>
      </c>
    </row>
    <row r="107" ht="16" customHeight="1">
      <c r="A107" s="26" t="n">
        <v>25</v>
      </c>
      <c r="B107" s="13">
        <f>IF(25&gt;$B$59+$B$60,$I$60*$B$64^$J$60,$G$60*$B$62^$H$60)</f>
        <v/>
      </c>
      <c r="C107" s="13">
        <f>IF(25=1,0,$B$67)</f>
        <v/>
      </c>
      <c r="D107" s="13">
        <f>-($B$67+(IF(25&lt;=$B$59,$B$66*$B$68+$B$65,IF(25&lt;=$B$59+$B$60,$B$66*$B$68,$B$66)))/B107)</f>
        <v/>
      </c>
      <c r="E107" s="13">
        <f>0</f>
        <v/>
      </c>
      <c r="F107" s="13">
        <f>IF(25=$B$59,-$N$60*$B$65,0)</f>
        <v/>
      </c>
      <c r="G107" s="13">
        <f>E107/(D107-C107*G106)</f>
        <v/>
      </c>
      <c r="H107" s="13">
        <f>(F107-C107*H106)/(D107-C107*G106)</f>
        <v/>
      </c>
      <c r="I107" s="17">
        <f>H107</f>
        <v/>
      </c>
      <c r="J107" s="13">
        <f>IF(25&gt;$B$59+$B$60,$I$61*$B$64^$J$61,$G$61*$B$62^$H$61)</f>
        <v/>
      </c>
      <c r="K107" s="13">
        <f>IF(25=1,0,$B$67)</f>
        <v/>
      </c>
      <c r="L107" s="13">
        <f>-($B$67+(IF(25&lt;=$B$59,$B$66*$B$68+$B$65,IF(25&lt;=$B$59+$B$60,$B$66*$B$68,$B$66)))/J107)</f>
        <v/>
      </c>
      <c r="M107" s="13">
        <f>0</f>
        <v/>
      </c>
      <c r="N107" s="13">
        <f>IF(25=$B$59,-$N$61*$B$65,0)</f>
        <v/>
      </c>
      <c r="O107" s="13">
        <f>M107/(L107-K107*O106)</f>
        <v/>
      </c>
      <c r="P107" s="13">
        <f>(N107-K107*P106)/(L107-K107*O106)</f>
        <v/>
      </c>
      <c r="Q107" s="17">
        <f>P107</f>
        <v/>
      </c>
      <c r="R107" s="13">
        <f>IF(25&gt;$B$59+$B$60,$I$62*$B$64^$J$62,$G$62*$B$62^$H$62)</f>
        <v/>
      </c>
      <c r="S107" s="13">
        <f>IF(25=1,0,$B$67)</f>
        <v/>
      </c>
      <c r="T107" s="13">
        <f>-($B$67+(IF(25&lt;=$B$59,$B$66*$B$68+$B$65,IF(25&lt;=$B$59+$B$60,$B$66*$B$68,$B$66)))/R107)</f>
        <v/>
      </c>
      <c r="U107" s="13">
        <f>0</f>
        <v/>
      </c>
      <c r="V107" s="13">
        <f>IF(25=$B$59,-$N$62*$B$65,0)</f>
        <v/>
      </c>
      <c r="W107" s="13">
        <f>U107/(T107-S107*W106)</f>
        <v/>
      </c>
      <c r="X107" s="13">
        <f>(V107-S107*X106)/(T107-S107*W106)</f>
        <v/>
      </c>
      <c r="Y107" s="17">
        <f>X107</f>
        <v/>
      </c>
      <c r="Z107" s="13">
        <f>IF(25&gt;$B$59+$B$60,$I$63*$B$64^$J$63,$G$63*$B$62^$H$63)</f>
        <v/>
      </c>
      <c r="AA107" s="13">
        <f>IF(25=1,0,$B$67)</f>
        <v/>
      </c>
      <c r="AB107" s="13">
        <f>-($B$67+(IF(25&lt;=$B$59,$B$66*$B$68+$B$65,IF(25&lt;=$B$59+$B$60,$B$66*$B$68,$B$66)))/Z107)</f>
        <v/>
      </c>
      <c r="AC107" s="13">
        <f>0</f>
        <v/>
      </c>
      <c r="AD107" s="13">
        <f>IF(25=$B$59,-$N$63*$B$65,0)</f>
        <v/>
      </c>
      <c r="AE107" s="13">
        <f>AC107/(AB107-AA107*AE106)</f>
        <v/>
      </c>
      <c r="AF107" s="13">
        <f>(AD107-AA107*AF106)/(AB107-AA107*AE106)</f>
        <v/>
      </c>
      <c r="AG107" s="17">
        <f>AF107</f>
        <v/>
      </c>
      <c r="AH107" s="15">
        <f>IFERROR(I107/B107,0)</f>
        <v/>
      </c>
      <c r="AI107" s="15">
        <f>IFERROR(Q107/J107,0)</f>
        <v/>
      </c>
      <c r="AJ107" s="15">
        <f>IFERROR(Y107/R107,0)</f>
        <v/>
      </c>
      <c r="AK107" s="15">
        <f>IFERROR(AG107/Z107,0)</f>
        <v/>
      </c>
      <c r="AL107" s="15">
        <f>I107+Q107+Y107+AG107</f>
        <v/>
      </c>
      <c r="AM107" s="15">
        <f>AH107+AI107+AJ107+AK107</f>
        <v/>
      </c>
    </row>
    <row r="110" ht="18" customHeight="1">
      <c r="A110" s="16" t="inlineStr">
        <is>
          <t>STAGE AQUEOUS CONCENTRATION PROFILES  (g/L)</t>
        </is>
      </c>
      <c r="B110" s="9" t="n"/>
      <c r="C110" s="9" t="n"/>
      <c r="D110" s="9" t="n"/>
      <c r="E110" s="9" t="n"/>
      <c r="F110" s="9" t="n"/>
      <c r="G110" s="9" t="n"/>
      <c r="H110" s="9" t="n"/>
      <c r="I110" s="9" t="n"/>
      <c r="J110" s="10" t="n"/>
    </row>
    <row r="111" ht="16" customHeight="1">
      <c r="A111" s="12" t="inlineStr">
        <is>
          <t>Stage</t>
        </is>
      </c>
      <c r="B111" s="12" t="inlineStr">
        <is>
          <t>x_aq U</t>
        </is>
      </c>
      <c r="C111" s="12" t="inlineStr">
        <is>
          <t>x_aq Th</t>
        </is>
      </c>
      <c r="D111" s="12" t="inlineStr">
        <is>
          <t>x_aq Hf</t>
        </is>
      </c>
      <c r="E111" s="12" t="inlineStr">
        <is>
          <t>x_aq Zr</t>
        </is>
      </c>
    </row>
    <row r="112" ht="14" customHeight="1">
      <c r="A112" s="13" t="n">
        <v>1</v>
      </c>
      <c r="B112" s="15">
        <f>AH83</f>
        <v/>
      </c>
      <c r="C112" s="15">
        <f>AI83</f>
        <v/>
      </c>
      <c r="D112" s="15">
        <f>AJ83</f>
        <v/>
      </c>
      <c r="E112" s="15">
        <f>AK83</f>
        <v/>
      </c>
    </row>
    <row r="113" ht="14" customHeight="1">
      <c r="A113" s="13" t="n">
        <v>2</v>
      </c>
      <c r="B113" s="15">
        <f>AH84</f>
        <v/>
      </c>
      <c r="C113" s="15">
        <f>AI84</f>
        <v/>
      </c>
      <c r="D113" s="15">
        <f>AJ84</f>
        <v/>
      </c>
      <c r="E113" s="15">
        <f>AK84</f>
        <v/>
      </c>
    </row>
    <row r="114" ht="14" customHeight="1">
      <c r="A114" s="13" t="n">
        <v>3</v>
      </c>
      <c r="B114" s="15">
        <f>AH85</f>
        <v/>
      </c>
      <c r="C114" s="15">
        <f>AI85</f>
        <v/>
      </c>
      <c r="D114" s="15">
        <f>AJ85</f>
        <v/>
      </c>
      <c r="E114" s="15">
        <f>AK85</f>
        <v/>
      </c>
    </row>
    <row r="115" ht="14" customHeight="1">
      <c r="A115" s="13" t="n">
        <v>4</v>
      </c>
      <c r="B115" s="15">
        <f>AH86</f>
        <v/>
      </c>
      <c r="C115" s="15">
        <f>AI86</f>
        <v/>
      </c>
      <c r="D115" s="15">
        <f>AJ86</f>
        <v/>
      </c>
      <c r="E115" s="15">
        <f>AK86</f>
        <v/>
      </c>
    </row>
    <row r="116" ht="14" customHeight="1">
      <c r="A116" s="13" t="n">
        <v>5</v>
      </c>
      <c r="B116" s="15">
        <f>AH87</f>
        <v/>
      </c>
      <c r="C116" s="15">
        <f>AI87</f>
        <v/>
      </c>
      <c r="D116" s="15">
        <f>AJ87</f>
        <v/>
      </c>
      <c r="E116" s="15">
        <f>AK87</f>
        <v/>
      </c>
    </row>
    <row r="117" ht="14" customHeight="1">
      <c r="A117" s="13" t="n">
        <v>6</v>
      </c>
      <c r="B117" s="15">
        <f>AH88</f>
        <v/>
      </c>
      <c r="C117" s="15">
        <f>AI88</f>
        <v/>
      </c>
      <c r="D117" s="15">
        <f>AJ88</f>
        <v/>
      </c>
      <c r="E117" s="15">
        <f>AK88</f>
        <v/>
      </c>
    </row>
    <row r="118" ht="14" customHeight="1">
      <c r="A118" s="13" t="n">
        <v>7</v>
      </c>
      <c r="B118" s="15">
        <f>AH89</f>
        <v/>
      </c>
      <c r="C118" s="15">
        <f>AI89</f>
        <v/>
      </c>
      <c r="D118" s="15">
        <f>AJ89</f>
        <v/>
      </c>
      <c r="E118" s="15">
        <f>AK89</f>
        <v/>
      </c>
    </row>
    <row r="119" ht="14" customHeight="1">
      <c r="A119" s="13" t="n">
        <v>8</v>
      </c>
      <c r="B119" s="15">
        <f>AH90</f>
        <v/>
      </c>
      <c r="C119" s="15">
        <f>AI90</f>
        <v/>
      </c>
      <c r="D119" s="15">
        <f>AJ90</f>
        <v/>
      </c>
      <c r="E119" s="15">
        <f>AK90</f>
        <v/>
      </c>
    </row>
    <row r="120" ht="14" customHeight="1">
      <c r="A120" s="13" t="n">
        <v>9</v>
      </c>
      <c r="B120" s="15">
        <f>AH91</f>
        <v/>
      </c>
      <c r="C120" s="15">
        <f>AI91</f>
        <v/>
      </c>
      <c r="D120" s="15">
        <f>AJ91</f>
        <v/>
      </c>
      <c r="E120" s="15">
        <f>AK91</f>
        <v/>
      </c>
    </row>
    <row r="121" ht="14" customHeight="1">
      <c r="A121" s="13" t="n">
        <v>10</v>
      </c>
      <c r="B121" s="15">
        <f>AH92</f>
        <v/>
      </c>
      <c r="C121" s="15">
        <f>AI92</f>
        <v/>
      </c>
      <c r="D121" s="15">
        <f>AJ92</f>
        <v/>
      </c>
      <c r="E121" s="15">
        <f>AK92</f>
        <v/>
      </c>
    </row>
    <row r="122" ht="14" customHeight="1">
      <c r="A122" s="13" t="n">
        <v>11</v>
      </c>
      <c r="B122" s="15">
        <f>AH93</f>
        <v/>
      </c>
      <c r="C122" s="15">
        <f>AI93</f>
        <v/>
      </c>
      <c r="D122" s="15">
        <f>AJ93</f>
        <v/>
      </c>
      <c r="E122" s="15">
        <f>AK93</f>
        <v/>
      </c>
    </row>
    <row r="123" ht="14" customHeight="1">
      <c r="A123" s="13" t="n">
        <v>12</v>
      </c>
      <c r="B123" s="15">
        <f>AH94</f>
        <v/>
      </c>
      <c r="C123" s="15">
        <f>AI94</f>
        <v/>
      </c>
      <c r="D123" s="15">
        <f>AJ94</f>
        <v/>
      </c>
      <c r="E123" s="15">
        <f>AK94</f>
        <v/>
      </c>
    </row>
    <row r="124" ht="14" customHeight="1">
      <c r="A124" s="13" t="n">
        <v>13</v>
      </c>
      <c r="B124" s="15">
        <f>AH95</f>
        <v/>
      </c>
      <c r="C124" s="15">
        <f>AI95</f>
        <v/>
      </c>
      <c r="D124" s="15">
        <f>AJ95</f>
        <v/>
      </c>
      <c r="E124" s="15">
        <f>AK95</f>
        <v/>
      </c>
    </row>
    <row r="125" ht="14" customHeight="1">
      <c r="A125" s="13" t="n">
        <v>14</v>
      </c>
      <c r="B125" s="15">
        <f>AH96</f>
        <v/>
      </c>
      <c r="C125" s="15">
        <f>AI96</f>
        <v/>
      </c>
      <c r="D125" s="15">
        <f>AJ96</f>
        <v/>
      </c>
      <c r="E125" s="15">
        <f>AK96</f>
        <v/>
      </c>
    </row>
    <row r="126" ht="14" customHeight="1">
      <c r="A126" s="13" t="n">
        <v>15</v>
      </c>
      <c r="B126" s="15">
        <f>AH97</f>
        <v/>
      </c>
      <c r="C126" s="15">
        <f>AI97</f>
        <v/>
      </c>
      <c r="D126" s="15">
        <f>AJ97</f>
        <v/>
      </c>
      <c r="E126" s="15">
        <f>AK97</f>
        <v/>
      </c>
    </row>
    <row r="127" ht="14" customHeight="1">
      <c r="A127" s="13" t="n">
        <v>16</v>
      </c>
      <c r="B127" s="15">
        <f>AH98</f>
        <v/>
      </c>
      <c r="C127" s="15">
        <f>AI98</f>
        <v/>
      </c>
      <c r="D127" s="15">
        <f>AJ98</f>
        <v/>
      </c>
      <c r="E127" s="15">
        <f>AK98</f>
        <v/>
      </c>
    </row>
    <row r="128" ht="14" customHeight="1">
      <c r="A128" s="13" t="n">
        <v>17</v>
      </c>
      <c r="B128" s="15">
        <f>AH99</f>
        <v/>
      </c>
      <c r="C128" s="15">
        <f>AI99</f>
        <v/>
      </c>
      <c r="D128" s="15">
        <f>AJ99</f>
        <v/>
      </c>
      <c r="E128" s="15">
        <f>AK99</f>
        <v/>
      </c>
    </row>
    <row r="129" ht="14" customHeight="1">
      <c r="A129" s="13" t="n">
        <v>18</v>
      </c>
      <c r="B129" s="15">
        <f>AH100</f>
        <v/>
      </c>
      <c r="C129" s="15">
        <f>AI100</f>
        <v/>
      </c>
      <c r="D129" s="15">
        <f>AJ100</f>
        <v/>
      </c>
      <c r="E129" s="15">
        <f>AK100</f>
        <v/>
      </c>
    </row>
    <row r="130" ht="14" customHeight="1">
      <c r="A130" s="13" t="n">
        <v>19</v>
      </c>
      <c r="B130" s="15">
        <f>AH101</f>
        <v/>
      </c>
      <c r="C130" s="15">
        <f>AI101</f>
        <v/>
      </c>
      <c r="D130" s="15">
        <f>AJ101</f>
        <v/>
      </c>
      <c r="E130" s="15">
        <f>AK101</f>
        <v/>
      </c>
    </row>
    <row r="131" ht="14" customHeight="1">
      <c r="A131" s="13" t="n">
        <v>20</v>
      </c>
      <c r="B131" s="15">
        <f>AH102</f>
        <v/>
      </c>
      <c r="C131" s="15">
        <f>AI102</f>
        <v/>
      </c>
      <c r="D131" s="15">
        <f>AJ102</f>
        <v/>
      </c>
      <c r="E131" s="15">
        <f>AK102</f>
        <v/>
      </c>
    </row>
    <row r="132" ht="14" customHeight="1">
      <c r="A132" s="13" t="n">
        <v>21</v>
      </c>
      <c r="B132" s="15">
        <f>AH103</f>
        <v/>
      </c>
      <c r="C132" s="15">
        <f>AI103</f>
        <v/>
      </c>
      <c r="D132" s="15">
        <f>AJ103</f>
        <v/>
      </c>
      <c r="E132" s="15">
        <f>AK103</f>
        <v/>
      </c>
    </row>
    <row r="133" ht="14" customHeight="1">
      <c r="A133" s="13" t="n">
        <v>22</v>
      </c>
      <c r="B133" s="15">
        <f>AH104</f>
        <v/>
      </c>
      <c r="C133" s="15">
        <f>AI104</f>
        <v/>
      </c>
      <c r="D133" s="15">
        <f>AJ104</f>
        <v/>
      </c>
      <c r="E133" s="15">
        <f>AK104</f>
        <v/>
      </c>
    </row>
    <row r="134" ht="14" customHeight="1">
      <c r="A134" s="13" t="n">
        <v>23</v>
      </c>
      <c r="B134" s="15">
        <f>AH105</f>
        <v/>
      </c>
      <c r="C134" s="15">
        <f>AI105</f>
        <v/>
      </c>
      <c r="D134" s="15">
        <f>AJ105</f>
        <v/>
      </c>
      <c r="E134" s="15">
        <f>AK105</f>
        <v/>
      </c>
    </row>
    <row r="135" ht="14" customHeight="1">
      <c r="A135" s="13" t="n">
        <v>24</v>
      </c>
      <c r="B135" s="15">
        <f>AH106</f>
        <v/>
      </c>
      <c r="C135" s="15">
        <f>AI106</f>
        <v/>
      </c>
      <c r="D135" s="15">
        <f>AJ106</f>
        <v/>
      </c>
      <c r="E135" s="15">
        <f>AK106</f>
        <v/>
      </c>
    </row>
    <row r="136" ht="14" customHeight="1">
      <c r="A136" s="13" t="n">
        <v>25</v>
      </c>
      <c r="B136" s="15">
        <f>AH107</f>
        <v/>
      </c>
      <c r="C136" s="15">
        <f>AI107</f>
        <v/>
      </c>
      <c r="D136" s="15">
        <f>AJ107</f>
        <v/>
      </c>
      <c r="E136" s="15">
        <f>AK107</f>
        <v/>
      </c>
    </row>
    <row r="236" ht="20" customHeight="1">
      <c r="A236" s="7" t="inlineStr">
        <is>
          <t>ORGANIC LOADING SECTION — Primene JMT Amine Capacity</t>
        </is>
      </c>
    </row>
    <row r="237" ht="16" customHeight="1">
      <c r="A237" s="19" t="inlineStr">
        <is>
          <t>Extractant</t>
        </is>
      </c>
      <c r="B237" s="27" t="inlineStr">
        <is>
          <t>Primene JMT</t>
        </is>
      </c>
    </row>
    <row r="238" ht="16" customHeight="1">
      <c r="A238" s="19" t="inlineStr">
        <is>
          <t>MW Extractant (g/mol)</t>
        </is>
      </c>
      <c r="B238" s="14" t="n">
        <v>353.7</v>
      </c>
    </row>
    <row r="239" ht="16" customHeight="1">
      <c r="A239" s="19" t="inlineStr">
        <is>
          <t>Density extractant (g/mL)</t>
        </is>
      </c>
      <c r="B239" s="14" t="n">
        <v>0.8120000000000001</v>
      </c>
    </row>
    <row r="240" ht="16" customHeight="1">
      <c r="A240" s="19" t="inlineStr">
        <is>
          <t>Vol% in diluent</t>
        </is>
      </c>
      <c r="B240" s="14" t="n">
        <v>10</v>
      </c>
    </row>
    <row r="241" ht="16" customHeight="1">
      <c r="A241" s="19" t="inlineStr">
        <is>
          <t>Diluent</t>
        </is>
      </c>
      <c r="B241" s="27" t="inlineStr">
        <is>
          <t>Orfom</t>
        </is>
      </c>
    </row>
    <row r="242" ht="16" customHeight="1">
      <c r="A242" s="19" t="inlineStr">
        <is>
          <t>Density diluent (g/mL)</t>
        </is>
      </c>
      <c r="B242" s="14" t="n">
        <v>0.785</v>
      </c>
    </row>
    <row r="243" ht="16" customHeight="1">
      <c r="A243" s="19" t="inlineStr">
        <is>
          <t>Note on saponification</t>
        </is>
      </c>
      <c r="B243" s="27" t="inlineStr">
        <is>
          <t>N/A — primary amine (not quaternary)</t>
        </is>
      </c>
    </row>
    <row r="244" ht="16" customHeight="1">
      <c r="A244" s="19" t="inlineStr">
        <is>
          <t>Experimental loading (%)</t>
        </is>
      </c>
      <c r="B244" s="14" t="n">
        <v>80</v>
      </c>
    </row>
    <row r="245" ht="16" customHeight="1">
      <c r="A245" s="19" t="inlineStr">
        <is>
          <t>Amine conc (mol/L)</t>
        </is>
      </c>
      <c r="B245" s="15">
        <f>($B$240/100)*$B$239*1000/$B$238</f>
        <v/>
      </c>
    </row>
    <row r="246" ht="16" customHeight="1">
      <c r="A246" s="19" t="inlineStr">
        <is>
          <t>Avg MW metals (g/mol)</t>
        </is>
      </c>
      <c r="B246" s="15">
        <f>AVERAGE($O$60:$O$63)</f>
        <v/>
      </c>
    </row>
    <row r="247" ht="16" customHeight="1">
      <c r="A247" s="19" t="inlineStr">
        <is>
          <t>Max loading (g metal/L org)</t>
        </is>
      </c>
      <c r="B247" s="15">
        <f>$B$245*$B$246</f>
        <v/>
      </c>
    </row>
    <row r="248" ht="16" customHeight="1">
      <c r="A248" s="19" t="inlineStr">
        <is>
          <t>Actual loading (g/L)</t>
        </is>
      </c>
      <c r="B248" s="17">
        <f>$B$247*$B$244/100</f>
        <v/>
      </c>
    </row>
    <row r="251" ht="20" customHeight="1">
      <c r="A251" s="7" t="inlineStr">
        <is>
          <t>RESIDENCE TIME ANALYSIS</t>
        </is>
      </c>
    </row>
    <row r="252" ht="16" customHeight="1">
      <c r="A252" s="19" t="inlineStr">
        <is>
          <t>Mixer volume (m³)</t>
        </is>
      </c>
      <c r="B252" s="14" t="n">
        <v>0.001</v>
      </c>
    </row>
    <row r="253" ht="16" customHeight="1">
      <c r="A253" s="19" t="inlineStr">
        <is>
          <t>Settler length (m)</t>
        </is>
      </c>
      <c r="B253" s="14" t="n">
        <v>1</v>
      </c>
    </row>
    <row r="254" ht="16" customHeight="1">
      <c r="A254" s="19" t="inlineStr">
        <is>
          <t>Settler width (m)</t>
        </is>
      </c>
      <c r="B254" s="14" t="n">
        <v>0.5</v>
      </c>
    </row>
    <row r="255" ht="16" customHeight="1">
      <c r="A255" s="19" t="inlineStr">
        <is>
          <t>Settler depth (m)</t>
        </is>
      </c>
      <c r="B255" s="14" t="n">
        <v>0.2</v>
      </c>
    </row>
    <row r="256" ht="16" customHeight="1">
      <c r="A256" s="19" t="inlineStr">
        <is>
          <t>n settlers/stage</t>
        </is>
      </c>
      <c r="B256" s="14" t="n">
        <v>1</v>
      </c>
    </row>
    <row r="258" ht="34" customHeight="1">
      <c r="A258" s="12" t="inlineStr">
        <is>
          <t>Section</t>
        </is>
      </c>
      <c r="B258" s="12" t="inlineStr">
        <is>
          <t>n stages</t>
        </is>
      </c>
      <c r="C258" s="12" t="inlineStr">
        <is>
          <t>Q_aq
(mL/min)</t>
        </is>
      </c>
      <c r="D258" s="12" t="inlineStr">
        <is>
          <t>Q_tot
(mL/min)</t>
        </is>
      </c>
      <c r="E258" s="12" t="inlineStr">
        <is>
          <t>τ_mixer
(min)</t>
        </is>
      </c>
      <c r="F258" s="12" t="inlineStr">
        <is>
          <t>V_settler
(mL)</t>
        </is>
      </c>
      <c r="G258" s="12" t="inlineStr">
        <is>
          <t>τ_settler
(min)</t>
        </is>
      </c>
      <c r="H258" s="12" t="inlineStr">
        <is>
          <t>τ_stage
(min)</t>
        </is>
      </c>
      <c r="I258" s="12" t="inlineStr">
        <is>
          <t>τ_section
(min)</t>
        </is>
      </c>
    </row>
    <row r="259" ht="16" customHeight="1">
      <c r="A259" s="13" t="inlineStr">
        <is>
          <t>Extraction</t>
        </is>
      </c>
      <c r="B259" s="21">
        <f>$B$59</f>
        <v/>
      </c>
      <c r="C259" s="15">
        <f>$B$65*1000</f>
        <v/>
      </c>
      <c r="D259" s="15">
        <f>($B$65+$B$67)*1000</f>
        <v/>
      </c>
      <c r="E259" s="15">
        <f>($B$252*1000000)/D259</f>
        <v/>
      </c>
      <c r="F259" s="15">
        <f>$B$253*$B$254*$B$255*$B$256*1000000</f>
        <v/>
      </c>
      <c r="G259" s="15">
        <f>F259/D259</f>
        <v/>
      </c>
      <c r="H259" s="15">
        <f>E259+G259</f>
        <v/>
      </c>
      <c r="I259" s="15">
        <f>B259*H259</f>
        <v/>
      </c>
    </row>
    <row r="260" ht="16" customHeight="1">
      <c r="A260" s="13" t="inlineStr">
        <is>
          <t>Scrub</t>
        </is>
      </c>
      <c r="B260" s="21">
        <f>$B$60</f>
        <v/>
      </c>
      <c r="C260" s="15">
        <f>$B$66*$B$68*1000</f>
        <v/>
      </c>
      <c r="D260" s="15">
        <f>($B$66*$B$68+$B$67)*1000</f>
        <v/>
      </c>
      <c r="E260" s="15">
        <f>($B$252*1000000)/D260</f>
        <v/>
      </c>
      <c r="F260" s="15">
        <f>$B$253*$B$254*$B$255*$B$256*1000000</f>
        <v/>
      </c>
      <c r="G260" s="15">
        <f>F260/D260</f>
        <v/>
      </c>
      <c r="H260" s="15">
        <f>E260+G260</f>
        <v/>
      </c>
      <c r="I260" s="15">
        <f>B260*H260</f>
        <v/>
      </c>
    </row>
    <row r="261" ht="16" customHeight="1">
      <c r="A261" s="13" t="inlineStr">
        <is>
          <t>Strip</t>
        </is>
      </c>
      <c r="B261" s="21">
        <f>$B$61</f>
        <v/>
      </c>
      <c r="C261" s="15">
        <f>$B$66*1000</f>
        <v/>
      </c>
      <c r="D261" s="15">
        <f>($B$66+$B$67)*1000</f>
        <v/>
      </c>
      <c r="E261" s="15">
        <f>($B$252*1000000)/D261</f>
        <v/>
      </c>
      <c r="F261" s="15">
        <f>$B$253*$B$254*$B$255*$B$256*1000000</f>
        <v/>
      </c>
      <c r="G261" s="15">
        <f>F261/D261</f>
        <v/>
      </c>
      <c r="H261" s="15">
        <f>E261+G261</f>
        <v/>
      </c>
      <c r="I261" s="15">
        <f>B261*H261</f>
        <v/>
      </c>
    </row>
    <row r="264" ht="18" customHeight="1">
      <c r="A264" s="16" t="inlineStr">
        <is>
          <t>STEADY-STATE TIME ESTIMATOR  (Ritcey &amp; Ashbrook 1979; Perry's 8th Ed. §15-42)</t>
        </is>
      </c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10" t="n"/>
    </row>
    <row r="265" ht="16" customHeight="1">
      <c r="A265" s="19" t="inlineStr">
        <is>
          <t>Safety factor</t>
        </is>
      </c>
      <c r="B265" s="14" t="n">
        <v>3</v>
      </c>
    </row>
    <row r="266" ht="16" customHeight="1">
      <c r="A266" s="19" t="inlineStr">
        <is>
          <t>τ_max (bottleneck, min)</t>
        </is>
      </c>
      <c r="B266" s="15">
        <f>MAX(I259:I261)</f>
        <v/>
      </c>
    </row>
    <row r="267" ht="16" customHeight="1">
      <c r="A267" s="19" t="inlineStr">
        <is>
          <t>t_SS = factor × τ_max (min)</t>
        </is>
      </c>
      <c r="B267" s="17">
        <f>$B$265*$B$266</f>
        <v/>
      </c>
    </row>
    <row r="268" ht="16" customHeight="1">
      <c r="A268" s="19" t="inlineStr">
        <is>
          <t>Bottleneck section</t>
        </is>
      </c>
      <c r="B268" s="15">
        <f>IFERROR(INDEX(A259:A261,MATCH(MAX(I259:I261),I259:I261,0)),"—")</f>
        <v/>
      </c>
    </row>
    <row r="271" ht="18" customHeight="1">
      <c r="A271" s="16" t="inlineStr">
        <is>
          <t>FEED VARIABILITY SCENARIO  (Zr feed multipliers)</t>
        </is>
      </c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10" t="n"/>
    </row>
    <row r="272">
      <c r="A272" s="19" t="inlineStr">
        <is>
          <t>k1 (Zr × high)</t>
        </is>
      </c>
      <c r="B272" s="14" t="n">
        <v>1.2</v>
      </c>
    </row>
    <row r="273">
      <c r="A273" s="19" t="inlineStr">
        <is>
          <t>k2 (Zr × low)</t>
        </is>
      </c>
      <c r="B273" s="14" t="n">
        <v>0.8</v>
      </c>
    </row>
    <row r="275" ht="34" customHeight="1">
      <c r="A275" s="12" t="inlineStr">
        <is>
          <t>Metric</t>
        </is>
      </c>
      <c r="B275" s="12" t="inlineStr">
        <is>
          <t>Normal</t>
        </is>
      </c>
      <c r="C275" s="12" t="inlineStr">
        <is>
          <t>Zr×k1</t>
        </is>
      </c>
      <c r="D275" s="12" t="inlineStr">
        <is>
          <t>Zr×k2</t>
        </is>
      </c>
    </row>
    <row r="276" ht="16" customHeight="1">
      <c r="A276" s="19" t="inlineStr">
        <is>
          <t>Note</t>
        </is>
      </c>
      <c r="B276" s="27" t="inlineStr">
        <is>
          <t>Scenario requires re-solve; values below use stored TDMA output</t>
        </is>
      </c>
      <c r="C276" s="27" t="inlineStr"/>
      <c r="D276" s="27" t="inlineStr"/>
    </row>
    <row r="277" ht="16" customHeight="1">
      <c r="A277" s="19" t="inlineStr">
        <is>
          <t>Loaded Org Zr (g/L)</t>
        </is>
      </c>
      <c r="B277" s="27" t="inlineStr">
        <is>
          <t>See Panel D</t>
        </is>
      </c>
      <c r="C277" s="27" t="inlineStr">
        <is>
          <t>Zr feed × k1</t>
        </is>
      </c>
      <c r="D277" s="27" t="inlineStr">
        <is>
          <t>Zr feed × k2</t>
        </is>
      </c>
    </row>
    <row r="278" ht="16" customHeight="1">
      <c r="A278" s="19" t="inlineStr">
        <is>
          <t>Raff U (g/L)</t>
        </is>
      </c>
      <c r="B278" s="27" t="inlineStr">
        <is>
          <t>See Panel D row U</t>
        </is>
      </c>
      <c r="C278" s="27" t="inlineStr">
        <is>
          <t>—</t>
        </is>
      </c>
      <c r="D278" s="27" t="inlineStr">
        <is>
          <t>—</t>
        </is>
      </c>
    </row>
    <row r="279" ht="16" customHeight="1">
      <c r="A279" s="19" t="inlineStr">
        <is>
          <t>Preg Zr (g/L)</t>
        </is>
      </c>
      <c r="B279" s="27" t="inlineStr">
        <is>
          <t>See Panel D row Zr</t>
        </is>
      </c>
      <c r="C279" s="27" t="inlineStr">
        <is>
          <t>—</t>
        </is>
      </c>
      <c r="D279" s="27" t="inlineStr">
        <is>
          <t>—</t>
        </is>
      </c>
    </row>
    <row r="280" ht="16" customHeight="1">
      <c r="A280" s="19" t="inlineStr">
        <is>
          <t>Effective Zr feed (g/L)</t>
        </is>
      </c>
      <c r="B280" s="17">
        <f>$N$63</f>
        <v/>
      </c>
      <c r="C280" s="17">
        <f>$N$63*$B$272</f>
        <v/>
      </c>
      <c r="D280" s="17">
        <f>$N$63*$B$273</f>
        <v/>
      </c>
    </row>
  </sheetData>
  <mergeCells count="35">
    <mergeCell ref="N10:Z10"/>
    <mergeCell ref="B81:I81"/>
    <mergeCell ref="J81:Q81"/>
    <mergeCell ref="N5:Y5"/>
    <mergeCell ref="Q2:T2"/>
    <mergeCell ref="A57:AZ57"/>
    <mergeCell ref="AM81:AM82"/>
    <mergeCell ref="A10:M10"/>
    <mergeCell ref="E2:H2"/>
    <mergeCell ref="A5:L5"/>
    <mergeCell ref="Q58:R58"/>
    <mergeCell ref="A271:N271"/>
    <mergeCell ref="Z81:AG81"/>
    <mergeCell ref="A16:Z16"/>
    <mergeCell ref="F58:K58"/>
    <mergeCell ref="I2:L2"/>
    <mergeCell ref="AK81:AK82"/>
    <mergeCell ref="A236:N236"/>
    <mergeCell ref="A264:N264"/>
    <mergeCell ref="A80:BZ80"/>
    <mergeCell ref="A110:J110"/>
    <mergeCell ref="A251:N251"/>
    <mergeCell ref="AI81:AI82"/>
    <mergeCell ref="A81:A82"/>
    <mergeCell ref="M2:P2"/>
    <mergeCell ref="M58:O58"/>
    <mergeCell ref="AL81:AL82"/>
    <mergeCell ref="AH81:AH82"/>
    <mergeCell ref="A1:AZ1"/>
    <mergeCell ref="R81:Y81"/>
    <mergeCell ref="A4:Z4"/>
    <mergeCell ref="AJ81:AJ82"/>
    <mergeCell ref="A2:D2"/>
    <mergeCell ref="T58:V58"/>
    <mergeCell ref="A58:B5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2026-07-06T08:41:50Z</dcterms:created>
  <dcterms:modified xsi:type="dcterms:W3CDTF">2026-07-06T08:41:50Z</dcterms:modified>
</cp:coreProperties>
</file>