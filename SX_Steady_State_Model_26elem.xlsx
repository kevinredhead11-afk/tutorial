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  <Override PartName="/xl/charts/chartEx1.xml" ContentType="http://schemas.microsoft.com/office/drawing/2016/5/9/chartex+xml"/>
  <Override PartName="/xl/charts/chartEx2.xml" ContentType="http://schemas.microsoft.com/office/drawing/2016/5/9/chartex+xml"/>
  <Override PartName="/xl/charts/chartEx3.xml" ContentType="http://schemas.microsoft.com/office/drawing/2016/5/9/chartex+xml"/>
  <Override PartName="/xl/drawings/drawing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ession" sheetId="1" state="visible" r:id="rId1"/>
    <sheet name="SX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1A237E"/>
      <sz val="9"/>
    </font>
    <font>
      <name val="Calibri"/>
      <b val="1"/>
      <color rgb="00212121"/>
      <sz val="9"/>
    </font>
    <font>
      <name val="Calibri"/>
      <b val="1"/>
      <color rgb="002E7D32"/>
      <sz val="9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color rgb="00212121"/>
      <sz val="9"/>
    </font>
    <font>
      <name val="Calibri"/>
      <color rgb="001A237E"/>
      <sz val="9"/>
    </font>
    <font>
      <name val="Calibri"/>
      <b val="1"/>
      <color rgb="002E4057"/>
      <sz val="9"/>
    </font>
    <font>
      <name val="Calibri"/>
      <color rgb="002E7D32"/>
      <sz val="9"/>
    </font>
    <font>
      <name val="Calibri"/>
      <color rgb="000D47A1"/>
      <sz val="9"/>
    </font>
    <font>
      <name val="Calibri"/>
      <b val="1"/>
      <color rgb="00FFFFFF"/>
      <sz val="13"/>
    </font>
    <font>
      <name val="Calibri"/>
      <b val="1"/>
      <color rgb="000D47A1"/>
      <sz val="9"/>
    </font>
    <font>
      <name val="Calibri"/>
      <color rgb="00212121"/>
      <sz val="8"/>
    </font>
    <font>
      <name val="Calibri"/>
      <b val="1"/>
      <color rgb="002E7D32"/>
      <sz val="8"/>
    </font>
  </fonts>
  <fills count="1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DE7"/>
      </patternFill>
    </fill>
    <fill>
      <patternFill patternType="solid">
        <fgColor rgb="00FFFFFF"/>
      </patternFill>
    </fill>
    <fill>
      <patternFill patternType="solid">
        <fgColor rgb="00F1F8E9"/>
      </patternFill>
    </fill>
    <fill>
      <patternFill patternType="solid">
        <fgColor rgb="004A6FA5"/>
      </patternFill>
    </fill>
    <fill>
      <patternFill patternType="solid">
        <fgColor rgb="00E8EAF6"/>
      </patternFill>
    </fill>
    <fill>
      <patternFill patternType="solid">
        <fgColor rgb="001B5E20"/>
      </patternFill>
    </fill>
    <fill>
      <patternFill patternType="solid">
        <fgColor rgb="002E4057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1B3A6B"/>
      </patternFill>
    </fill>
    <fill>
      <patternFill patternType="solid">
        <fgColor rgb="00F3E5F5"/>
      </patternFill>
    </fill>
  </fills>
  <borders count="5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BDBDBD"/>
      </left>
      <right/>
      <top/>
      <bottom/>
      <diagonal/>
    </border>
    <border>
      <left style="thin">
        <color rgb="00BDBDBD"/>
      </left>
      <right style="thin">
        <color rgb="00BDBDBD"/>
      </right>
      <top/>
      <bottom/>
      <diagonal/>
    </border>
    <border>
      <left style="thin">
        <color rgb="00BDBDBD"/>
      </left>
      <right style="thin">
        <color rgb="00BDBDBD"/>
      </right>
      <top/>
      <bottom style="thin">
        <color rgb="00BDBDBD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11" borderId="0" pivotButton="0" quotePrefix="0" xfId="0"/>
    <xf numFmtId="0" fontId="13" fillId="12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14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_rels/chartEx1.xml.rels><?xml version="1.0" encoding="UTF-8" standalone="yes"?>
<Relationships xmlns="http://schemas.openxmlformats.org/package/2006/relationships">
  <Relationship Id="rId1" Type="http://schemas.openxmlformats.org/officeDocument/2006/relationships/package" Target="../../workbook.xml"/>
</Relationships>
</file>

<file path=xl/charts/_rels/chartEx2.xml.rels><?xml version="1.0" encoding="UTF-8" standalone="yes"?>
<Relationships xmlns="http://schemas.openxmlformats.org/package/2006/relationships">
  <Relationship Id="rId1" Type="http://schemas.openxmlformats.org/officeDocument/2006/relationships/package" Target="../../workbook.xml"/>
</Relationships>
</file>

<file path=xl/charts/_rels/chartEx3.xml.rels><?xml version="1.0" encoding="UTF-8" standalone="yes"?>
<Relationships xmlns="http://schemas.openxmlformats.org/package/2006/relationships">
  <Relationship Id="rId1" Type="http://schemas.openxmlformats.org/officeDocument/2006/relationships/package" Target="../../workbook.xml"/>
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 — log D vs log [acid]</a:t>
            </a:r>
          </a:p>
        </rich>
      </tx>
    </title>
    <plotArea>
      <scatterChart>
        <ser>
          <idx val="0"/>
          <order val="0"/>
          <tx>
            <v>Loading</v>
          </tx>
          <spPr>
            <a:solidFill>
              <a:srgbClr val="1B3A6B"/>
            </a:solidFill>
            <a:ln>
              <a:noFill/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'Regression'!$B$6:$B$12</f>
            </numRef>
          </xVal>
          <yVal>
            <numRef>
              <f>'Regression'!$AA$16:$AA$22</f>
            </numRef>
          </yVal>
        </ser>
        <ser>
          <idx val="1"/>
          <order val="1"/>
          <tx>
            <v>Stripping</v>
          </tx>
          <spPr>
            <a:solidFill>
              <a:srgbClr val="2E7D32"/>
            </a:solidFill>
            <a:ln>
              <a:noFill/>
              <a:prstDash val="solid"/>
            </a:ln>
          </spPr>
          <marker>
            <symbol val="triangle"/>
            <size val="5"/>
            <spPr>
              <a:ln>
                <a:prstDash val="solid"/>
              </a:ln>
            </spPr>
          </marker>
          <xVal>
            <numRef>
              <f>'Regression'!$BF$6:$BF$12</f>
            </numRef>
          </xVal>
          <yVal>
            <numRef>
              <f>'Regression'!$CE$16:$CE$22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LN([acid])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LN(D)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Th — log D vs log [acid]</a:t>
            </a:r>
          </a:p>
        </rich>
      </tx>
    </title>
    <plotArea>
      <scatterChart>
        <ser>
          <idx val="0"/>
          <order val="0"/>
          <tx>
            <v>Loading</v>
          </tx>
          <spPr>
            <a:solidFill>
              <a:srgbClr val="1B3A6B"/>
            </a:solidFill>
            <a:ln>
              <a:noFill/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'Regression'!$B$6:$B$12</f>
            </numRef>
          </xVal>
          <yVal>
            <numRef>
              <f>'Regression'!$Z$16:$Z$22</f>
            </numRef>
          </yVal>
        </ser>
        <ser>
          <idx val="1"/>
          <order val="1"/>
          <tx>
            <v>Stripping</v>
          </tx>
          <spPr>
            <a:solidFill>
              <a:srgbClr val="2E7D32"/>
            </a:solidFill>
            <a:ln>
              <a:noFill/>
              <a:prstDash val="solid"/>
            </a:ln>
          </spPr>
          <marker>
            <symbol val="triangle"/>
            <size val="5"/>
            <spPr>
              <a:ln>
                <a:prstDash val="solid"/>
              </a:ln>
            </spPr>
          </marker>
          <xVal>
            <numRef>
              <f>'Regression'!$BF$6:$BF$12</f>
            </numRef>
          </xVal>
          <yVal>
            <numRef>
              <f>'Regression'!$CD$16:$CD$22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LN([acid])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LN(D)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Hf — log D vs log [acid]</a:t>
            </a:r>
          </a:p>
        </rich>
      </tx>
    </title>
    <plotArea>
      <scatterChart>
        <ser>
          <idx val="0"/>
          <order val="0"/>
          <tx>
            <v>Loading</v>
          </tx>
          <spPr>
            <a:solidFill>
              <a:srgbClr val="1B3A6B"/>
            </a:solidFill>
            <a:ln>
              <a:noFill/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'Regression'!$B$6:$B$12</f>
            </numRef>
          </xVal>
          <yVal>
            <numRef>
              <f>'Regression'!$Y$16:$Y$22</f>
            </numRef>
          </yVal>
        </ser>
        <ser>
          <idx val="1"/>
          <order val="1"/>
          <tx>
            <v>Stripping</v>
          </tx>
          <spPr>
            <a:solidFill>
              <a:srgbClr val="2E7D32"/>
            </a:solidFill>
            <a:ln>
              <a:noFill/>
              <a:prstDash val="solid"/>
            </a:ln>
          </spPr>
          <marker>
            <symbol val="triangle"/>
            <size val="5"/>
            <spPr>
              <a:ln>
                <a:prstDash val="solid"/>
              </a:ln>
            </spPr>
          </marker>
          <xVal>
            <numRef>
              <f>'Regression'!$BF$6:$BF$12</f>
            </numRef>
          </xVal>
          <yVal>
            <numRef>
              <f>'Regression'!$CC$16:$CC$22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LN([acid])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LN(D)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Zr — log D vs log [acid]</a:t>
            </a:r>
          </a:p>
        </rich>
      </tx>
    </title>
    <plotArea>
      <scatterChart>
        <ser>
          <idx val="0"/>
          <order val="0"/>
          <tx>
            <v>Loading</v>
          </tx>
          <spPr>
            <a:solidFill>
              <a:srgbClr val="1B3A6B"/>
            </a:solidFill>
            <a:ln>
              <a:noFill/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'Regression'!$B$6:$B$12</f>
            </numRef>
          </xVal>
          <yVal>
            <numRef>
              <f>'Regression'!$J$16:$J$22</f>
            </numRef>
          </yVal>
        </ser>
        <ser>
          <idx val="1"/>
          <order val="1"/>
          <tx>
            <v>Stripping</v>
          </tx>
          <spPr>
            <a:solidFill>
              <a:srgbClr val="2E7D32"/>
            </a:solidFill>
            <a:ln>
              <a:noFill/>
              <a:prstDash val="solid"/>
            </a:ln>
          </spPr>
          <marker>
            <symbol val="triangle"/>
            <size val="5"/>
            <spPr>
              <a:ln>
                <a:prstDash val="solid"/>
              </a:ln>
            </spPr>
          </marker>
          <xVal>
            <numRef>
              <f>'Regression'!$BF$6:$BF$12</f>
            </numRef>
          </xVal>
          <yVal>
            <numRef>
              <f>'Regression'!$BN$16:$BN$22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LN([acid])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LN(D)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 — Aqueous Profile vs Stage</a:t>
            </a:r>
          </a:p>
        </rich>
      </tx>
    </title>
    <plotArea>
      <lineChart>
        <grouping val="standard"/>
        <ser>
          <idx val="0"/>
          <order val="0"/>
          <tx>
            <strRef>
              <f>'SX Model'!AA120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'SX Model'!$A$121:$A$145</f>
            </numRef>
          </cat>
          <val>
            <numRef>
              <f>'SX Model'!$AA$121:$AA$145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x_aq (g/L)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Th — Aqueous Profile vs Stage</a:t>
            </a:r>
          </a:p>
        </rich>
      </tx>
    </title>
    <plotArea>
      <lineChart>
        <grouping val="standard"/>
        <ser>
          <idx val="0"/>
          <order val="0"/>
          <tx>
            <strRef>
              <f>'SX Model'!Z120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'SX Model'!$A$121:$A$145</f>
            </numRef>
          </cat>
          <val>
            <numRef>
              <f>'SX Model'!$Z$121:$Z$145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x_aq (g/L)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Hf — Aqueous Profile vs Stage</a:t>
            </a:r>
          </a:p>
        </rich>
      </tx>
    </title>
    <plotArea>
      <lineChart>
        <grouping val="standard"/>
        <ser>
          <idx val="0"/>
          <order val="0"/>
          <tx>
            <strRef>
              <f>'SX Model'!Y120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'SX Model'!$A$121:$A$145</f>
            </numRef>
          </cat>
          <val>
            <numRef>
              <f>'SX Model'!$Y$121:$Y$145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x_aq (g/L)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Zr — Aqueous Profile vs Stage</a:t>
            </a:r>
          </a:p>
        </rich>
      </tx>
    </title>
    <plotArea>
      <lineChart>
        <grouping val="standard"/>
        <ser>
          <idx val="0"/>
          <order val="0"/>
          <tx>
            <strRef>
              <f>'SX Model'!J120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'SX Model'!$A$121:$A$145</f>
            </numRef>
          </cat>
          <val>
            <numRef>
              <f>'SX Model'!$J$121:$J$145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x_aq (g/L)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Ex1.xml><?xml version="1.0" encoding="utf-8"?>
<cx:chartSpace xmlns:cx="http://schemas.microsoft.com/office/drawing/2016/5/9/chartex" xmlns:a="http://schemas.openxmlformats.org/drawingml/2006/main" xmlns:r="http://schemas.openxmlformats.org/officeDocument/2006/relationships">
  <cx:chartData>
    <cx:externalData r:id="rId1"/>
    <cx:data id="0">
      <cx:strDim type="cat">
        <cx:f>'SX Model'!$E$290:$E$315</cx:f>
      </cx:strDim>
      <cx:strDim type="cat">
        <cx:f>'SX Model'!$A$290:$A$315</cx:f>
      </cx:strDim>
      <cx:numDim type="val">
        <cx:f>'SX Model'!$B$290:$B$315</cx:f>
      </cx:numDim>
    </cx:data>
  </cx:chartData>
  <cx:chart>
    <cx:title overlay="0">
      <cx:tx>
        <cx:rich>
          <a:bodyPr/>
          <a:lstStyle/>
          <a:p>
            <a:r>
              <a:t>Feed Concentration (g/L) — 26 Elements</a:t>
            </a:r>
          </a:p>
        </cx:rich>
      </cx:tx>
    </cx:title>
    <cx:plotArea>
      <cx:plotAreaRegion>
        <cx:series layoutId="treemap" ownsLabel="1" formatIdx="0" uniqueId="{00000000-0000-0000-0000-000000000002}">
          <cx:dataId val="0"/>
          <cx:layoutPr>
            <cx:visibility headerSelect="1" outlineSelect="1"/>
          </cx:layoutPr>
        </cx:series>
      </cx:plotAreaRegion>
    </cx:plotArea>
    <cx:legend>
      <cx:visibility val="0"/>
    </cx:legend>
  </cx:chart>
  <cx:clrMapOvr>
    <a:overrideClrMapping/>
  </cx:clrMapOvr>
</cx:chartSpace>
</file>

<file path=xl/charts/chartEx2.xml><?xml version="1.0" encoding="utf-8"?>
<cx:chartSpace xmlns:cx="http://schemas.microsoft.com/office/drawing/2016/5/9/chartex" xmlns:a="http://schemas.openxmlformats.org/drawingml/2006/main" xmlns:r="http://schemas.openxmlformats.org/officeDocument/2006/relationships">
  <cx:chartData>
    <cx:externalData r:id="rId1"/>
    <cx:data id="0">
      <cx:strDim type="cat">
        <cx:f>'SX Model'!$E$290:$E$315</cx:f>
      </cx:strDim>
      <cx:strDim type="cat">
        <cx:f>'SX Model'!$A$290:$A$315</cx:f>
      </cx:strDim>
      <cx:numDim type="val">
        <cx:f>'SX Model'!$C$290:$C$315</cx:f>
      </cx:numDim>
    </cx:data>
  </cx:chartData>
  <cx:chart>
    <cx:title overlay="0">
      <cx:tx>
        <cx:rich>
          <a:bodyPr/>
          <a:lstStyle/>
          <a:p>
            <a:r>
              <a:t>Raffinate Concentration (g/L) — 26 Elements</a:t>
            </a:r>
          </a:p>
        </cx:rich>
      </cx:tx>
    </cx:title>
    <cx:plotArea>
      <cx:plotAreaRegion>
        <cx:series layoutId="treemap" ownsLabel="1" formatIdx="0" uniqueId="{00000000-0000-0000-0000-000000000003}">
          <cx:dataId val="0"/>
          <cx:layoutPr>
            <cx:visibility headerSelect="1" outlineSelect="1"/>
          </cx:layoutPr>
        </cx:series>
      </cx:plotAreaRegion>
    </cx:plotArea>
    <cx:legend>
      <cx:visibility val="0"/>
    </cx:legend>
  </cx:chart>
  <cx:clrMapOvr>
    <a:overrideClrMapping/>
  </cx:clrMapOvr>
</cx:chartSpace>
</file>

<file path=xl/charts/chartEx3.xml><?xml version="1.0" encoding="utf-8"?>
<cx:chartSpace xmlns:cx="http://schemas.microsoft.com/office/drawing/2016/5/9/chartex" xmlns:a="http://schemas.openxmlformats.org/drawingml/2006/main" xmlns:r="http://schemas.openxmlformats.org/officeDocument/2006/relationships">
  <cx:chartData>
    <cx:externalData r:id="rId1"/>
    <cx:data id="0">
      <cx:strDim type="cat">
        <cx:f>'SX Model'!$E$290:$E$315</cx:f>
      </cx:strDim>
      <cx:strDim type="cat">
        <cx:f>'SX Model'!$A$290:$A$315</cx:f>
      </cx:strDim>
      <cx:numDim type="val">
        <cx:f>'SX Model'!$D$290:$D$315</cx:f>
      </cx:numDim>
    </cx:data>
  </cx:chartData>
  <cx:chart>
    <cx:title overlay="0">
      <cx:tx>
        <cx:rich>
          <a:bodyPr/>
          <a:lstStyle/>
          <a:p>
            <a:r>
              <a:t>Pregnant Solution (g/L) — 26 Elements</a:t>
            </a:r>
          </a:p>
        </cx:rich>
      </cx:tx>
    </cx:title>
    <cx:plotArea>
      <cx:plotAreaRegion>
        <cx:series layoutId="treemap" ownsLabel="1" formatIdx="0" uniqueId="{00000000-0000-0000-0000-000000000004}">
          <cx:dataId val="0"/>
          <cx:layoutPr>
            <cx:visibility headerSelect="1" outlineSelect="1"/>
          </cx:layoutPr>
        </cx:series>
      </cx:plotAreaRegion>
    </cx:plotArea>
    <cx:legend>
      <cx:visibility val="0"/>
    </cx:legend>
  </cx:chart>
  <cx:clrMapOvr>
    <a:overrideClrMapping/>
  </cx:clrMapOvr>
</cx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/Relationships>
</file>

<file path=xl/drawings/_rels/drawing3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Ex1.xml"/>
  <Relationship Id="rId2" Type="http://schemas.openxmlformats.org/officeDocument/2006/relationships/chart" Target="../charts/chartEx2.xml"/>
  <Relationship Id="rId3" Type="http://schemas.openxmlformats.org/officeDocument/2006/relationships/chart" Target="../charts/chartEx3.xml"/>
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76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98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120</row>
      <rowOff>0</rowOff>
    </from>
    <ext cx="576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147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169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191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213</row>
      <rowOff>0</rowOff>
    </from>
    <ext cx="64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moveWithCells="1">
    <xdr:from>
      <xdr:col>0</xdr:col>
      <xdr:colOff>0</xdr:colOff>
      <xdr:row>318</xdr:row>
      <xdr:rowOff>0</xdr:rowOff>
    </xdr:from>
    <xdr:to>
      <xdr:col>9</xdr:col>
      <xdr:colOff>0</xdr:colOff>
      <xdr:row>348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moveWithCells="1">
    <xdr:from>
      <xdr:col>10</xdr:col>
      <xdr:colOff>0</xdr:colOff>
      <xdr:row>318</xdr:row>
      <xdr:rowOff>0</xdr:rowOff>
    </xdr:from>
    <xdr:to>
      <xdr:col>19</xdr:col>
      <xdr:colOff>0</xdr:colOff>
      <xdr:row>348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 moveWithCells="1">
    <xdr:from>
      <xdr:col>20</xdr:col>
      <xdr:colOff>0</xdr:colOff>
      <xdr:row>318</xdr:row>
      <xdr:rowOff>0</xdr:rowOff>
    </xdr:from>
    <xdr:to>
      <xdr:col>29</xdr:col>
      <xdr:colOff>0</xdr:colOff>
      <xdr:row>348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  <Relationship Id="rId2" Type="http://schemas.openxmlformats.org/officeDocument/2006/relationships/drawing" Target="../drawings/drawing3.xml"/>
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002E7D32"/>
    <outlinePr summaryBelow="1" summaryRight="1"/>
    <pageSetUpPr/>
  </sheetPr>
  <dimension ref="A1:DG5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  <col width="11" customWidth="1" min="162" max="162"/>
    <col width="11" customWidth="1" min="163" max="163"/>
    <col width="11" customWidth="1" min="164" max="164"/>
    <col width="11" customWidth="1" min="165" max="165"/>
    <col width="11" customWidth="1" min="166" max="166"/>
    <col width="11" customWidth="1" min="167" max="167"/>
    <col width="11" customWidth="1" min="168" max="168"/>
    <col width="11" customWidth="1" min="169" max="169"/>
    <col width="11" customWidth="1" min="170" max="170"/>
    <col width="11" customWidth="1" min="171" max="171"/>
    <col width="11" customWidth="1" min="172" max="172"/>
    <col width="11" customWidth="1" min="173" max="173"/>
    <col width="11" customWidth="1" min="174" max="174"/>
    <col width="11" customWidth="1" min="175" max="175"/>
    <col width="11" customWidth="1" min="176" max="176"/>
    <col width="11" customWidth="1" min="177" max="177"/>
    <col width="11" customWidth="1" min="178" max="178"/>
    <col width="11" customWidth="1" min="179" max="179"/>
    <col width="11" customWidth="1" min="180" max="180"/>
    <col width="11" customWidth="1" min="181" max="181"/>
    <col width="11" customWidth="1" min="182" max="182"/>
    <col width="11" customWidth="1" min="183" max="183"/>
    <col width="11" customWidth="1" min="184" max="184"/>
    <col width="11" customWidth="1" min="185" max="185"/>
    <col width="11" customWidth="1" min="186" max="186"/>
    <col width="11" customWidth="1" min="187" max="187"/>
    <col width="11" customWidth="1" min="188" max="188"/>
    <col width="11" customWidth="1" min="189" max="189"/>
    <col width="11" customWidth="1" min="190" max="190"/>
    <col width="11" customWidth="1" min="191" max="191"/>
    <col width="11" customWidth="1" min="192" max="192"/>
    <col width="11" customWidth="1" min="193" max="193"/>
    <col width="11" customWidth="1" min="194" max="194"/>
    <col width="11" customWidth="1" min="195" max="195"/>
    <col width="11" customWidth="1" min="196" max="196"/>
    <col width="11" customWidth="1" min="197" max="197"/>
    <col width="11" customWidth="1" min="198" max="198"/>
    <col width="11" customWidth="1" min="199" max="199"/>
    <col width="11" customWidth="1" min="200" max="200"/>
    <col width="11" customWidth="1" min="201" max="201"/>
    <col width="11" customWidth="1" min="202" max="202"/>
    <col width="11" customWidth="1" min="203" max="203"/>
    <col width="11" customWidth="1" min="204" max="204"/>
    <col width="11" customWidth="1" min="205" max="205"/>
    <col width="11" customWidth="1" min="206" max="206"/>
    <col width="11" customWidth="1" min="207" max="207"/>
    <col width="11" customWidth="1" min="208" max="208"/>
    <col width="11" customWidth="1" min="209" max="209"/>
    <col width="11" customWidth="1" min="210" max="210"/>
    <col width="11" customWidth="1" min="211" max="211"/>
    <col width="11" customWidth="1" min="212" max="212"/>
    <col width="11" customWidth="1" min="213" max="213"/>
    <col width="11" customWidth="1" min="214" max="214"/>
    <col width="11" customWidth="1" min="215" max="215"/>
    <col width="11" customWidth="1" min="216" max="216"/>
    <col width="11" customWidth="1" min="217" max="217"/>
    <col width="11" customWidth="1" min="218" max="218"/>
    <col width="11" customWidth="1" min="219" max="219"/>
    <col width="11" customWidth="1" min="220" max="220"/>
    <col width="11" customWidth="1" min="221" max="221"/>
    <col width="11" customWidth="1" min="222" max="222"/>
    <col width="11" customWidth="1" min="223" max="223"/>
    <col width="11" customWidth="1" min="224" max="224"/>
    <col width="11" customWidth="1" min="225" max="225"/>
    <col width="11" customWidth="1" min="226" max="226"/>
    <col width="11" customWidth="1" min="227" max="227"/>
    <col width="11" customWidth="1" min="228" max="228"/>
    <col width="11" customWidth="1" min="229" max="229"/>
    <col width="11" customWidth="1" min="230" max="230"/>
    <col width="11" customWidth="1" min="231" max="231"/>
    <col width="11" customWidth="1" min="232" max="232"/>
    <col width="11" customWidth="1" min="233" max="233"/>
    <col width="11" customWidth="1" min="234" max="234"/>
    <col width="11" customWidth="1" min="235" max="235"/>
    <col width="11" customWidth="1" min="236" max="236"/>
    <col width="11" customWidth="1" min="237" max="237"/>
    <col width="11" customWidth="1" min="238" max="238"/>
    <col width="11" customWidth="1" min="239" max="239"/>
    <col width="11" customWidth="1" min="240" max="240"/>
    <col width="11" customWidth="1" min="241" max="241"/>
    <col width="11" customWidth="1" min="242" max="242"/>
    <col width="11" customWidth="1" min="243" max="243"/>
    <col width="11" customWidth="1" min="244" max="244"/>
    <col width="11" customWidth="1" min="245" max="245"/>
    <col width="11" customWidth="1" min="246" max="246"/>
    <col width="11" customWidth="1" min="247" max="247"/>
    <col width="11" customWidth="1" min="248" max="248"/>
    <col width="11" customWidth="1" min="249" max="249"/>
    <col width="11" customWidth="1" min="250" max="250"/>
    <col width="11" customWidth="1" min="251" max="251"/>
    <col width="11" customWidth="1" min="252" max="252"/>
    <col width="11" customWidth="1" min="253" max="253"/>
    <col width="11" customWidth="1" min="254" max="254"/>
    <col width="11" customWidth="1" min="255" max="255"/>
    <col width="11" customWidth="1" min="256" max="256"/>
    <col width="11" customWidth="1" min="257" max="257"/>
    <col width="11" customWidth="1" min="258" max="258"/>
    <col width="11" customWidth="1" min="259" max="259"/>
    <col width="11" customWidth="1" min="260" max="260"/>
    <col width="11" customWidth="1" min="261" max="261"/>
    <col width="11" customWidth="1" min="262" max="262"/>
    <col width="11" customWidth="1" min="263" max="263"/>
    <col width="11" customWidth="1" min="264" max="264"/>
    <col width="11" customWidth="1" min="265" max="265"/>
    <col width="11" customWidth="1" min="266" max="266"/>
    <col width="11" customWidth="1" min="267" max="267"/>
    <col width="11" customWidth="1" min="268" max="268"/>
    <col width="11" customWidth="1" min="269" max="269"/>
    <col width="11" customWidth="1" min="270" max="270"/>
    <col width="11" customWidth="1" min="271" max="271"/>
    <col width="11" customWidth="1" min="272" max="272"/>
    <col width="11" customWidth="1" min="273" max="273"/>
    <col width="11" customWidth="1" min="274" max="274"/>
    <col width="11" customWidth="1" min="275" max="275"/>
    <col width="11" customWidth="1" min="276" max="276"/>
    <col width="11" customWidth="1" min="277" max="277"/>
    <col width="11" customWidth="1" min="278" max="278"/>
    <col width="11" customWidth="1" min="279" max="279"/>
    <col width="11" customWidth="1" min="280" max="280"/>
    <col width="11" customWidth="1" min="281" max="281"/>
    <col width="11" customWidth="1" min="282" max="282"/>
    <col width="11" customWidth="1" min="283" max="283"/>
    <col width="11" customWidth="1" min="284" max="284"/>
    <col width="11" customWidth="1" min="285" max="285"/>
    <col width="11" customWidth="1" min="286" max="286"/>
    <col width="11" customWidth="1" min="287" max="287"/>
    <col width="11" customWidth="1" min="288" max="288"/>
    <col width="11" customWidth="1" min="289" max="289"/>
    <col width="11" customWidth="1" min="290" max="290"/>
    <col width="11" customWidth="1" min="291" max="291"/>
    <col width="11" customWidth="1" min="292" max="292"/>
    <col width="11" customWidth="1" min="293" max="293"/>
    <col width="11" customWidth="1" min="294" max="294"/>
    <col width="11" customWidth="1" min="295" max="295"/>
    <col width="11" customWidth="1" min="296" max="296"/>
    <col width="11" customWidth="1" min="297" max="297"/>
    <col width="11" customWidth="1" min="298" max="298"/>
    <col width="11" customWidth="1" min="299" max="299"/>
  </cols>
  <sheetData>
    <row r="1" ht="26" customHeight="1">
      <c r="A1" s="1" t="inlineStr">
        <is>
          <t>P/Q LOG-LOG REGRESSION  |  D = P × [acid]^Q  |  7 experimental points × 26 elements × 2 acid systems  (H₂SO₄ loading  /  HNO₃ stripping)</t>
        </is>
      </c>
    </row>
    <row r="2" ht="14" customHeight="1">
      <c r="A2" s="2" t="inlineStr">
        <is>
          <t>INPUT</t>
        </is>
      </c>
      <c r="E2" s="3" t="inlineStr">
        <is>
          <t>CALC</t>
        </is>
      </c>
      <c r="I2" s="4" t="inlineStr">
        <is>
          <t>OUTPUT</t>
        </is>
      </c>
    </row>
    <row r="3" ht="5" customHeight="1"/>
    <row r="4" ht="18" customHeight="1">
      <c r="A4" s="5" t="inlineStr">
        <is>
          <t>LOADING DATA  (H₂SO₄ system)</t>
        </is>
      </c>
      <c r="BE4" s="6" t="inlineStr">
        <is>
          <t>STRIPPING DATA  (HNO₃ system)</t>
        </is>
      </c>
    </row>
    <row r="5" ht="34" customHeight="1">
      <c r="A5" s="7" t="inlineStr">
        <is>
          <t>Pt#</t>
        </is>
      </c>
      <c r="B5" s="7" t="inlineStr">
        <is>
          <t>H₂SO₄
(N)</t>
        </is>
      </c>
      <c r="C5" s="8" t="inlineStr">
        <is>
          <t>C_aq
Al
(ppm)</t>
        </is>
      </c>
      <c r="D5" s="8" t="inlineStr">
        <is>
          <t>C_aq
Sc
(ppm)</t>
        </is>
      </c>
      <c r="E5" s="8" t="inlineStr">
        <is>
          <t>C_aq
Fe
(ppm)</t>
        </is>
      </c>
      <c r="F5" s="8" t="inlineStr">
        <is>
          <t>C_aq
Co
(ppm)</t>
        </is>
      </c>
      <c r="G5" s="8" t="inlineStr">
        <is>
          <t>C_aq
Zn
(ppm)</t>
        </is>
      </c>
      <c r="H5" s="8" t="inlineStr">
        <is>
          <t>C_aq
Ga
(ppm)</t>
        </is>
      </c>
      <c r="I5" s="8" t="inlineStr">
        <is>
          <t>C_aq
Rb
(ppm)</t>
        </is>
      </c>
      <c r="J5" s="8" t="inlineStr">
        <is>
          <t>C_aq
Y
(ppm)</t>
        </is>
      </c>
      <c r="K5" s="8" t="inlineStr">
        <is>
          <t>C_aq
Zr
(ppm)</t>
        </is>
      </c>
      <c r="L5" s="8" t="inlineStr">
        <is>
          <t>C_aq
La
(ppm)</t>
        </is>
      </c>
      <c r="M5" s="8" t="inlineStr">
        <is>
          <t>C_aq
Ce
(ppm)</t>
        </is>
      </c>
      <c r="N5" s="8" t="inlineStr">
        <is>
          <t>C_aq
Pr
(ppm)</t>
        </is>
      </c>
      <c r="O5" s="8" t="inlineStr">
        <is>
          <t>C_aq
Nd
(ppm)</t>
        </is>
      </c>
      <c r="P5" s="8" t="inlineStr">
        <is>
          <t>C_aq
Sm
(ppm)</t>
        </is>
      </c>
      <c r="Q5" s="8" t="inlineStr">
        <is>
          <t>C_aq
Eu
(ppm)</t>
        </is>
      </c>
      <c r="R5" s="8" t="inlineStr">
        <is>
          <t>C_aq
Gd
(ppm)</t>
        </is>
      </c>
      <c r="S5" s="8" t="inlineStr">
        <is>
          <t>C_aq
Tb
(ppm)</t>
        </is>
      </c>
      <c r="T5" s="8" t="inlineStr">
        <is>
          <t>C_aq
Dy
(ppm)</t>
        </is>
      </c>
      <c r="U5" s="8" t="inlineStr">
        <is>
          <t>C_aq
Ho
(ppm)</t>
        </is>
      </c>
      <c r="V5" s="8" t="inlineStr">
        <is>
          <t>C_aq
Er
(ppm)</t>
        </is>
      </c>
      <c r="W5" s="8" t="inlineStr">
        <is>
          <t>C_aq
Tm
(ppm)</t>
        </is>
      </c>
      <c r="X5" s="8" t="inlineStr">
        <is>
          <t>C_aq
Yb
(ppm)</t>
        </is>
      </c>
      <c r="Y5" s="8" t="inlineStr">
        <is>
          <t>C_aq
Lu
(ppm)</t>
        </is>
      </c>
      <c r="Z5" s="8" t="inlineStr">
        <is>
          <t>C_aq
Hf
(ppm)</t>
        </is>
      </c>
      <c r="AA5" s="8" t="inlineStr">
        <is>
          <t>C_aq
Th
(ppm)</t>
        </is>
      </c>
      <c r="AB5" s="8" t="inlineStr">
        <is>
          <t>C_aq
U
(ppm)</t>
        </is>
      </c>
      <c r="AC5" s="8" t="inlineStr">
        <is>
          <t>C_org
Al
(ppm)</t>
        </is>
      </c>
      <c r="AD5" s="8" t="inlineStr">
        <is>
          <t>C_org
Sc
(ppm)</t>
        </is>
      </c>
      <c r="AE5" s="8" t="inlineStr">
        <is>
          <t>C_org
Fe
(ppm)</t>
        </is>
      </c>
      <c r="AF5" s="8" t="inlineStr">
        <is>
          <t>C_org
Co
(ppm)</t>
        </is>
      </c>
      <c r="AG5" s="8" t="inlineStr">
        <is>
          <t>C_org
Zn
(ppm)</t>
        </is>
      </c>
      <c r="AH5" s="8" t="inlineStr">
        <is>
          <t>C_org
Ga
(ppm)</t>
        </is>
      </c>
      <c r="AI5" s="8" t="inlineStr">
        <is>
          <t>C_org
Rb
(ppm)</t>
        </is>
      </c>
      <c r="AJ5" s="8" t="inlineStr">
        <is>
          <t>C_org
Y
(ppm)</t>
        </is>
      </c>
      <c r="AK5" s="8" t="inlineStr">
        <is>
          <t>C_org
Zr
(ppm)</t>
        </is>
      </c>
      <c r="AL5" s="8" t="inlineStr">
        <is>
          <t>C_org
La
(ppm)</t>
        </is>
      </c>
      <c r="AM5" s="8" t="inlineStr">
        <is>
          <t>C_org
Ce
(ppm)</t>
        </is>
      </c>
      <c r="AN5" s="8" t="inlineStr">
        <is>
          <t>C_org
Pr
(ppm)</t>
        </is>
      </c>
      <c r="AO5" s="8" t="inlineStr">
        <is>
          <t>C_org
Nd
(ppm)</t>
        </is>
      </c>
      <c r="AP5" s="8" t="inlineStr">
        <is>
          <t>C_org
Sm
(ppm)</t>
        </is>
      </c>
      <c r="AQ5" s="8" t="inlineStr">
        <is>
          <t>C_org
Eu
(ppm)</t>
        </is>
      </c>
      <c r="AR5" s="8" t="inlineStr">
        <is>
          <t>C_org
Gd
(ppm)</t>
        </is>
      </c>
      <c r="AS5" s="8" t="inlineStr">
        <is>
          <t>C_org
Tb
(ppm)</t>
        </is>
      </c>
      <c r="AT5" s="8" t="inlineStr">
        <is>
          <t>C_org
Dy
(ppm)</t>
        </is>
      </c>
      <c r="AU5" s="8" t="inlineStr">
        <is>
          <t>C_org
Ho
(ppm)</t>
        </is>
      </c>
      <c r="AV5" s="8" t="inlineStr">
        <is>
          <t>C_org
Er
(ppm)</t>
        </is>
      </c>
      <c r="AW5" s="8" t="inlineStr">
        <is>
          <t>C_org
Tm
(ppm)</t>
        </is>
      </c>
      <c r="AX5" s="8" t="inlineStr">
        <is>
          <t>C_org
Yb
(ppm)</t>
        </is>
      </c>
      <c r="AY5" s="8" t="inlineStr">
        <is>
          <t>C_org
Lu
(ppm)</t>
        </is>
      </c>
      <c r="AZ5" s="8" t="inlineStr">
        <is>
          <t>C_org
Hf
(ppm)</t>
        </is>
      </c>
      <c r="BA5" s="8" t="inlineStr">
        <is>
          <t>C_org
Th
(ppm)</t>
        </is>
      </c>
      <c r="BB5" s="8" t="inlineStr">
        <is>
          <t>C_org
U
(ppm)</t>
        </is>
      </c>
      <c r="BE5" s="7" t="inlineStr">
        <is>
          <t>Pt#</t>
        </is>
      </c>
      <c r="BF5" s="7" t="inlineStr">
        <is>
          <t>HNO₃
(N)</t>
        </is>
      </c>
      <c r="BG5" s="8" t="inlineStr">
        <is>
          <t>C_aq
Al
(ppm)</t>
        </is>
      </c>
      <c r="BH5" s="8" t="inlineStr">
        <is>
          <t>C_aq
Sc
(ppm)</t>
        </is>
      </c>
      <c r="BI5" s="8" t="inlineStr">
        <is>
          <t>C_aq
Fe
(ppm)</t>
        </is>
      </c>
      <c r="BJ5" s="8" t="inlineStr">
        <is>
          <t>C_aq
Co
(ppm)</t>
        </is>
      </c>
      <c r="BK5" s="8" t="inlineStr">
        <is>
          <t>C_aq
Zn
(ppm)</t>
        </is>
      </c>
      <c r="BL5" s="8" t="inlineStr">
        <is>
          <t>C_aq
Ga
(ppm)</t>
        </is>
      </c>
      <c r="BM5" s="8" t="inlineStr">
        <is>
          <t>C_aq
Rb
(ppm)</t>
        </is>
      </c>
      <c r="BN5" s="8" t="inlineStr">
        <is>
          <t>C_aq
Y
(ppm)</t>
        </is>
      </c>
      <c r="BO5" s="8" t="inlineStr">
        <is>
          <t>C_aq
Zr
(ppm)</t>
        </is>
      </c>
      <c r="BP5" s="8" t="inlineStr">
        <is>
          <t>C_aq
La
(ppm)</t>
        </is>
      </c>
      <c r="BQ5" s="8" t="inlineStr">
        <is>
          <t>C_aq
Ce
(ppm)</t>
        </is>
      </c>
      <c r="BR5" s="8" t="inlineStr">
        <is>
          <t>C_aq
Pr
(ppm)</t>
        </is>
      </c>
      <c r="BS5" s="8" t="inlineStr">
        <is>
          <t>C_aq
Nd
(ppm)</t>
        </is>
      </c>
      <c r="BT5" s="8" t="inlineStr">
        <is>
          <t>C_aq
Sm
(ppm)</t>
        </is>
      </c>
      <c r="BU5" s="8" t="inlineStr">
        <is>
          <t>C_aq
Eu
(ppm)</t>
        </is>
      </c>
      <c r="BV5" s="8" t="inlineStr">
        <is>
          <t>C_aq
Gd
(ppm)</t>
        </is>
      </c>
      <c r="BW5" s="8" t="inlineStr">
        <is>
          <t>C_aq
Tb
(ppm)</t>
        </is>
      </c>
      <c r="BX5" s="8" t="inlineStr">
        <is>
          <t>C_aq
Dy
(ppm)</t>
        </is>
      </c>
      <c r="BY5" s="8" t="inlineStr">
        <is>
          <t>C_aq
Ho
(ppm)</t>
        </is>
      </c>
      <c r="BZ5" s="8" t="inlineStr">
        <is>
          <t>C_aq
Er
(ppm)</t>
        </is>
      </c>
      <c r="CA5" s="8" t="inlineStr">
        <is>
          <t>C_aq
Tm
(ppm)</t>
        </is>
      </c>
      <c r="CB5" s="8" t="inlineStr">
        <is>
          <t>C_aq
Yb
(ppm)</t>
        </is>
      </c>
      <c r="CC5" s="8" t="inlineStr">
        <is>
          <t>C_aq
Lu
(ppm)</t>
        </is>
      </c>
      <c r="CD5" s="8" t="inlineStr">
        <is>
          <t>C_aq
Hf
(ppm)</t>
        </is>
      </c>
      <c r="CE5" s="8" t="inlineStr">
        <is>
          <t>C_aq
Th
(ppm)</t>
        </is>
      </c>
      <c r="CF5" s="8" t="inlineStr">
        <is>
          <t>C_aq
U
(ppm)</t>
        </is>
      </c>
      <c r="CG5" s="8" t="inlineStr">
        <is>
          <t>C_org
Al
(ppm)</t>
        </is>
      </c>
      <c r="CH5" s="8" t="inlineStr">
        <is>
          <t>C_org
Sc
(ppm)</t>
        </is>
      </c>
      <c r="CI5" s="8" t="inlineStr">
        <is>
          <t>C_org
Fe
(ppm)</t>
        </is>
      </c>
      <c r="CJ5" s="8" t="inlineStr">
        <is>
          <t>C_org
Co
(ppm)</t>
        </is>
      </c>
      <c r="CK5" s="8" t="inlineStr">
        <is>
          <t>C_org
Zn
(ppm)</t>
        </is>
      </c>
      <c r="CL5" s="8" t="inlineStr">
        <is>
          <t>C_org
Ga
(ppm)</t>
        </is>
      </c>
      <c r="CM5" s="8" t="inlineStr">
        <is>
          <t>C_org
Rb
(ppm)</t>
        </is>
      </c>
      <c r="CN5" s="8" t="inlineStr">
        <is>
          <t>C_org
Y
(ppm)</t>
        </is>
      </c>
      <c r="CO5" s="8" t="inlineStr">
        <is>
          <t>C_org
Zr
(ppm)</t>
        </is>
      </c>
      <c r="CP5" s="8" t="inlineStr">
        <is>
          <t>C_org
La
(ppm)</t>
        </is>
      </c>
      <c r="CQ5" s="8" t="inlineStr">
        <is>
          <t>C_org
Ce
(ppm)</t>
        </is>
      </c>
      <c r="CR5" s="8" t="inlineStr">
        <is>
          <t>C_org
Pr
(ppm)</t>
        </is>
      </c>
      <c r="CS5" s="8" t="inlineStr">
        <is>
          <t>C_org
Nd
(ppm)</t>
        </is>
      </c>
      <c r="CT5" s="8" t="inlineStr">
        <is>
          <t>C_org
Sm
(ppm)</t>
        </is>
      </c>
      <c r="CU5" s="8" t="inlineStr">
        <is>
          <t>C_org
Eu
(ppm)</t>
        </is>
      </c>
      <c r="CV5" s="8" t="inlineStr">
        <is>
          <t>C_org
Gd
(ppm)</t>
        </is>
      </c>
      <c r="CW5" s="8" t="inlineStr">
        <is>
          <t>C_org
Tb
(ppm)</t>
        </is>
      </c>
      <c r="CX5" s="8" t="inlineStr">
        <is>
          <t>C_org
Dy
(ppm)</t>
        </is>
      </c>
      <c r="CY5" s="8" t="inlineStr">
        <is>
          <t>C_org
Ho
(ppm)</t>
        </is>
      </c>
      <c r="CZ5" s="8" t="inlineStr">
        <is>
          <t>C_org
Er
(ppm)</t>
        </is>
      </c>
      <c r="DA5" s="8" t="inlineStr">
        <is>
          <t>C_org
Tm
(ppm)</t>
        </is>
      </c>
      <c r="DB5" s="8" t="inlineStr">
        <is>
          <t>C_org
Yb
(ppm)</t>
        </is>
      </c>
      <c r="DC5" s="8" t="inlineStr">
        <is>
          <t>C_org
Lu
(ppm)</t>
        </is>
      </c>
      <c r="DD5" s="8" t="inlineStr">
        <is>
          <t>C_org
Hf
(ppm)</t>
        </is>
      </c>
      <c r="DE5" s="8" t="inlineStr">
        <is>
          <t>C_org
Th
(ppm)</t>
        </is>
      </c>
      <c r="DF5" s="8" t="inlineStr">
        <is>
          <t>C_org
U
(ppm)</t>
        </is>
      </c>
    </row>
    <row r="6" ht="15" customHeight="1">
      <c r="A6" s="9" t="n">
        <v>1</v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E6" s="9" t="n">
        <v>1</v>
      </c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</row>
    <row r="7" ht="15" customHeight="1">
      <c r="A7" s="9" t="n">
        <v>2</v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E7" s="9" t="n">
        <v>2</v>
      </c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</row>
    <row r="8" ht="15" customHeight="1">
      <c r="A8" s="9" t="n">
        <v>3</v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E8" s="9" t="n">
        <v>3</v>
      </c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</row>
    <row r="9" ht="15" customHeight="1">
      <c r="A9" s="9" t="n">
        <v>4</v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E9" s="9" t="n">
        <v>4</v>
      </c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</row>
    <row r="10" ht="15" customHeight="1">
      <c r="A10" s="9" t="n">
        <v>5</v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E10" s="9" t="n">
        <v>5</v>
      </c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</row>
    <row r="11" ht="15" customHeight="1">
      <c r="A11" s="9" t="n">
        <v>6</v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E11" s="9" t="n">
        <v>6</v>
      </c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</row>
    <row r="12" ht="15" customHeight="1">
      <c r="A12" s="9" t="n">
        <v>7</v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E12" s="9" t="n">
        <v>7</v>
      </c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</row>
    <row r="14" ht="18" customHeight="1">
      <c r="A14" s="7" t="inlineStr">
        <is>
          <t>D VALUES  (C_org / C_aq)  — Loading</t>
        </is>
      </c>
      <c r="BE14" s="11" t="inlineStr">
        <is>
          <t>D VALUES  (C_org / C_aq)  — Stripping</t>
        </is>
      </c>
    </row>
    <row r="15" ht="16" customHeight="1">
      <c r="A15" s="7" t="inlineStr">
        <is>
          <t>Pt#</t>
        </is>
      </c>
      <c r="B15" s="8" t="inlineStr">
        <is>
          <t>D_Al</t>
        </is>
      </c>
      <c r="C15" s="8" t="inlineStr">
        <is>
          <t>D_Sc</t>
        </is>
      </c>
      <c r="D15" s="8" t="inlineStr">
        <is>
          <t>D_Fe</t>
        </is>
      </c>
      <c r="E15" s="8" t="inlineStr">
        <is>
          <t>D_Co</t>
        </is>
      </c>
      <c r="F15" s="8" t="inlineStr">
        <is>
          <t>D_Zn</t>
        </is>
      </c>
      <c r="G15" s="8" t="inlineStr">
        <is>
          <t>D_Ga</t>
        </is>
      </c>
      <c r="H15" s="8" t="inlineStr">
        <is>
          <t>D_Rb</t>
        </is>
      </c>
      <c r="I15" s="8" t="inlineStr">
        <is>
          <t>D_Y</t>
        </is>
      </c>
      <c r="J15" s="8" t="inlineStr">
        <is>
          <t>D_Zr</t>
        </is>
      </c>
      <c r="K15" s="8" t="inlineStr">
        <is>
          <t>D_La</t>
        </is>
      </c>
      <c r="L15" s="8" t="inlineStr">
        <is>
          <t>D_Ce</t>
        </is>
      </c>
      <c r="M15" s="8" t="inlineStr">
        <is>
          <t>D_Pr</t>
        </is>
      </c>
      <c r="N15" s="8" t="inlineStr">
        <is>
          <t>D_Nd</t>
        </is>
      </c>
      <c r="O15" s="8" t="inlineStr">
        <is>
          <t>D_Sm</t>
        </is>
      </c>
      <c r="P15" s="8" t="inlineStr">
        <is>
          <t>D_Eu</t>
        </is>
      </c>
      <c r="Q15" s="8" t="inlineStr">
        <is>
          <t>D_Gd</t>
        </is>
      </c>
      <c r="R15" s="8" t="inlineStr">
        <is>
          <t>D_Tb</t>
        </is>
      </c>
      <c r="S15" s="8" t="inlineStr">
        <is>
          <t>D_Dy</t>
        </is>
      </c>
      <c r="T15" s="8" t="inlineStr">
        <is>
          <t>D_Ho</t>
        </is>
      </c>
      <c r="U15" s="8" t="inlineStr">
        <is>
          <t>D_Er</t>
        </is>
      </c>
      <c r="V15" s="8" t="inlineStr">
        <is>
          <t>D_Tm</t>
        </is>
      </c>
      <c r="W15" s="8" t="inlineStr">
        <is>
          <t>D_Yb</t>
        </is>
      </c>
      <c r="X15" s="8" t="inlineStr">
        <is>
          <t>D_Lu</t>
        </is>
      </c>
      <c r="Y15" s="8" t="inlineStr">
        <is>
          <t>D_Hf</t>
        </is>
      </c>
      <c r="Z15" s="8" t="inlineStr">
        <is>
          <t>D_Th</t>
        </is>
      </c>
      <c r="AA15" s="8" t="inlineStr">
        <is>
          <t>D_U</t>
        </is>
      </c>
      <c r="BE15" s="7" t="inlineStr">
        <is>
          <t>Pt#</t>
        </is>
      </c>
      <c r="BF15" s="8" t="inlineStr">
        <is>
          <t>D_Al</t>
        </is>
      </c>
      <c r="BG15" s="8" t="inlineStr">
        <is>
          <t>D_Sc</t>
        </is>
      </c>
      <c r="BH15" s="8" t="inlineStr">
        <is>
          <t>D_Fe</t>
        </is>
      </c>
      <c r="BI15" s="8" t="inlineStr">
        <is>
          <t>D_Co</t>
        </is>
      </c>
      <c r="BJ15" s="8" t="inlineStr">
        <is>
          <t>D_Zn</t>
        </is>
      </c>
      <c r="BK15" s="8" t="inlineStr">
        <is>
          <t>D_Ga</t>
        </is>
      </c>
      <c r="BL15" s="8" t="inlineStr">
        <is>
          <t>D_Rb</t>
        </is>
      </c>
      <c r="BM15" s="8" t="inlineStr">
        <is>
          <t>D_Y</t>
        </is>
      </c>
      <c r="BN15" s="8" t="inlineStr">
        <is>
          <t>D_Zr</t>
        </is>
      </c>
      <c r="BO15" s="8" t="inlineStr">
        <is>
          <t>D_La</t>
        </is>
      </c>
      <c r="BP15" s="8" t="inlineStr">
        <is>
          <t>D_Ce</t>
        </is>
      </c>
      <c r="BQ15" s="8" t="inlineStr">
        <is>
          <t>D_Pr</t>
        </is>
      </c>
      <c r="BR15" s="8" t="inlineStr">
        <is>
          <t>D_Nd</t>
        </is>
      </c>
      <c r="BS15" s="8" t="inlineStr">
        <is>
          <t>D_Sm</t>
        </is>
      </c>
      <c r="BT15" s="8" t="inlineStr">
        <is>
          <t>D_Eu</t>
        </is>
      </c>
      <c r="BU15" s="8" t="inlineStr">
        <is>
          <t>D_Gd</t>
        </is>
      </c>
      <c r="BV15" s="8" t="inlineStr">
        <is>
          <t>D_Tb</t>
        </is>
      </c>
      <c r="BW15" s="8" t="inlineStr">
        <is>
          <t>D_Dy</t>
        </is>
      </c>
      <c r="BX15" s="8" t="inlineStr">
        <is>
          <t>D_Ho</t>
        </is>
      </c>
      <c r="BY15" s="8" t="inlineStr">
        <is>
          <t>D_Er</t>
        </is>
      </c>
      <c r="BZ15" s="8" t="inlineStr">
        <is>
          <t>D_Tm</t>
        </is>
      </c>
      <c r="CA15" s="8" t="inlineStr">
        <is>
          <t>D_Yb</t>
        </is>
      </c>
      <c r="CB15" s="8" t="inlineStr">
        <is>
          <t>D_Lu</t>
        </is>
      </c>
      <c r="CC15" s="8" t="inlineStr">
        <is>
          <t>D_Hf</t>
        </is>
      </c>
      <c r="CD15" s="8" t="inlineStr">
        <is>
          <t>D_Th</t>
        </is>
      </c>
      <c r="CE15" s="8" t="inlineStr">
        <is>
          <t>D_U</t>
        </is>
      </c>
    </row>
    <row r="16" ht="15" customHeight="1">
      <c r="A16" s="9" t="n">
        <v>1</v>
      </c>
      <c r="B16" s="12">
        <f>IFERROR(IF(OR(C6="",AC6="",VALUE(C6)=0),"",AC6/C6),"N/A")</f>
        <v/>
      </c>
      <c r="C16" s="12">
        <f>IFERROR(IF(OR(D6="",AD6="",VALUE(D6)=0),"",AD6/D6),"N/A")</f>
        <v/>
      </c>
      <c r="D16" s="12">
        <f>IFERROR(IF(OR(E6="",AE6="",VALUE(E6)=0),"",AE6/E6),"N/A")</f>
        <v/>
      </c>
      <c r="E16" s="12">
        <f>IFERROR(IF(OR(F6="",AF6="",VALUE(F6)=0),"",AF6/F6),"N/A")</f>
        <v/>
      </c>
      <c r="F16" s="12">
        <f>IFERROR(IF(OR(G6="",AG6="",VALUE(G6)=0),"",AG6/G6),"N/A")</f>
        <v/>
      </c>
      <c r="G16" s="12">
        <f>IFERROR(IF(OR(H6="",AH6="",VALUE(H6)=0),"",AH6/H6),"N/A")</f>
        <v/>
      </c>
      <c r="H16" s="12">
        <f>IFERROR(IF(OR(I6="",AI6="",VALUE(I6)=0),"",AI6/I6),"N/A")</f>
        <v/>
      </c>
      <c r="I16" s="12">
        <f>IFERROR(IF(OR(J6="",AJ6="",VALUE(J6)=0),"",AJ6/J6),"N/A")</f>
        <v/>
      </c>
      <c r="J16" s="12">
        <f>IFERROR(IF(OR(K6="",AK6="",VALUE(K6)=0),"",AK6/K6),"N/A")</f>
        <v/>
      </c>
      <c r="K16" s="12">
        <f>IFERROR(IF(OR(L6="",AL6="",VALUE(L6)=0),"",AL6/L6),"N/A")</f>
        <v/>
      </c>
      <c r="L16" s="12">
        <f>IFERROR(IF(OR(M6="",AM6="",VALUE(M6)=0),"",AM6/M6),"N/A")</f>
        <v/>
      </c>
      <c r="M16" s="12">
        <f>IFERROR(IF(OR(N6="",AN6="",VALUE(N6)=0),"",AN6/N6),"N/A")</f>
        <v/>
      </c>
      <c r="N16" s="12">
        <f>IFERROR(IF(OR(O6="",AO6="",VALUE(O6)=0),"",AO6/O6),"N/A")</f>
        <v/>
      </c>
      <c r="O16" s="12">
        <f>IFERROR(IF(OR(P6="",AP6="",VALUE(P6)=0),"",AP6/P6),"N/A")</f>
        <v/>
      </c>
      <c r="P16" s="12">
        <f>IFERROR(IF(OR(Q6="",AQ6="",VALUE(Q6)=0),"",AQ6/Q6),"N/A")</f>
        <v/>
      </c>
      <c r="Q16" s="12">
        <f>IFERROR(IF(OR(R6="",AR6="",VALUE(R6)=0),"",AR6/R6),"N/A")</f>
        <v/>
      </c>
      <c r="R16" s="12">
        <f>IFERROR(IF(OR(S6="",AS6="",VALUE(S6)=0),"",AS6/S6),"N/A")</f>
        <v/>
      </c>
      <c r="S16" s="12">
        <f>IFERROR(IF(OR(T6="",AT6="",VALUE(T6)=0),"",AT6/T6),"N/A")</f>
        <v/>
      </c>
      <c r="T16" s="12">
        <f>IFERROR(IF(OR(U6="",AU6="",VALUE(U6)=0),"",AU6/U6),"N/A")</f>
        <v/>
      </c>
      <c r="U16" s="12">
        <f>IFERROR(IF(OR(V6="",AV6="",VALUE(V6)=0),"",AV6/V6),"N/A")</f>
        <v/>
      </c>
      <c r="V16" s="12">
        <f>IFERROR(IF(OR(W6="",AW6="",VALUE(W6)=0),"",AW6/W6),"N/A")</f>
        <v/>
      </c>
      <c r="W16" s="12">
        <f>IFERROR(IF(OR(X6="",AX6="",VALUE(X6)=0),"",AX6/X6),"N/A")</f>
        <v/>
      </c>
      <c r="X16" s="12">
        <f>IFERROR(IF(OR(Y6="",AY6="",VALUE(Y6)=0),"",AY6/Y6),"N/A")</f>
        <v/>
      </c>
      <c r="Y16" s="12">
        <f>IFERROR(IF(OR(Z6="",AZ6="",VALUE(Z6)=0),"",AZ6/Z6),"N/A")</f>
        <v/>
      </c>
      <c r="Z16" s="12">
        <f>IFERROR(IF(OR(AA6="",BA6="",VALUE(AA6)=0),"",BA6/AA6),"N/A")</f>
        <v/>
      </c>
      <c r="AA16" s="12">
        <f>IFERROR(IF(OR(AB6="",BB6="",VALUE(AB6)=0),"",BB6/AB6),"N/A")</f>
        <v/>
      </c>
      <c r="BE16" s="9" t="n">
        <v>1</v>
      </c>
      <c r="BF16" s="12">
        <f>IFERROR(IF(OR(BG6="",CG6="",VALUE(BG6)=0),"",CG6/BG6),"N/A")</f>
        <v/>
      </c>
      <c r="BG16" s="12">
        <f>IFERROR(IF(OR(BH6="",CH6="",VALUE(BH6)=0),"",CH6/BH6),"N/A")</f>
        <v/>
      </c>
      <c r="BH16" s="12">
        <f>IFERROR(IF(OR(BI6="",CI6="",VALUE(BI6)=0),"",CI6/BI6),"N/A")</f>
        <v/>
      </c>
      <c r="BI16" s="12">
        <f>IFERROR(IF(OR(BJ6="",CJ6="",VALUE(BJ6)=0),"",CJ6/BJ6),"N/A")</f>
        <v/>
      </c>
      <c r="BJ16" s="12">
        <f>IFERROR(IF(OR(BK6="",CK6="",VALUE(BK6)=0),"",CK6/BK6),"N/A")</f>
        <v/>
      </c>
      <c r="BK16" s="12">
        <f>IFERROR(IF(OR(BL6="",CL6="",VALUE(BL6)=0),"",CL6/BL6),"N/A")</f>
        <v/>
      </c>
      <c r="BL16" s="12">
        <f>IFERROR(IF(OR(BM6="",CM6="",VALUE(BM6)=0),"",CM6/BM6),"N/A")</f>
        <v/>
      </c>
      <c r="BM16" s="12">
        <f>IFERROR(IF(OR(BN6="",CN6="",VALUE(BN6)=0),"",CN6/BN6),"N/A")</f>
        <v/>
      </c>
      <c r="BN16" s="12">
        <f>IFERROR(IF(OR(BO6="",CO6="",VALUE(BO6)=0),"",CO6/BO6),"N/A")</f>
        <v/>
      </c>
      <c r="BO16" s="12">
        <f>IFERROR(IF(OR(BP6="",CP6="",VALUE(BP6)=0),"",CP6/BP6),"N/A")</f>
        <v/>
      </c>
      <c r="BP16" s="12">
        <f>IFERROR(IF(OR(BQ6="",CQ6="",VALUE(BQ6)=0),"",CQ6/BQ6),"N/A")</f>
        <v/>
      </c>
      <c r="BQ16" s="12">
        <f>IFERROR(IF(OR(BR6="",CR6="",VALUE(BR6)=0),"",CR6/BR6),"N/A")</f>
        <v/>
      </c>
      <c r="BR16" s="12">
        <f>IFERROR(IF(OR(BS6="",CS6="",VALUE(BS6)=0),"",CS6/BS6),"N/A")</f>
        <v/>
      </c>
      <c r="BS16" s="12">
        <f>IFERROR(IF(OR(BT6="",CT6="",VALUE(BT6)=0),"",CT6/BT6),"N/A")</f>
        <v/>
      </c>
      <c r="BT16" s="12">
        <f>IFERROR(IF(OR(BU6="",CU6="",VALUE(BU6)=0),"",CU6/BU6),"N/A")</f>
        <v/>
      </c>
      <c r="BU16" s="12">
        <f>IFERROR(IF(OR(BV6="",CV6="",VALUE(BV6)=0),"",CV6/BV6),"N/A")</f>
        <v/>
      </c>
      <c r="BV16" s="12">
        <f>IFERROR(IF(OR(BW6="",CW6="",VALUE(BW6)=0),"",CW6/BW6),"N/A")</f>
        <v/>
      </c>
      <c r="BW16" s="12">
        <f>IFERROR(IF(OR(BX6="",CX6="",VALUE(BX6)=0),"",CX6/BX6),"N/A")</f>
        <v/>
      </c>
      <c r="BX16" s="12">
        <f>IFERROR(IF(OR(BY6="",CY6="",VALUE(BY6)=0),"",CY6/BY6),"N/A")</f>
        <v/>
      </c>
      <c r="BY16" s="12">
        <f>IFERROR(IF(OR(BZ6="",CZ6="",VALUE(BZ6)=0),"",CZ6/BZ6),"N/A")</f>
        <v/>
      </c>
      <c r="BZ16" s="12">
        <f>IFERROR(IF(OR(CA6="",DA6="",VALUE(CA6)=0),"",DA6/CA6),"N/A")</f>
        <v/>
      </c>
      <c r="CA16" s="12">
        <f>IFERROR(IF(OR(CB6="",DB6="",VALUE(CB6)=0),"",DB6/CB6),"N/A")</f>
        <v/>
      </c>
      <c r="CB16" s="12">
        <f>IFERROR(IF(OR(CC6="",DC6="",VALUE(CC6)=0),"",DC6/CC6),"N/A")</f>
        <v/>
      </c>
      <c r="CC16" s="12">
        <f>IFERROR(IF(OR(CD6="",DD6="",VALUE(CD6)=0),"",DD6/CD6),"N/A")</f>
        <v/>
      </c>
      <c r="CD16" s="12">
        <f>IFERROR(IF(OR(CE6="",DE6="",VALUE(CE6)=0),"",DE6/CE6),"N/A")</f>
        <v/>
      </c>
      <c r="CE16" s="12">
        <f>IFERROR(IF(OR(CF6="",DF6="",VALUE(CF6)=0),"",DF6/CF6),"N/A")</f>
        <v/>
      </c>
    </row>
    <row r="17" ht="15" customHeight="1">
      <c r="A17" s="9" t="n">
        <v>2</v>
      </c>
      <c r="B17" s="12">
        <f>IFERROR(IF(OR(C7="",AC7="",VALUE(C7)=0),"",AC7/C7),"N/A")</f>
        <v/>
      </c>
      <c r="C17" s="12">
        <f>IFERROR(IF(OR(D7="",AD7="",VALUE(D7)=0),"",AD7/D7),"N/A")</f>
        <v/>
      </c>
      <c r="D17" s="12">
        <f>IFERROR(IF(OR(E7="",AE7="",VALUE(E7)=0),"",AE7/E7),"N/A")</f>
        <v/>
      </c>
      <c r="E17" s="12">
        <f>IFERROR(IF(OR(F7="",AF7="",VALUE(F7)=0),"",AF7/F7),"N/A")</f>
        <v/>
      </c>
      <c r="F17" s="12">
        <f>IFERROR(IF(OR(G7="",AG7="",VALUE(G7)=0),"",AG7/G7),"N/A")</f>
        <v/>
      </c>
      <c r="G17" s="12">
        <f>IFERROR(IF(OR(H7="",AH7="",VALUE(H7)=0),"",AH7/H7),"N/A")</f>
        <v/>
      </c>
      <c r="H17" s="12">
        <f>IFERROR(IF(OR(I7="",AI7="",VALUE(I7)=0),"",AI7/I7),"N/A")</f>
        <v/>
      </c>
      <c r="I17" s="12">
        <f>IFERROR(IF(OR(J7="",AJ7="",VALUE(J7)=0),"",AJ7/J7),"N/A")</f>
        <v/>
      </c>
      <c r="J17" s="12">
        <f>IFERROR(IF(OR(K7="",AK7="",VALUE(K7)=0),"",AK7/K7),"N/A")</f>
        <v/>
      </c>
      <c r="K17" s="12">
        <f>IFERROR(IF(OR(L7="",AL7="",VALUE(L7)=0),"",AL7/L7),"N/A")</f>
        <v/>
      </c>
      <c r="L17" s="12">
        <f>IFERROR(IF(OR(M7="",AM7="",VALUE(M7)=0),"",AM7/M7),"N/A")</f>
        <v/>
      </c>
      <c r="M17" s="12">
        <f>IFERROR(IF(OR(N7="",AN7="",VALUE(N7)=0),"",AN7/N7),"N/A")</f>
        <v/>
      </c>
      <c r="N17" s="12">
        <f>IFERROR(IF(OR(O7="",AO7="",VALUE(O7)=0),"",AO7/O7),"N/A")</f>
        <v/>
      </c>
      <c r="O17" s="12">
        <f>IFERROR(IF(OR(P7="",AP7="",VALUE(P7)=0),"",AP7/P7),"N/A")</f>
        <v/>
      </c>
      <c r="P17" s="12">
        <f>IFERROR(IF(OR(Q7="",AQ7="",VALUE(Q7)=0),"",AQ7/Q7),"N/A")</f>
        <v/>
      </c>
      <c r="Q17" s="12">
        <f>IFERROR(IF(OR(R7="",AR7="",VALUE(R7)=0),"",AR7/R7),"N/A")</f>
        <v/>
      </c>
      <c r="R17" s="12">
        <f>IFERROR(IF(OR(S7="",AS7="",VALUE(S7)=0),"",AS7/S7),"N/A")</f>
        <v/>
      </c>
      <c r="S17" s="12">
        <f>IFERROR(IF(OR(T7="",AT7="",VALUE(T7)=0),"",AT7/T7),"N/A")</f>
        <v/>
      </c>
      <c r="T17" s="12">
        <f>IFERROR(IF(OR(U7="",AU7="",VALUE(U7)=0),"",AU7/U7),"N/A")</f>
        <v/>
      </c>
      <c r="U17" s="12">
        <f>IFERROR(IF(OR(V7="",AV7="",VALUE(V7)=0),"",AV7/V7),"N/A")</f>
        <v/>
      </c>
      <c r="V17" s="12">
        <f>IFERROR(IF(OR(W7="",AW7="",VALUE(W7)=0),"",AW7/W7),"N/A")</f>
        <v/>
      </c>
      <c r="W17" s="12">
        <f>IFERROR(IF(OR(X7="",AX7="",VALUE(X7)=0),"",AX7/X7),"N/A")</f>
        <v/>
      </c>
      <c r="X17" s="12">
        <f>IFERROR(IF(OR(Y7="",AY7="",VALUE(Y7)=0),"",AY7/Y7),"N/A")</f>
        <v/>
      </c>
      <c r="Y17" s="12">
        <f>IFERROR(IF(OR(Z7="",AZ7="",VALUE(Z7)=0),"",AZ7/Z7),"N/A")</f>
        <v/>
      </c>
      <c r="Z17" s="12">
        <f>IFERROR(IF(OR(AA7="",BA7="",VALUE(AA7)=0),"",BA7/AA7),"N/A")</f>
        <v/>
      </c>
      <c r="AA17" s="12">
        <f>IFERROR(IF(OR(AB7="",BB7="",VALUE(AB7)=0),"",BB7/AB7),"N/A")</f>
        <v/>
      </c>
      <c r="BE17" s="9" t="n">
        <v>2</v>
      </c>
      <c r="BF17" s="12">
        <f>IFERROR(IF(OR(BG7="",CG7="",VALUE(BG7)=0),"",CG7/BG7),"N/A")</f>
        <v/>
      </c>
      <c r="BG17" s="12">
        <f>IFERROR(IF(OR(BH7="",CH7="",VALUE(BH7)=0),"",CH7/BH7),"N/A")</f>
        <v/>
      </c>
      <c r="BH17" s="12">
        <f>IFERROR(IF(OR(BI7="",CI7="",VALUE(BI7)=0),"",CI7/BI7),"N/A")</f>
        <v/>
      </c>
      <c r="BI17" s="12">
        <f>IFERROR(IF(OR(BJ7="",CJ7="",VALUE(BJ7)=0),"",CJ7/BJ7),"N/A")</f>
        <v/>
      </c>
      <c r="BJ17" s="12">
        <f>IFERROR(IF(OR(BK7="",CK7="",VALUE(BK7)=0),"",CK7/BK7),"N/A")</f>
        <v/>
      </c>
      <c r="BK17" s="12">
        <f>IFERROR(IF(OR(BL7="",CL7="",VALUE(BL7)=0),"",CL7/BL7),"N/A")</f>
        <v/>
      </c>
      <c r="BL17" s="12">
        <f>IFERROR(IF(OR(BM7="",CM7="",VALUE(BM7)=0),"",CM7/BM7),"N/A")</f>
        <v/>
      </c>
      <c r="BM17" s="12">
        <f>IFERROR(IF(OR(BN7="",CN7="",VALUE(BN7)=0),"",CN7/BN7),"N/A")</f>
        <v/>
      </c>
      <c r="BN17" s="12">
        <f>IFERROR(IF(OR(BO7="",CO7="",VALUE(BO7)=0),"",CO7/BO7),"N/A")</f>
        <v/>
      </c>
      <c r="BO17" s="12">
        <f>IFERROR(IF(OR(BP7="",CP7="",VALUE(BP7)=0),"",CP7/BP7),"N/A")</f>
        <v/>
      </c>
      <c r="BP17" s="12">
        <f>IFERROR(IF(OR(BQ7="",CQ7="",VALUE(BQ7)=0),"",CQ7/BQ7),"N/A")</f>
        <v/>
      </c>
      <c r="BQ17" s="12">
        <f>IFERROR(IF(OR(BR7="",CR7="",VALUE(BR7)=0),"",CR7/BR7),"N/A")</f>
        <v/>
      </c>
      <c r="BR17" s="12">
        <f>IFERROR(IF(OR(BS7="",CS7="",VALUE(BS7)=0),"",CS7/BS7),"N/A")</f>
        <v/>
      </c>
      <c r="BS17" s="12">
        <f>IFERROR(IF(OR(BT7="",CT7="",VALUE(BT7)=0),"",CT7/BT7),"N/A")</f>
        <v/>
      </c>
      <c r="BT17" s="12">
        <f>IFERROR(IF(OR(BU7="",CU7="",VALUE(BU7)=0),"",CU7/BU7),"N/A")</f>
        <v/>
      </c>
      <c r="BU17" s="12">
        <f>IFERROR(IF(OR(BV7="",CV7="",VALUE(BV7)=0),"",CV7/BV7),"N/A")</f>
        <v/>
      </c>
      <c r="BV17" s="12">
        <f>IFERROR(IF(OR(BW7="",CW7="",VALUE(BW7)=0),"",CW7/BW7),"N/A")</f>
        <v/>
      </c>
      <c r="BW17" s="12">
        <f>IFERROR(IF(OR(BX7="",CX7="",VALUE(BX7)=0),"",CX7/BX7),"N/A")</f>
        <v/>
      </c>
      <c r="BX17" s="12">
        <f>IFERROR(IF(OR(BY7="",CY7="",VALUE(BY7)=0),"",CY7/BY7),"N/A")</f>
        <v/>
      </c>
      <c r="BY17" s="12">
        <f>IFERROR(IF(OR(BZ7="",CZ7="",VALUE(BZ7)=0),"",CZ7/BZ7),"N/A")</f>
        <v/>
      </c>
      <c r="BZ17" s="12">
        <f>IFERROR(IF(OR(CA7="",DA7="",VALUE(CA7)=0),"",DA7/CA7),"N/A")</f>
        <v/>
      </c>
      <c r="CA17" s="12">
        <f>IFERROR(IF(OR(CB7="",DB7="",VALUE(CB7)=0),"",DB7/CB7),"N/A")</f>
        <v/>
      </c>
      <c r="CB17" s="12">
        <f>IFERROR(IF(OR(CC7="",DC7="",VALUE(CC7)=0),"",DC7/CC7),"N/A")</f>
        <v/>
      </c>
      <c r="CC17" s="12">
        <f>IFERROR(IF(OR(CD7="",DD7="",VALUE(CD7)=0),"",DD7/CD7),"N/A")</f>
        <v/>
      </c>
      <c r="CD17" s="12">
        <f>IFERROR(IF(OR(CE7="",DE7="",VALUE(CE7)=0),"",DE7/CE7),"N/A")</f>
        <v/>
      </c>
      <c r="CE17" s="12">
        <f>IFERROR(IF(OR(CF7="",DF7="",VALUE(CF7)=0),"",DF7/CF7),"N/A")</f>
        <v/>
      </c>
    </row>
    <row r="18" ht="15" customHeight="1">
      <c r="A18" s="9" t="n">
        <v>3</v>
      </c>
      <c r="B18" s="12">
        <f>IFERROR(IF(OR(C8="",AC8="",VALUE(C8)=0),"",AC8/C8),"N/A")</f>
        <v/>
      </c>
      <c r="C18" s="12">
        <f>IFERROR(IF(OR(D8="",AD8="",VALUE(D8)=0),"",AD8/D8),"N/A")</f>
        <v/>
      </c>
      <c r="D18" s="12">
        <f>IFERROR(IF(OR(E8="",AE8="",VALUE(E8)=0),"",AE8/E8),"N/A")</f>
        <v/>
      </c>
      <c r="E18" s="12">
        <f>IFERROR(IF(OR(F8="",AF8="",VALUE(F8)=0),"",AF8/F8),"N/A")</f>
        <v/>
      </c>
      <c r="F18" s="12">
        <f>IFERROR(IF(OR(G8="",AG8="",VALUE(G8)=0),"",AG8/G8),"N/A")</f>
        <v/>
      </c>
      <c r="G18" s="12">
        <f>IFERROR(IF(OR(H8="",AH8="",VALUE(H8)=0),"",AH8/H8),"N/A")</f>
        <v/>
      </c>
      <c r="H18" s="12">
        <f>IFERROR(IF(OR(I8="",AI8="",VALUE(I8)=0),"",AI8/I8),"N/A")</f>
        <v/>
      </c>
      <c r="I18" s="12">
        <f>IFERROR(IF(OR(J8="",AJ8="",VALUE(J8)=0),"",AJ8/J8),"N/A")</f>
        <v/>
      </c>
      <c r="J18" s="12">
        <f>IFERROR(IF(OR(K8="",AK8="",VALUE(K8)=0),"",AK8/K8),"N/A")</f>
        <v/>
      </c>
      <c r="K18" s="12">
        <f>IFERROR(IF(OR(L8="",AL8="",VALUE(L8)=0),"",AL8/L8),"N/A")</f>
        <v/>
      </c>
      <c r="L18" s="12">
        <f>IFERROR(IF(OR(M8="",AM8="",VALUE(M8)=0),"",AM8/M8),"N/A")</f>
        <v/>
      </c>
      <c r="M18" s="12">
        <f>IFERROR(IF(OR(N8="",AN8="",VALUE(N8)=0),"",AN8/N8),"N/A")</f>
        <v/>
      </c>
      <c r="N18" s="12">
        <f>IFERROR(IF(OR(O8="",AO8="",VALUE(O8)=0),"",AO8/O8),"N/A")</f>
        <v/>
      </c>
      <c r="O18" s="12">
        <f>IFERROR(IF(OR(P8="",AP8="",VALUE(P8)=0),"",AP8/P8),"N/A")</f>
        <v/>
      </c>
      <c r="P18" s="12">
        <f>IFERROR(IF(OR(Q8="",AQ8="",VALUE(Q8)=0),"",AQ8/Q8),"N/A")</f>
        <v/>
      </c>
      <c r="Q18" s="12">
        <f>IFERROR(IF(OR(R8="",AR8="",VALUE(R8)=0),"",AR8/R8),"N/A")</f>
        <v/>
      </c>
      <c r="R18" s="12">
        <f>IFERROR(IF(OR(S8="",AS8="",VALUE(S8)=0),"",AS8/S8),"N/A")</f>
        <v/>
      </c>
      <c r="S18" s="12">
        <f>IFERROR(IF(OR(T8="",AT8="",VALUE(T8)=0),"",AT8/T8),"N/A")</f>
        <v/>
      </c>
      <c r="T18" s="12">
        <f>IFERROR(IF(OR(U8="",AU8="",VALUE(U8)=0),"",AU8/U8),"N/A")</f>
        <v/>
      </c>
      <c r="U18" s="12">
        <f>IFERROR(IF(OR(V8="",AV8="",VALUE(V8)=0),"",AV8/V8),"N/A")</f>
        <v/>
      </c>
      <c r="V18" s="12">
        <f>IFERROR(IF(OR(W8="",AW8="",VALUE(W8)=0),"",AW8/W8),"N/A")</f>
        <v/>
      </c>
      <c r="W18" s="12">
        <f>IFERROR(IF(OR(X8="",AX8="",VALUE(X8)=0),"",AX8/X8),"N/A")</f>
        <v/>
      </c>
      <c r="X18" s="12">
        <f>IFERROR(IF(OR(Y8="",AY8="",VALUE(Y8)=0),"",AY8/Y8),"N/A")</f>
        <v/>
      </c>
      <c r="Y18" s="12">
        <f>IFERROR(IF(OR(Z8="",AZ8="",VALUE(Z8)=0),"",AZ8/Z8),"N/A")</f>
        <v/>
      </c>
      <c r="Z18" s="12">
        <f>IFERROR(IF(OR(AA8="",BA8="",VALUE(AA8)=0),"",BA8/AA8),"N/A")</f>
        <v/>
      </c>
      <c r="AA18" s="12">
        <f>IFERROR(IF(OR(AB8="",BB8="",VALUE(AB8)=0),"",BB8/AB8),"N/A")</f>
        <v/>
      </c>
      <c r="BE18" s="9" t="n">
        <v>3</v>
      </c>
      <c r="BF18" s="12">
        <f>IFERROR(IF(OR(BG8="",CG8="",VALUE(BG8)=0),"",CG8/BG8),"N/A")</f>
        <v/>
      </c>
      <c r="BG18" s="12">
        <f>IFERROR(IF(OR(BH8="",CH8="",VALUE(BH8)=0),"",CH8/BH8),"N/A")</f>
        <v/>
      </c>
      <c r="BH18" s="12">
        <f>IFERROR(IF(OR(BI8="",CI8="",VALUE(BI8)=0),"",CI8/BI8),"N/A")</f>
        <v/>
      </c>
      <c r="BI18" s="12">
        <f>IFERROR(IF(OR(BJ8="",CJ8="",VALUE(BJ8)=0),"",CJ8/BJ8),"N/A")</f>
        <v/>
      </c>
      <c r="BJ18" s="12">
        <f>IFERROR(IF(OR(BK8="",CK8="",VALUE(BK8)=0),"",CK8/BK8),"N/A")</f>
        <v/>
      </c>
      <c r="BK18" s="12">
        <f>IFERROR(IF(OR(BL8="",CL8="",VALUE(BL8)=0),"",CL8/BL8),"N/A")</f>
        <v/>
      </c>
      <c r="BL18" s="12">
        <f>IFERROR(IF(OR(BM8="",CM8="",VALUE(BM8)=0),"",CM8/BM8),"N/A")</f>
        <v/>
      </c>
      <c r="BM18" s="12">
        <f>IFERROR(IF(OR(BN8="",CN8="",VALUE(BN8)=0),"",CN8/BN8),"N/A")</f>
        <v/>
      </c>
      <c r="BN18" s="12">
        <f>IFERROR(IF(OR(BO8="",CO8="",VALUE(BO8)=0),"",CO8/BO8),"N/A")</f>
        <v/>
      </c>
      <c r="BO18" s="12">
        <f>IFERROR(IF(OR(BP8="",CP8="",VALUE(BP8)=0),"",CP8/BP8),"N/A")</f>
        <v/>
      </c>
      <c r="BP18" s="12">
        <f>IFERROR(IF(OR(BQ8="",CQ8="",VALUE(BQ8)=0),"",CQ8/BQ8),"N/A")</f>
        <v/>
      </c>
      <c r="BQ18" s="12">
        <f>IFERROR(IF(OR(BR8="",CR8="",VALUE(BR8)=0),"",CR8/BR8),"N/A")</f>
        <v/>
      </c>
      <c r="BR18" s="12">
        <f>IFERROR(IF(OR(BS8="",CS8="",VALUE(BS8)=0),"",CS8/BS8),"N/A")</f>
        <v/>
      </c>
      <c r="BS18" s="12">
        <f>IFERROR(IF(OR(BT8="",CT8="",VALUE(BT8)=0),"",CT8/BT8),"N/A")</f>
        <v/>
      </c>
      <c r="BT18" s="12">
        <f>IFERROR(IF(OR(BU8="",CU8="",VALUE(BU8)=0),"",CU8/BU8),"N/A")</f>
        <v/>
      </c>
      <c r="BU18" s="12">
        <f>IFERROR(IF(OR(BV8="",CV8="",VALUE(BV8)=0),"",CV8/BV8),"N/A")</f>
        <v/>
      </c>
      <c r="BV18" s="12">
        <f>IFERROR(IF(OR(BW8="",CW8="",VALUE(BW8)=0),"",CW8/BW8),"N/A")</f>
        <v/>
      </c>
      <c r="BW18" s="12">
        <f>IFERROR(IF(OR(BX8="",CX8="",VALUE(BX8)=0),"",CX8/BX8),"N/A")</f>
        <v/>
      </c>
      <c r="BX18" s="12">
        <f>IFERROR(IF(OR(BY8="",CY8="",VALUE(BY8)=0),"",CY8/BY8),"N/A")</f>
        <v/>
      </c>
      <c r="BY18" s="12">
        <f>IFERROR(IF(OR(BZ8="",CZ8="",VALUE(BZ8)=0),"",CZ8/BZ8),"N/A")</f>
        <v/>
      </c>
      <c r="BZ18" s="12">
        <f>IFERROR(IF(OR(CA8="",DA8="",VALUE(CA8)=0),"",DA8/CA8),"N/A")</f>
        <v/>
      </c>
      <c r="CA18" s="12">
        <f>IFERROR(IF(OR(CB8="",DB8="",VALUE(CB8)=0),"",DB8/CB8),"N/A")</f>
        <v/>
      </c>
      <c r="CB18" s="12">
        <f>IFERROR(IF(OR(CC8="",DC8="",VALUE(CC8)=0),"",DC8/CC8),"N/A")</f>
        <v/>
      </c>
      <c r="CC18" s="12">
        <f>IFERROR(IF(OR(CD8="",DD8="",VALUE(CD8)=0),"",DD8/CD8),"N/A")</f>
        <v/>
      </c>
      <c r="CD18" s="12">
        <f>IFERROR(IF(OR(CE8="",DE8="",VALUE(CE8)=0),"",DE8/CE8),"N/A")</f>
        <v/>
      </c>
      <c r="CE18" s="12">
        <f>IFERROR(IF(OR(CF8="",DF8="",VALUE(CF8)=0),"",DF8/CF8),"N/A")</f>
        <v/>
      </c>
    </row>
    <row r="19" ht="15" customHeight="1">
      <c r="A19" s="9" t="n">
        <v>4</v>
      </c>
      <c r="B19" s="12">
        <f>IFERROR(IF(OR(C9="",AC9="",VALUE(C9)=0),"",AC9/C9),"N/A")</f>
        <v/>
      </c>
      <c r="C19" s="12">
        <f>IFERROR(IF(OR(D9="",AD9="",VALUE(D9)=0),"",AD9/D9),"N/A")</f>
        <v/>
      </c>
      <c r="D19" s="12">
        <f>IFERROR(IF(OR(E9="",AE9="",VALUE(E9)=0),"",AE9/E9),"N/A")</f>
        <v/>
      </c>
      <c r="E19" s="12">
        <f>IFERROR(IF(OR(F9="",AF9="",VALUE(F9)=0),"",AF9/F9),"N/A")</f>
        <v/>
      </c>
      <c r="F19" s="12">
        <f>IFERROR(IF(OR(G9="",AG9="",VALUE(G9)=0),"",AG9/G9),"N/A")</f>
        <v/>
      </c>
      <c r="G19" s="12">
        <f>IFERROR(IF(OR(H9="",AH9="",VALUE(H9)=0),"",AH9/H9),"N/A")</f>
        <v/>
      </c>
      <c r="H19" s="12">
        <f>IFERROR(IF(OR(I9="",AI9="",VALUE(I9)=0),"",AI9/I9),"N/A")</f>
        <v/>
      </c>
      <c r="I19" s="12">
        <f>IFERROR(IF(OR(J9="",AJ9="",VALUE(J9)=0),"",AJ9/J9),"N/A")</f>
        <v/>
      </c>
      <c r="J19" s="12">
        <f>IFERROR(IF(OR(K9="",AK9="",VALUE(K9)=0),"",AK9/K9),"N/A")</f>
        <v/>
      </c>
      <c r="K19" s="12">
        <f>IFERROR(IF(OR(L9="",AL9="",VALUE(L9)=0),"",AL9/L9),"N/A")</f>
        <v/>
      </c>
      <c r="L19" s="12">
        <f>IFERROR(IF(OR(M9="",AM9="",VALUE(M9)=0),"",AM9/M9),"N/A")</f>
        <v/>
      </c>
      <c r="M19" s="12">
        <f>IFERROR(IF(OR(N9="",AN9="",VALUE(N9)=0),"",AN9/N9),"N/A")</f>
        <v/>
      </c>
      <c r="N19" s="12">
        <f>IFERROR(IF(OR(O9="",AO9="",VALUE(O9)=0),"",AO9/O9),"N/A")</f>
        <v/>
      </c>
      <c r="O19" s="12">
        <f>IFERROR(IF(OR(P9="",AP9="",VALUE(P9)=0),"",AP9/P9),"N/A")</f>
        <v/>
      </c>
      <c r="P19" s="12">
        <f>IFERROR(IF(OR(Q9="",AQ9="",VALUE(Q9)=0),"",AQ9/Q9),"N/A")</f>
        <v/>
      </c>
      <c r="Q19" s="12">
        <f>IFERROR(IF(OR(R9="",AR9="",VALUE(R9)=0),"",AR9/R9),"N/A")</f>
        <v/>
      </c>
      <c r="R19" s="12">
        <f>IFERROR(IF(OR(S9="",AS9="",VALUE(S9)=0),"",AS9/S9),"N/A")</f>
        <v/>
      </c>
      <c r="S19" s="12">
        <f>IFERROR(IF(OR(T9="",AT9="",VALUE(T9)=0),"",AT9/T9),"N/A")</f>
        <v/>
      </c>
      <c r="T19" s="12">
        <f>IFERROR(IF(OR(U9="",AU9="",VALUE(U9)=0),"",AU9/U9),"N/A")</f>
        <v/>
      </c>
      <c r="U19" s="12">
        <f>IFERROR(IF(OR(V9="",AV9="",VALUE(V9)=0),"",AV9/V9),"N/A")</f>
        <v/>
      </c>
      <c r="V19" s="12">
        <f>IFERROR(IF(OR(W9="",AW9="",VALUE(W9)=0),"",AW9/W9),"N/A")</f>
        <v/>
      </c>
      <c r="W19" s="12">
        <f>IFERROR(IF(OR(X9="",AX9="",VALUE(X9)=0),"",AX9/X9),"N/A")</f>
        <v/>
      </c>
      <c r="X19" s="12">
        <f>IFERROR(IF(OR(Y9="",AY9="",VALUE(Y9)=0),"",AY9/Y9),"N/A")</f>
        <v/>
      </c>
      <c r="Y19" s="12">
        <f>IFERROR(IF(OR(Z9="",AZ9="",VALUE(Z9)=0),"",AZ9/Z9),"N/A")</f>
        <v/>
      </c>
      <c r="Z19" s="12">
        <f>IFERROR(IF(OR(AA9="",BA9="",VALUE(AA9)=0),"",BA9/AA9),"N/A")</f>
        <v/>
      </c>
      <c r="AA19" s="12">
        <f>IFERROR(IF(OR(AB9="",BB9="",VALUE(AB9)=0),"",BB9/AB9),"N/A")</f>
        <v/>
      </c>
      <c r="BE19" s="9" t="n">
        <v>4</v>
      </c>
      <c r="BF19" s="12">
        <f>IFERROR(IF(OR(BG9="",CG9="",VALUE(BG9)=0),"",CG9/BG9),"N/A")</f>
        <v/>
      </c>
      <c r="BG19" s="12">
        <f>IFERROR(IF(OR(BH9="",CH9="",VALUE(BH9)=0),"",CH9/BH9),"N/A")</f>
        <v/>
      </c>
      <c r="BH19" s="12">
        <f>IFERROR(IF(OR(BI9="",CI9="",VALUE(BI9)=0),"",CI9/BI9),"N/A")</f>
        <v/>
      </c>
      <c r="BI19" s="12">
        <f>IFERROR(IF(OR(BJ9="",CJ9="",VALUE(BJ9)=0),"",CJ9/BJ9),"N/A")</f>
        <v/>
      </c>
      <c r="BJ19" s="12">
        <f>IFERROR(IF(OR(BK9="",CK9="",VALUE(BK9)=0),"",CK9/BK9),"N/A")</f>
        <v/>
      </c>
      <c r="BK19" s="12">
        <f>IFERROR(IF(OR(BL9="",CL9="",VALUE(BL9)=0),"",CL9/BL9),"N/A")</f>
        <v/>
      </c>
      <c r="BL19" s="12">
        <f>IFERROR(IF(OR(BM9="",CM9="",VALUE(BM9)=0),"",CM9/BM9),"N/A")</f>
        <v/>
      </c>
      <c r="BM19" s="12">
        <f>IFERROR(IF(OR(BN9="",CN9="",VALUE(BN9)=0),"",CN9/BN9),"N/A")</f>
        <v/>
      </c>
      <c r="BN19" s="12">
        <f>IFERROR(IF(OR(BO9="",CO9="",VALUE(BO9)=0),"",CO9/BO9),"N/A")</f>
        <v/>
      </c>
      <c r="BO19" s="12">
        <f>IFERROR(IF(OR(BP9="",CP9="",VALUE(BP9)=0),"",CP9/BP9),"N/A")</f>
        <v/>
      </c>
      <c r="BP19" s="12">
        <f>IFERROR(IF(OR(BQ9="",CQ9="",VALUE(BQ9)=0),"",CQ9/BQ9),"N/A")</f>
        <v/>
      </c>
      <c r="BQ19" s="12">
        <f>IFERROR(IF(OR(BR9="",CR9="",VALUE(BR9)=0),"",CR9/BR9),"N/A")</f>
        <v/>
      </c>
      <c r="BR19" s="12">
        <f>IFERROR(IF(OR(BS9="",CS9="",VALUE(BS9)=0),"",CS9/BS9),"N/A")</f>
        <v/>
      </c>
      <c r="BS19" s="12">
        <f>IFERROR(IF(OR(BT9="",CT9="",VALUE(BT9)=0),"",CT9/BT9),"N/A")</f>
        <v/>
      </c>
      <c r="BT19" s="12">
        <f>IFERROR(IF(OR(BU9="",CU9="",VALUE(BU9)=0),"",CU9/BU9),"N/A")</f>
        <v/>
      </c>
      <c r="BU19" s="12">
        <f>IFERROR(IF(OR(BV9="",CV9="",VALUE(BV9)=0),"",CV9/BV9),"N/A")</f>
        <v/>
      </c>
      <c r="BV19" s="12">
        <f>IFERROR(IF(OR(BW9="",CW9="",VALUE(BW9)=0),"",CW9/BW9),"N/A")</f>
        <v/>
      </c>
      <c r="BW19" s="12">
        <f>IFERROR(IF(OR(BX9="",CX9="",VALUE(BX9)=0),"",CX9/BX9),"N/A")</f>
        <v/>
      </c>
      <c r="BX19" s="12">
        <f>IFERROR(IF(OR(BY9="",CY9="",VALUE(BY9)=0),"",CY9/BY9),"N/A")</f>
        <v/>
      </c>
      <c r="BY19" s="12">
        <f>IFERROR(IF(OR(BZ9="",CZ9="",VALUE(BZ9)=0),"",CZ9/BZ9),"N/A")</f>
        <v/>
      </c>
      <c r="BZ19" s="12">
        <f>IFERROR(IF(OR(CA9="",DA9="",VALUE(CA9)=0),"",DA9/CA9),"N/A")</f>
        <v/>
      </c>
      <c r="CA19" s="12">
        <f>IFERROR(IF(OR(CB9="",DB9="",VALUE(CB9)=0),"",DB9/CB9),"N/A")</f>
        <v/>
      </c>
      <c r="CB19" s="12">
        <f>IFERROR(IF(OR(CC9="",DC9="",VALUE(CC9)=0),"",DC9/CC9),"N/A")</f>
        <v/>
      </c>
      <c r="CC19" s="12">
        <f>IFERROR(IF(OR(CD9="",DD9="",VALUE(CD9)=0),"",DD9/CD9),"N/A")</f>
        <v/>
      </c>
      <c r="CD19" s="12">
        <f>IFERROR(IF(OR(CE9="",DE9="",VALUE(CE9)=0),"",DE9/CE9),"N/A")</f>
        <v/>
      </c>
      <c r="CE19" s="12">
        <f>IFERROR(IF(OR(CF9="",DF9="",VALUE(CF9)=0),"",DF9/CF9),"N/A")</f>
        <v/>
      </c>
    </row>
    <row r="20" ht="15" customHeight="1">
      <c r="A20" s="9" t="n">
        <v>5</v>
      </c>
      <c r="B20" s="12">
        <f>IFERROR(IF(OR(C10="",AC10="",VALUE(C10)=0),"",AC10/C10),"N/A")</f>
        <v/>
      </c>
      <c r="C20" s="12">
        <f>IFERROR(IF(OR(D10="",AD10="",VALUE(D10)=0),"",AD10/D10),"N/A")</f>
        <v/>
      </c>
      <c r="D20" s="12">
        <f>IFERROR(IF(OR(E10="",AE10="",VALUE(E10)=0),"",AE10/E10),"N/A")</f>
        <v/>
      </c>
      <c r="E20" s="12">
        <f>IFERROR(IF(OR(F10="",AF10="",VALUE(F10)=0),"",AF10/F10),"N/A")</f>
        <v/>
      </c>
      <c r="F20" s="12">
        <f>IFERROR(IF(OR(G10="",AG10="",VALUE(G10)=0),"",AG10/G10),"N/A")</f>
        <v/>
      </c>
      <c r="G20" s="12">
        <f>IFERROR(IF(OR(H10="",AH10="",VALUE(H10)=0),"",AH10/H10),"N/A")</f>
        <v/>
      </c>
      <c r="H20" s="12">
        <f>IFERROR(IF(OR(I10="",AI10="",VALUE(I10)=0),"",AI10/I10),"N/A")</f>
        <v/>
      </c>
      <c r="I20" s="12">
        <f>IFERROR(IF(OR(J10="",AJ10="",VALUE(J10)=0),"",AJ10/J10),"N/A")</f>
        <v/>
      </c>
      <c r="J20" s="12">
        <f>IFERROR(IF(OR(K10="",AK10="",VALUE(K10)=0),"",AK10/K10),"N/A")</f>
        <v/>
      </c>
      <c r="K20" s="12">
        <f>IFERROR(IF(OR(L10="",AL10="",VALUE(L10)=0),"",AL10/L10),"N/A")</f>
        <v/>
      </c>
      <c r="L20" s="12">
        <f>IFERROR(IF(OR(M10="",AM10="",VALUE(M10)=0),"",AM10/M10),"N/A")</f>
        <v/>
      </c>
      <c r="M20" s="12">
        <f>IFERROR(IF(OR(N10="",AN10="",VALUE(N10)=0),"",AN10/N10),"N/A")</f>
        <v/>
      </c>
      <c r="N20" s="12">
        <f>IFERROR(IF(OR(O10="",AO10="",VALUE(O10)=0),"",AO10/O10),"N/A")</f>
        <v/>
      </c>
      <c r="O20" s="12">
        <f>IFERROR(IF(OR(P10="",AP10="",VALUE(P10)=0),"",AP10/P10),"N/A")</f>
        <v/>
      </c>
      <c r="P20" s="12">
        <f>IFERROR(IF(OR(Q10="",AQ10="",VALUE(Q10)=0),"",AQ10/Q10),"N/A")</f>
        <v/>
      </c>
      <c r="Q20" s="12">
        <f>IFERROR(IF(OR(R10="",AR10="",VALUE(R10)=0),"",AR10/R10),"N/A")</f>
        <v/>
      </c>
      <c r="R20" s="12">
        <f>IFERROR(IF(OR(S10="",AS10="",VALUE(S10)=0),"",AS10/S10),"N/A")</f>
        <v/>
      </c>
      <c r="S20" s="12">
        <f>IFERROR(IF(OR(T10="",AT10="",VALUE(T10)=0),"",AT10/T10),"N/A")</f>
        <v/>
      </c>
      <c r="T20" s="12">
        <f>IFERROR(IF(OR(U10="",AU10="",VALUE(U10)=0),"",AU10/U10),"N/A")</f>
        <v/>
      </c>
      <c r="U20" s="12">
        <f>IFERROR(IF(OR(V10="",AV10="",VALUE(V10)=0),"",AV10/V10),"N/A")</f>
        <v/>
      </c>
      <c r="V20" s="12">
        <f>IFERROR(IF(OR(W10="",AW10="",VALUE(W10)=0),"",AW10/W10),"N/A")</f>
        <v/>
      </c>
      <c r="W20" s="12">
        <f>IFERROR(IF(OR(X10="",AX10="",VALUE(X10)=0),"",AX10/X10),"N/A")</f>
        <v/>
      </c>
      <c r="X20" s="12">
        <f>IFERROR(IF(OR(Y10="",AY10="",VALUE(Y10)=0),"",AY10/Y10),"N/A")</f>
        <v/>
      </c>
      <c r="Y20" s="12">
        <f>IFERROR(IF(OR(Z10="",AZ10="",VALUE(Z10)=0),"",AZ10/Z10),"N/A")</f>
        <v/>
      </c>
      <c r="Z20" s="12">
        <f>IFERROR(IF(OR(AA10="",BA10="",VALUE(AA10)=0),"",BA10/AA10),"N/A")</f>
        <v/>
      </c>
      <c r="AA20" s="12">
        <f>IFERROR(IF(OR(AB10="",BB10="",VALUE(AB10)=0),"",BB10/AB10),"N/A")</f>
        <v/>
      </c>
      <c r="BE20" s="9" t="n">
        <v>5</v>
      </c>
      <c r="BF20" s="12">
        <f>IFERROR(IF(OR(BG10="",CG10="",VALUE(BG10)=0),"",CG10/BG10),"N/A")</f>
        <v/>
      </c>
      <c r="BG20" s="12">
        <f>IFERROR(IF(OR(BH10="",CH10="",VALUE(BH10)=0),"",CH10/BH10),"N/A")</f>
        <v/>
      </c>
      <c r="BH20" s="12">
        <f>IFERROR(IF(OR(BI10="",CI10="",VALUE(BI10)=0),"",CI10/BI10),"N/A")</f>
        <v/>
      </c>
      <c r="BI20" s="12">
        <f>IFERROR(IF(OR(BJ10="",CJ10="",VALUE(BJ10)=0),"",CJ10/BJ10),"N/A")</f>
        <v/>
      </c>
      <c r="BJ20" s="12">
        <f>IFERROR(IF(OR(BK10="",CK10="",VALUE(BK10)=0),"",CK10/BK10),"N/A")</f>
        <v/>
      </c>
      <c r="BK20" s="12">
        <f>IFERROR(IF(OR(BL10="",CL10="",VALUE(BL10)=0),"",CL10/BL10),"N/A")</f>
        <v/>
      </c>
      <c r="BL20" s="12">
        <f>IFERROR(IF(OR(BM10="",CM10="",VALUE(BM10)=0),"",CM10/BM10),"N/A")</f>
        <v/>
      </c>
      <c r="BM20" s="12">
        <f>IFERROR(IF(OR(BN10="",CN10="",VALUE(BN10)=0),"",CN10/BN10),"N/A")</f>
        <v/>
      </c>
      <c r="BN20" s="12">
        <f>IFERROR(IF(OR(BO10="",CO10="",VALUE(BO10)=0),"",CO10/BO10),"N/A")</f>
        <v/>
      </c>
      <c r="BO20" s="12">
        <f>IFERROR(IF(OR(BP10="",CP10="",VALUE(BP10)=0),"",CP10/BP10),"N/A")</f>
        <v/>
      </c>
      <c r="BP20" s="12">
        <f>IFERROR(IF(OR(BQ10="",CQ10="",VALUE(BQ10)=0),"",CQ10/BQ10),"N/A")</f>
        <v/>
      </c>
      <c r="BQ20" s="12">
        <f>IFERROR(IF(OR(BR10="",CR10="",VALUE(BR10)=0),"",CR10/BR10),"N/A")</f>
        <v/>
      </c>
      <c r="BR20" s="12">
        <f>IFERROR(IF(OR(BS10="",CS10="",VALUE(BS10)=0),"",CS10/BS10),"N/A")</f>
        <v/>
      </c>
      <c r="BS20" s="12">
        <f>IFERROR(IF(OR(BT10="",CT10="",VALUE(BT10)=0),"",CT10/BT10),"N/A")</f>
        <v/>
      </c>
      <c r="BT20" s="12">
        <f>IFERROR(IF(OR(BU10="",CU10="",VALUE(BU10)=0),"",CU10/BU10),"N/A")</f>
        <v/>
      </c>
      <c r="BU20" s="12">
        <f>IFERROR(IF(OR(BV10="",CV10="",VALUE(BV10)=0),"",CV10/BV10),"N/A")</f>
        <v/>
      </c>
      <c r="BV20" s="12">
        <f>IFERROR(IF(OR(BW10="",CW10="",VALUE(BW10)=0),"",CW10/BW10),"N/A")</f>
        <v/>
      </c>
      <c r="BW20" s="12">
        <f>IFERROR(IF(OR(BX10="",CX10="",VALUE(BX10)=0),"",CX10/BX10),"N/A")</f>
        <v/>
      </c>
      <c r="BX20" s="12">
        <f>IFERROR(IF(OR(BY10="",CY10="",VALUE(BY10)=0),"",CY10/BY10),"N/A")</f>
        <v/>
      </c>
      <c r="BY20" s="12">
        <f>IFERROR(IF(OR(BZ10="",CZ10="",VALUE(BZ10)=0),"",CZ10/BZ10),"N/A")</f>
        <v/>
      </c>
      <c r="BZ20" s="12">
        <f>IFERROR(IF(OR(CA10="",DA10="",VALUE(CA10)=0),"",DA10/CA10),"N/A")</f>
        <v/>
      </c>
      <c r="CA20" s="12">
        <f>IFERROR(IF(OR(CB10="",DB10="",VALUE(CB10)=0),"",DB10/CB10),"N/A")</f>
        <v/>
      </c>
      <c r="CB20" s="12">
        <f>IFERROR(IF(OR(CC10="",DC10="",VALUE(CC10)=0),"",DC10/CC10),"N/A")</f>
        <v/>
      </c>
      <c r="CC20" s="12">
        <f>IFERROR(IF(OR(CD10="",DD10="",VALUE(CD10)=0),"",DD10/CD10),"N/A")</f>
        <v/>
      </c>
      <c r="CD20" s="12">
        <f>IFERROR(IF(OR(CE10="",DE10="",VALUE(CE10)=0),"",DE10/CE10),"N/A")</f>
        <v/>
      </c>
      <c r="CE20" s="12">
        <f>IFERROR(IF(OR(CF10="",DF10="",VALUE(CF10)=0),"",DF10/CF10),"N/A")</f>
        <v/>
      </c>
    </row>
    <row r="21" ht="15" customHeight="1">
      <c r="A21" s="9" t="n">
        <v>6</v>
      </c>
      <c r="B21" s="12">
        <f>IFERROR(IF(OR(C11="",AC11="",VALUE(C11)=0),"",AC11/C11),"N/A")</f>
        <v/>
      </c>
      <c r="C21" s="12">
        <f>IFERROR(IF(OR(D11="",AD11="",VALUE(D11)=0),"",AD11/D11),"N/A")</f>
        <v/>
      </c>
      <c r="D21" s="12">
        <f>IFERROR(IF(OR(E11="",AE11="",VALUE(E11)=0),"",AE11/E11),"N/A")</f>
        <v/>
      </c>
      <c r="E21" s="12">
        <f>IFERROR(IF(OR(F11="",AF11="",VALUE(F11)=0),"",AF11/F11),"N/A")</f>
        <v/>
      </c>
      <c r="F21" s="12">
        <f>IFERROR(IF(OR(G11="",AG11="",VALUE(G11)=0),"",AG11/G11),"N/A")</f>
        <v/>
      </c>
      <c r="G21" s="12">
        <f>IFERROR(IF(OR(H11="",AH11="",VALUE(H11)=0),"",AH11/H11),"N/A")</f>
        <v/>
      </c>
      <c r="H21" s="12">
        <f>IFERROR(IF(OR(I11="",AI11="",VALUE(I11)=0),"",AI11/I11),"N/A")</f>
        <v/>
      </c>
      <c r="I21" s="12">
        <f>IFERROR(IF(OR(J11="",AJ11="",VALUE(J11)=0),"",AJ11/J11),"N/A")</f>
        <v/>
      </c>
      <c r="J21" s="12">
        <f>IFERROR(IF(OR(K11="",AK11="",VALUE(K11)=0),"",AK11/K11),"N/A")</f>
        <v/>
      </c>
      <c r="K21" s="12">
        <f>IFERROR(IF(OR(L11="",AL11="",VALUE(L11)=0),"",AL11/L11),"N/A")</f>
        <v/>
      </c>
      <c r="L21" s="12">
        <f>IFERROR(IF(OR(M11="",AM11="",VALUE(M11)=0),"",AM11/M11),"N/A")</f>
        <v/>
      </c>
      <c r="M21" s="12">
        <f>IFERROR(IF(OR(N11="",AN11="",VALUE(N11)=0),"",AN11/N11),"N/A")</f>
        <v/>
      </c>
      <c r="N21" s="12">
        <f>IFERROR(IF(OR(O11="",AO11="",VALUE(O11)=0),"",AO11/O11),"N/A")</f>
        <v/>
      </c>
      <c r="O21" s="12">
        <f>IFERROR(IF(OR(P11="",AP11="",VALUE(P11)=0),"",AP11/P11),"N/A")</f>
        <v/>
      </c>
      <c r="P21" s="12">
        <f>IFERROR(IF(OR(Q11="",AQ11="",VALUE(Q11)=0),"",AQ11/Q11),"N/A")</f>
        <v/>
      </c>
      <c r="Q21" s="12">
        <f>IFERROR(IF(OR(R11="",AR11="",VALUE(R11)=0),"",AR11/R11),"N/A")</f>
        <v/>
      </c>
      <c r="R21" s="12">
        <f>IFERROR(IF(OR(S11="",AS11="",VALUE(S11)=0),"",AS11/S11),"N/A")</f>
        <v/>
      </c>
      <c r="S21" s="12">
        <f>IFERROR(IF(OR(T11="",AT11="",VALUE(T11)=0),"",AT11/T11),"N/A")</f>
        <v/>
      </c>
      <c r="T21" s="12">
        <f>IFERROR(IF(OR(U11="",AU11="",VALUE(U11)=0),"",AU11/U11),"N/A")</f>
        <v/>
      </c>
      <c r="U21" s="12">
        <f>IFERROR(IF(OR(V11="",AV11="",VALUE(V11)=0),"",AV11/V11),"N/A")</f>
        <v/>
      </c>
      <c r="V21" s="12">
        <f>IFERROR(IF(OR(W11="",AW11="",VALUE(W11)=0),"",AW11/W11),"N/A")</f>
        <v/>
      </c>
      <c r="W21" s="12">
        <f>IFERROR(IF(OR(X11="",AX11="",VALUE(X11)=0),"",AX11/X11),"N/A")</f>
        <v/>
      </c>
      <c r="X21" s="12">
        <f>IFERROR(IF(OR(Y11="",AY11="",VALUE(Y11)=0),"",AY11/Y11),"N/A")</f>
        <v/>
      </c>
      <c r="Y21" s="12">
        <f>IFERROR(IF(OR(Z11="",AZ11="",VALUE(Z11)=0),"",AZ11/Z11),"N/A")</f>
        <v/>
      </c>
      <c r="Z21" s="12">
        <f>IFERROR(IF(OR(AA11="",BA11="",VALUE(AA11)=0),"",BA11/AA11),"N/A")</f>
        <v/>
      </c>
      <c r="AA21" s="12">
        <f>IFERROR(IF(OR(AB11="",BB11="",VALUE(AB11)=0),"",BB11/AB11),"N/A")</f>
        <v/>
      </c>
      <c r="BE21" s="9" t="n">
        <v>6</v>
      </c>
      <c r="BF21" s="12">
        <f>IFERROR(IF(OR(BG11="",CG11="",VALUE(BG11)=0),"",CG11/BG11),"N/A")</f>
        <v/>
      </c>
      <c r="BG21" s="12">
        <f>IFERROR(IF(OR(BH11="",CH11="",VALUE(BH11)=0),"",CH11/BH11),"N/A")</f>
        <v/>
      </c>
      <c r="BH21" s="12">
        <f>IFERROR(IF(OR(BI11="",CI11="",VALUE(BI11)=0),"",CI11/BI11),"N/A")</f>
        <v/>
      </c>
      <c r="BI21" s="12">
        <f>IFERROR(IF(OR(BJ11="",CJ11="",VALUE(BJ11)=0),"",CJ11/BJ11),"N/A")</f>
        <v/>
      </c>
      <c r="BJ21" s="12">
        <f>IFERROR(IF(OR(BK11="",CK11="",VALUE(BK11)=0),"",CK11/BK11),"N/A")</f>
        <v/>
      </c>
      <c r="BK21" s="12">
        <f>IFERROR(IF(OR(BL11="",CL11="",VALUE(BL11)=0),"",CL11/BL11),"N/A")</f>
        <v/>
      </c>
      <c r="BL21" s="12">
        <f>IFERROR(IF(OR(BM11="",CM11="",VALUE(BM11)=0),"",CM11/BM11),"N/A")</f>
        <v/>
      </c>
      <c r="BM21" s="12">
        <f>IFERROR(IF(OR(BN11="",CN11="",VALUE(BN11)=0),"",CN11/BN11),"N/A")</f>
        <v/>
      </c>
      <c r="BN21" s="12">
        <f>IFERROR(IF(OR(BO11="",CO11="",VALUE(BO11)=0),"",CO11/BO11),"N/A")</f>
        <v/>
      </c>
      <c r="BO21" s="12">
        <f>IFERROR(IF(OR(BP11="",CP11="",VALUE(BP11)=0),"",CP11/BP11),"N/A")</f>
        <v/>
      </c>
      <c r="BP21" s="12">
        <f>IFERROR(IF(OR(BQ11="",CQ11="",VALUE(BQ11)=0),"",CQ11/BQ11),"N/A")</f>
        <v/>
      </c>
      <c r="BQ21" s="12">
        <f>IFERROR(IF(OR(BR11="",CR11="",VALUE(BR11)=0),"",CR11/BR11),"N/A")</f>
        <v/>
      </c>
      <c r="BR21" s="12">
        <f>IFERROR(IF(OR(BS11="",CS11="",VALUE(BS11)=0),"",CS11/BS11),"N/A")</f>
        <v/>
      </c>
      <c r="BS21" s="12">
        <f>IFERROR(IF(OR(BT11="",CT11="",VALUE(BT11)=0),"",CT11/BT11),"N/A")</f>
        <v/>
      </c>
      <c r="BT21" s="12">
        <f>IFERROR(IF(OR(BU11="",CU11="",VALUE(BU11)=0),"",CU11/BU11),"N/A")</f>
        <v/>
      </c>
      <c r="BU21" s="12">
        <f>IFERROR(IF(OR(BV11="",CV11="",VALUE(BV11)=0),"",CV11/BV11),"N/A")</f>
        <v/>
      </c>
      <c r="BV21" s="12">
        <f>IFERROR(IF(OR(BW11="",CW11="",VALUE(BW11)=0),"",CW11/BW11),"N/A")</f>
        <v/>
      </c>
      <c r="BW21" s="12">
        <f>IFERROR(IF(OR(BX11="",CX11="",VALUE(BX11)=0),"",CX11/BX11),"N/A")</f>
        <v/>
      </c>
      <c r="BX21" s="12">
        <f>IFERROR(IF(OR(BY11="",CY11="",VALUE(BY11)=0),"",CY11/BY11),"N/A")</f>
        <v/>
      </c>
      <c r="BY21" s="12">
        <f>IFERROR(IF(OR(BZ11="",CZ11="",VALUE(BZ11)=0),"",CZ11/BZ11),"N/A")</f>
        <v/>
      </c>
      <c r="BZ21" s="12">
        <f>IFERROR(IF(OR(CA11="",DA11="",VALUE(CA11)=0),"",DA11/CA11),"N/A")</f>
        <v/>
      </c>
      <c r="CA21" s="12">
        <f>IFERROR(IF(OR(CB11="",DB11="",VALUE(CB11)=0),"",DB11/CB11),"N/A")</f>
        <v/>
      </c>
      <c r="CB21" s="12">
        <f>IFERROR(IF(OR(CC11="",DC11="",VALUE(CC11)=0),"",DC11/CC11),"N/A")</f>
        <v/>
      </c>
      <c r="CC21" s="12">
        <f>IFERROR(IF(OR(CD11="",DD11="",VALUE(CD11)=0),"",DD11/CD11),"N/A")</f>
        <v/>
      </c>
      <c r="CD21" s="12">
        <f>IFERROR(IF(OR(CE11="",DE11="",VALUE(CE11)=0),"",DE11/CE11),"N/A")</f>
        <v/>
      </c>
      <c r="CE21" s="12">
        <f>IFERROR(IF(OR(CF11="",DF11="",VALUE(CF11)=0),"",DF11/CF11),"N/A")</f>
        <v/>
      </c>
    </row>
    <row r="22" ht="15" customHeight="1">
      <c r="A22" s="9" t="n">
        <v>7</v>
      </c>
      <c r="B22" s="12">
        <f>IFERROR(IF(OR(C12="",AC12="",VALUE(C12)=0),"",AC12/C12),"N/A")</f>
        <v/>
      </c>
      <c r="C22" s="12">
        <f>IFERROR(IF(OR(D12="",AD12="",VALUE(D12)=0),"",AD12/D12),"N/A")</f>
        <v/>
      </c>
      <c r="D22" s="12">
        <f>IFERROR(IF(OR(E12="",AE12="",VALUE(E12)=0),"",AE12/E12),"N/A")</f>
        <v/>
      </c>
      <c r="E22" s="12">
        <f>IFERROR(IF(OR(F12="",AF12="",VALUE(F12)=0),"",AF12/F12),"N/A")</f>
        <v/>
      </c>
      <c r="F22" s="12">
        <f>IFERROR(IF(OR(G12="",AG12="",VALUE(G12)=0),"",AG12/G12),"N/A")</f>
        <v/>
      </c>
      <c r="G22" s="12">
        <f>IFERROR(IF(OR(H12="",AH12="",VALUE(H12)=0),"",AH12/H12),"N/A")</f>
        <v/>
      </c>
      <c r="H22" s="12">
        <f>IFERROR(IF(OR(I12="",AI12="",VALUE(I12)=0),"",AI12/I12),"N/A")</f>
        <v/>
      </c>
      <c r="I22" s="12">
        <f>IFERROR(IF(OR(J12="",AJ12="",VALUE(J12)=0),"",AJ12/J12),"N/A")</f>
        <v/>
      </c>
      <c r="J22" s="12">
        <f>IFERROR(IF(OR(K12="",AK12="",VALUE(K12)=0),"",AK12/K12),"N/A")</f>
        <v/>
      </c>
      <c r="K22" s="12">
        <f>IFERROR(IF(OR(L12="",AL12="",VALUE(L12)=0),"",AL12/L12),"N/A")</f>
        <v/>
      </c>
      <c r="L22" s="12">
        <f>IFERROR(IF(OR(M12="",AM12="",VALUE(M12)=0),"",AM12/M12),"N/A")</f>
        <v/>
      </c>
      <c r="M22" s="12">
        <f>IFERROR(IF(OR(N12="",AN12="",VALUE(N12)=0),"",AN12/N12),"N/A")</f>
        <v/>
      </c>
      <c r="N22" s="12">
        <f>IFERROR(IF(OR(O12="",AO12="",VALUE(O12)=0),"",AO12/O12),"N/A")</f>
        <v/>
      </c>
      <c r="O22" s="12">
        <f>IFERROR(IF(OR(P12="",AP12="",VALUE(P12)=0),"",AP12/P12),"N/A")</f>
        <v/>
      </c>
      <c r="P22" s="12">
        <f>IFERROR(IF(OR(Q12="",AQ12="",VALUE(Q12)=0),"",AQ12/Q12),"N/A")</f>
        <v/>
      </c>
      <c r="Q22" s="12">
        <f>IFERROR(IF(OR(R12="",AR12="",VALUE(R12)=0),"",AR12/R12),"N/A")</f>
        <v/>
      </c>
      <c r="R22" s="12">
        <f>IFERROR(IF(OR(S12="",AS12="",VALUE(S12)=0),"",AS12/S12),"N/A")</f>
        <v/>
      </c>
      <c r="S22" s="12">
        <f>IFERROR(IF(OR(T12="",AT12="",VALUE(T12)=0),"",AT12/T12),"N/A")</f>
        <v/>
      </c>
      <c r="T22" s="12">
        <f>IFERROR(IF(OR(U12="",AU12="",VALUE(U12)=0),"",AU12/U12),"N/A")</f>
        <v/>
      </c>
      <c r="U22" s="12">
        <f>IFERROR(IF(OR(V12="",AV12="",VALUE(V12)=0),"",AV12/V12),"N/A")</f>
        <v/>
      </c>
      <c r="V22" s="12">
        <f>IFERROR(IF(OR(W12="",AW12="",VALUE(W12)=0),"",AW12/W12),"N/A")</f>
        <v/>
      </c>
      <c r="W22" s="12">
        <f>IFERROR(IF(OR(X12="",AX12="",VALUE(X12)=0),"",AX12/X12),"N/A")</f>
        <v/>
      </c>
      <c r="X22" s="12">
        <f>IFERROR(IF(OR(Y12="",AY12="",VALUE(Y12)=0),"",AY12/Y12),"N/A")</f>
        <v/>
      </c>
      <c r="Y22" s="12">
        <f>IFERROR(IF(OR(Z12="",AZ12="",VALUE(Z12)=0),"",AZ12/Z12),"N/A")</f>
        <v/>
      </c>
      <c r="Z22" s="12">
        <f>IFERROR(IF(OR(AA12="",BA12="",VALUE(AA12)=0),"",BA12/AA12),"N/A")</f>
        <v/>
      </c>
      <c r="AA22" s="12">
        <f>IFERROR(IF(OR(AB12="",BB12="",VALUE(AB12)=0),"",BB12/AB12),"N/A")</f>
        <v/>
      </c>
      <c r="BE22" s="9" t="n">
        <v>7</v>
      </c>
      <c r="BF22" s="12">
        <f>IFERROR(IF(OR(BG12="",CG12="",VALUE(BG12)=0),"",CG12/BG12),"N/A")</f>
        <v/>
      </c>
      <c r="BG22" s="12">
        <f>IFERROR(IF(OR(BH12="",CH12="",VALUE(BH12)=0),"",CH12/BH12),"N/A")</f>
        <v/>
      </c>
      <c r="BH22" s="12">
        <f>IFERROR(IF(OR(BI12="",CI12="",VALUE(BI12)=0),"",CI12/BI12),"N/A")</f>
        <v/>
      </c>
      <c r="BI22" s="12">
        <f>IFERROR(IF(OR(BJ12="",CJ12="",VALUE(BJ12)=0),"",CJ12/BJ12),"N/A")</f>
        <v/>
      </c>
      <c r="BJ22" s="12">
        <f>IFERROR(IF(OR(BK12="",CK12="",VALUE(BK12)=0),"",CK12/BK12),"N/A")</f>
        <v/>
      </c>
      <c r="BK22" s="12">
        <f>IFERROR(IF(OR(BL12="",CL12="",VALUE(BL12)=0),"",CL12/BL12),"N/A")</f>
        <v/>
      </c>
      <c r="BL22" s="12">
        <f>IFERROR(IF(OR(BM12="",CM12="",VALUE(BM12)=0),"",CM12/BM12),"N/A")</f>
        <v/>
      </c>
      <c r="BM22" s="12">
        <f>IFERROR(IF(OR(BN12="",CN12="",VALUE(BN12)=0),"",CN12/BN12),"N/A")</f>
        <v/>
      </c>
      <c r="BN22" s="12">
        <f>IFERROR(IF(OR(BO12="",CO12="",VALUE(BO12)=0),"",CO12/BO12),"N/A")</f>
        <v/>
      </c>
      <c r="BO22" s="12">
        <f>IFERROR(IF(OR(BP12="",CP12="",VALUE(BP12)=0),"",CP12/BP12),"N/A")</f>
        <v/>
      </c>
      <c r="BP22" s="12">
        <f>IFERROR(IF(OR(BQ12="",CQ12="",VALUE(BQ12)=0),"",CQ12/BQ12),"N/A")</f>
        <v/>
      </c>
      <c r="BQ22" s="12">
        <f>IFERROR(IF(OR(BR12="",CR12="",VALUE(BR12)=0),"",CR12/BR12),"N/A")</f>
        <v/>
      </c>
      <c r="BR22" s="12">
        <f>IFERROR(IF(OR(BS12="",CS12="",VALUE(BS12)=0),"",CS12/BS12),"N/A")</f>
        <v/>
      </c>
      <c r="BS22" s="12">
        <f>IFERROR(IF(OR(BT12="",CT12="",VALUE(BT12)=0),"",CT12/BT12),"N/A")</f>
        <v/>
      </c>
      <c r="BT22" s="12">
        <f>IFERROR(IF(OR(BU12="",CU12="",VALUE(BU12)=0),"",CU12/BU12),"N/A")</f>
        <v/>
      </c>
      <c r="BU22" s="12">
        <f>IFERROR(IF(OR(BV12="",CV12="",VALUE(BV12)=0),"",CV12/BV12),"N/A")</f>
        <v/>
      </c>
      <c r="BV22" s="12">
        <f>IFERROR(IF(OR(BW12="",CW12="",VALUE(BW12)=0),"",CW12/BW12),"N/A")</f>
        <v/>
      </c>
      <c r="BW22" s="12">
        <f>IFERROR(IF(OR(BX12="",CX12="",VALUE(BX12)=0),"",CX12/BX12),"N/A")</f>
        <v/>
      </c>
      <c r="BX22" s="12">
        <f>IFERROR(IF(OR(BY12="",CY12="",VALUE(BY12)=0),"",CY12/BY12),"N/A")</f>
        <v/>
      </c>
      <c r="BY22" s="12">
        <f>IFERROR(IF(OR(BZ12="",CZ12="",VALUE(BZ12)=0),"",CZ12/BZ12),"N/A")</f>
        <v/>
      </c>
      <c r="BZ22" s="12">
        <f>IFERROR(IF(OR(CA12="",DA12="",VALUE(CA12)=0),"",DA12/CA12),"N/A")</f>
        <v/>
      </c>
      <c r="CA22" s="12">
        <f>IFERROR(IF(OR(CB12="",DB12="",VALUE(CB12)=0),"",DB12/CB12),"N/A")</f>
        <v/>
      </c>
      <c r="CB22" s="12">
        <f>IFERROR(IF(OR(CC12="",DC12="",VALUE(CC12)=0),"",DC12/CC12),"N/A")</f>
        <v/>
      </c>
      <c r="CC22" s="12">
        <f>IFERROR(IF(OR(CD12="",DD12="",VALUE(CD12)=0),"",DD12/CD12),"N/A")</f>
        <v/>
      </c>
      <c r="CD22" s="12">
        <f>IFERROR(IF(OR(CE12="",DE12="",VALUE(CE12)=0),"",DE12/CE12),"N/A")</f>
        <v/>
      </c>
      <c r="CE22" s="12">
        <f>IFERROR(IF(OR(CF12="",DF12="",VALUE(CF12)=0),"",DF12/CF12),"N/A")</f>
        <v/>
      </c>
    </row>
    <row r="24" ht="18" customHeight="1">
      <c r="A24" s="13" t="inlineStr">
        <is>
          <t>REGRESSION SUMMARY  (n=7 points per element per acid system)</t>
        </is>
      </c>
    </row>
    <row r="25" ht="42" customHeight="1">
      <c r="A25" s="14" t="inlineStr">
        <is>
          <t>Element</t>
        </is>
      </c>
      <c r="B25" s="14" t="inlineStr">
        <is>
          <t>n_valid</t>
        </is>
      </c>
      <c r="C25" s="14" t="inlineStr">
        <is>
          <t>P_load</t>
        </is>
      </c>
      <c r="D25" s="14" t="inlineStr">
        <is>
          <t>Q_load</t>
        </is>
      </c>
      <c r="E25" s="14" t="inlineStr">
        <is>
          <t>R²_load</t>
        </is>
      </c>
      <c r="F25" s="14" t="inlineStr">
        <is>
          <t>R²adj_load</t>
        </is>
      </c>
      <c r="G25" s="14" t="inlineStr">
        <is>
          <t>SE_Q_load</t>
        </is>
      </c>
      <c r="H25" s="15" t="inlineStr">
        <is>
          <t>P_strip</t>
        </is>
      </c>
      <c r="I25" s="15" t="inlineStr">
        <is>
          <t>Q_strip</t>
        </is>
      </c>
      <c r="J25" s="15" t="inlineStr">
        <is>
          <t>R²_strip</t>
        </is>
      </c>
      <c r="K25" s="15" t="inlineStr">
        <is>
          <t>R²adj_strip</t>
        </is>
      </c>
      <c r="L25" s="15" t="inlineStr">
        <is>
          <t>SE_Q_strip</t>
        </is>
      </c>
      <c r="M25" s="15" t="inlineStr">
        <is>
          <t>Notes</t>
        </is>
      </c>
    </row>
    <row r="26" ht="15" customHeight="1">
      <c r="A26" s="9" t="inlineStr">
        <is>
          <t>Al</t>
        </is>
      </c>
      <c r="B26" s="12">
        <f>SUMPRODUCT((ISNUMBER(B16:B22)*1))</f>
        <v/>
      </c>
      <c r="C26" s="16">
        <f>IFERROR(IF(SUMPRODUCT(ISNUMBER(B16:B22)*1)&lt;2,"Need≥2",EXP(INTERCEPT(IF(ISNUMBER(B16:B22),LN(B16:B22),FALSE),IF(ISNUMBER(B16:B22),LN(B6:B12),FALSE)))),"N/A")</f>
        <v/>
      </c>
      <c r="D26" s="16">
        <f>IFERROR(IF(SUMPRODUCT(ISNUMBER(B16:B22)*1)&lt;2,"Need≥2",SLOPE(IF(ISNUMBER(B16:B22),LN(B16:B22),FALSE),IF(ISNUMBER(B16:B22),LN(B6:B12),FALSE))),"N/A")</f>
        <v/>
      </c>
      <c r="E26" s="12">
        <f>IFERROR(IF(SUMPRODUCT(ISNUMBER(B16:B22)*1)&lt;2,"Need≥2",RSQ(IF(ISNUMBER(B16:B22),LN(B16:B22),FALSE),IF(ISNUMBER(B16:B22),LN(B6:B12),FALSE))),"N/A")</f>
        <v/>
      </c>
      <c r="F26" s="12">
        <f>IFERROR(IF(SUMPRODUCT(ISNUMBER(B16:B22)*1)&lt;3,"Need≥3",1-(1-(IFERROR(IF(SUMPRODUCT(ISNUMBER(B16:B22)*1)&lt;2,"Need≥2",RSQ(IF(ISNUMBER(B16:B22),LN(B16:B22),FALSE),IF(ISNUMBER(B16:B22),LN(B6:B12),FALSE))),"N/A")))*(B26-1)/(B26-2)),"N/A")</f>
        <v/>
      </c>
      <c r="G26" s="12">
        <f>IFERROR(IF(SUMPRODUCT(ISNUMBER(B16:B22)*1)&lt;3,"Need≥3",SQRT((1-(IFERROR(IF(SUMPRODUCT(ISNUMBER(B16:B22)*1)&lt;2,"Need≥2",RSQ(IF(ISNUMBER(B16:B22),LN(B16:B22),FALSE),IF(ISNUMBER(B16:B22),LN(B6:B12),FALSE))),"N/A")))*VAR(IF(ISNUMBER(B16:B22),LN(B16:B22),FALSE))/((B26-2)*VAR(IF(ISNUMBER(B16:B22),LN(B6:B12),FALSE))))),"N/A")</f>
        <v/>
      </c>
      <c r="H26" s="16">
        <f>IFERROR(IF(SUMPRODUCT(ISNUMBER(BF16:BF22)*1)&lt;2,"Need≥2",EXP(INTERCEPT(IF(ISNUMBER(BF16:BF22),LN(BF16:BF22),FALSE),IF(ISNUMBER(BF16:BF22),LN(BF6:BF12),FALSE)))),"N/A")</f>
        <v/>
      </c>
      <c r="I26" s="16">
        <f>IFERROR(IF(SUMPRODUCT(ISNUMBER(BF16:BF22)*1)&lt;2,"Need≥2",SLOPE(IF(ISNUMBER(BF16:BF22),LN(BF16:BF22),FALSE),IF(ISNUMBER(BF16:BF22),LN(BF6:BF12),FALSE))),"N/A")</f>
        <v/>
      </c>
      <c r="J26" s="12">
        <f>IFERROR(IF(SUMPRODUCT(ISNUMBER(BF16:BF22)*1)&lt;2,"Need≥2",RSQ(IF(ISNUMBER(BF16:BF22),LN(BF16:BF22),FALSE),IF(ISNUMBER(BF16:BF22),LN(BF6:BF12),FALSE))),"N/A")</f>
        <v/>
      </c>
      <c r="K26" s="12">
        <f>IFERROR(IF(SUMPRODUCT(ISNUMBER(BF16:BF22)*1)&lt;3,"Need≥3",1-(1-(IFERROR(IF(SUMPRODUCT(ISNUMBER(BF16:BF22)*1)&lt;2,"Need≥2",RSQ(IF(ISNUMBER(BF16:BF22),LN(BF16:BF22),FALSE),IF(ISNUMBER(BF16:BF22),LN(BF6:BF12),FALSE))),"N/A")))*(B26-1)/(B26-2)),"N/A")</f>
        <v/>
      </c>
      <c r="L26" s="12">
        <f>IFERROR(IF(SUMPRODUCT(ISNUMBER(BF16:BF22)*1)&lt;3,"Need≥3",SQRT((1-(IFERROR(IF(SUMPRODUCT(ISNUMBER(BF16:BF22)*1)&lt;2,"Need≥2",RSQ(IF(ISNUMBER(BF16:BF22),LN(BF16:BF22),FALSE),IF(ISNUMBER(BF16:BF22),LN(BF6:BF12),FALSE))),"N/A")))*VAR(IF(ISNUMBER(BF16:BF22),LN(BF16:BF22),FALSE))/((B26-2)*VAR(IF(ISNUMBER(BF16:BF22),LN(BF6:BF12),FALSE))))),"N/A")</f>
        <v/>
      </c>
      <c r="M26" s="12">
        <f>IF(ISNUMBER(F26),IF(F26&lt;0.85,"⚠ Check fit","OK"),"")</f>
        <v/>
      </c>
    </row>
    <row r="27" ht="15" customHeight="1">
      <c r="A27" s="9" t="inlineStr">
        <is>
          <t>Sc</t>
        </is>
      </c>
      <c r="B27" s="12">
        <f>SUMPRODUCT((ISNUMBER(C16:C22)*1))</f>
        <v/>
      </c>
      <c r="C27" s="16">
        <f>IFERROR(IF(SUMPRODUCT(ISNUMBER(C16:C22)*1)&lt;2,"Need≥2",EXP(INTERCEPT(IF(ISNUMBER(C16:C22),LN(C16:C22),FALSE),IF(ISNUMBER(C16:C22),LN(B6:B12),FALSE)))),"N/A")</f>
        <v/>
      </c>
      <c r="D27" s="16">
        <f>IFERROR(IF(SUMPRODUCT(ISNUMBER(C16:C22)*1)&lt;2,"Need≥2",SLOPE(IF(ISNUMBER(C16:C22),LN(C16:C22),FALSE),IF(ISNUMBER(C16:C22),LN(B6:B12),FALSE))),"N/A")</f>
        <v/>
      </c>
      <c r="E27" s="12">
        <f>IFERROR(IF(SUMPRODUCT(ISNUMBER(C16:C22)*1)&lt;2,"Need≥2",RSQ(IF(ISNUMBER(C16:C22),LN(C16:C22),FALSE),IF(ISNUMBER(C16:C22),LN(B6:B12),FALSE))),"N/A")</f>
        <v/>
      </c>
      <c r="F27" s="12">
        <f>IFERROR(IF(SUMPRODUCT(ISNUMBER(C16:C22)*1)&lt;3,"Need≥3",1-(1-(IFERROR(IF(SUMPRODUCT(ISNUMBER(C16:C22)*1)&lt;2,"Need≥2",RSQ(IF(ISNUMBER(C16:C22),LN(C16:C22),FALSE),IF(ISNUMBER(C16:C22),LN(B6:B12),FALSE))),"N/A")))*(B27-1)/(B27-2)),"N/A")</f>
        <v/>
      </c>
      <c r="G27" s="12">
        <f>IFERROR(IF(SUMPRODUCT(ISNUMBER(C16:C22)*1)&lt;3,"Need≥3",SQRT((1-(IFERROR(IF(SUMPRODUCT(ISNUMBER(C16:C22)*1)&lt;2,"Need≥2",RSQ(IF(ISNUMBER(C16:C22),LN(C16:C22),FALSE),IF(ISNUMBER(C16:C22),LN(B6:B12),FALSE))),"N/A")))*VAR(IF(ISNUMBER(C16:C22),LN(C16:C22),FALSE))/((B27-2)*VAR(IF(ISNUMBER(C16:C22),LN(B6:B12),FALSE))))),"N/A")</f>
        <v/>
      </c>
      <c r="H27" s="16">
        <f>IFERROR(IF(SUMPRODUCT(ISNUMBER(BG16:BG22)*1)&lt;2,"Need≥2",EXP(INTERCEPT(IF(ISNUMBER(BG16:BG22),LN(BG16:BG22),FALSE),IF(ISNUMBER(BG16:BG22),LN(BF6:BF12),FALSE)))),"N/A")</f>
        <v/>
      </c>
      <c r="I27" s="16">
        <f>IFERROR(IF(SUMPRODUCT(ISNUMBER(BG16:BG22)*1)&lt;2,"Need≥2",SLOPE(IF(ISNUMBER(BG16:BG22),LN(BG16:BG22),FALSE),IF(ISNUMBER(BG16:BG22),LN(BF6:BF12),FALSE))),"N/A")</f>
        <v/>
      </c>
      <c r="J27" s="12">
        <f>IFERROR(IF(SUMPRODUCT(ISNUMBER(BG16:BG22)*1)&lt;2,"Need≥2",RSQ(IF(ISNUMBER(BG16:BG22),LN(BG16:BG22),FALSE),IF(ISNUMBER(BG16:BG22),LN(BF6:BF12),FALSE))),"N/A")</f>
        <v/>
      </c>
      <c r="K27" s="12">
        <f>IFERROR(IF(SUMPRODUCT(ISNUMBER(BG16:BG22)*1)&lt;3,"Need≥3",1-(1-(IFERROR(IF(SUMPRODUCT(ISNUMBER(BG16:BG22)*1)&lt;2,"Need≥2",RSQ(IF(ISNUMBER(BG16:BG22),LN(BG16:BG22),FALSE),IF(ISNUMBER(BG16:BG22),LN(BF6:BF12),FALSE))),"N/A")))*(B27-1)/(B27-2)),"N/A")</f>
        <v/>
      </c>
      <c r="L27" s="12">
        <f>IFERROR(IF(SUMPRODUCT(ISNUMBER(BG16:BG22)*1)&lt;3,"Need≥3",SQRT((1-(IFERROR(IF(SUMPRODUCT(ISNUMBER(BG16:BG22)*1)&lt;2,"Need≥2",RSQ(IF(ISNUMBER(BG16:BG22),LN(BG16:BG22),FALSE),IF(ISNUMBER(BG16:BG22),LN(BF6:BF12),FALSE))),"N/A")))*VAR(IF(ISNUMBER(BG16:BG22),LN(BG16:BG22),FALSE))/((B27-2)*VAR(IF(ISNUMBER(BG16:BG22),LN(BF6:BF12),FALSE))))),"N/A")</f>
        <v/>
      </c>
      <c r="M27" s="12">
        <f>IF(ISNUMBER(F27),IF(F27&lt;0.85,"⚠ Check fit","OK"),"")</f>
        <v/>
      </c>
    </row>
    <row r="28" ht="15" customHeight="1">
      <c r="A28" s="9" t="inlineStr">
        <is>
          <t>Fe</t>
        </is>
      </c>
      <c r="B28" s="12">
        <f>SUMPRODUCT((ISNUMBER(D16:D22)*1))</f>
        <v/>
      </c>
      <c r="C28" s="16">
        <f>IFERROR(IF(SUMPRODUCT(ISNUMBER(D16:D22)*1)&lt;2,"Need≥2",EXP(INTERCEPT(IF(ISNUMBER(D16:D22),LN(D16:D22),FALSE),IF(ISNUMBER(D16:D22),LN(B6:B12),FALSE)))),"N/A")</f>
        <v/>
      </c>
      <c r="D28" s="16">
        <f>IFERROR(IF(SUMPRODUCT(ISNUMBER(D16:D22)*1)&lt;2,"Need≥2",SLOPE(IF(ISNUMBER(D16:D22),LN(D16:D22),FALSE),IF(ISNUMBER(D16:D22),LN(B6:B12),FALSE))),"N/A")</f>
        <v/>
      </c>
      <c r="E28" s="12">
        <f>IFERROR(IF(SUMPRODUCT(ISNUMBER(D16:D22)*1)&lt;2,"Need≥2",RSQ(IF(ISNUMBER(D16:D22),LN(D16:D22),FALSE),IF(ISNUMBER(D16:D22),LN(B6:B12),FALSE))),"N/A")</f>
        <v/>
      </c>
      <c r="F28" s="12">
        <f>IFERROR(IF(SUMPRODUCT(ISNUMBER(D16:D22)*1)&lt;3,"Need≥3",1-(1-(IFERROR(IF(SUMPRODUCT(ISNUMBER(D16:D22)*1)&lt;2,"Need≥2",RSQ(IF(ISNUMBER(D16:D22),LN(D16:D22),FALSE),IF(ISNUMBER(D16:D22),LN(B6:B12),FALSE))),"N/A")))*(B28-1)/(B28-2)),"N/A")</f>
        <v/>
      </c>
      <c r="G28" s="12">
        <f>IFERROR(IF(SUMPRODUCT(ISNUMBER(D16:D22)*1)&lt;3,"Need≥3",SQRT((1-(IFERROR(IF(SUMPRODUCT(ISNUMBER(D16:D22)*1)&lt;2,"Need≥2",RSQ(IF(ISNUMBER(D16:D22),LN(D16:D22),FALSE),IF(ISNUMBER(D16:D22),LN(B6:B12),FALSE))),"N/A")))*VAR(IF(ISNUMBER(D16:D22),LN(D16:D22),FALSE))/((B28-2)*VAR(IF(ISNUMBER(D16:D22),LN(B6:B12),FALSE))))),"N/A")</f>
        <v/>
      </c>
      <c r="H28" s="16">
        <f>IFERROR(IF(SUMPRODUCT(ISNUMBER(BH16:BH22)*1)&lt;2,"Need≥2",EXP(INTERCEPT(IF(ISNUMBER(BH16:BH22),LN(BH16:BH22),FALSE),IF(ISNUMBER(BH16:BH22),LN(BF6:BF12),FALSE)))),"N/A")</f>
        <v/>
      </c>
      <c r="I28" s="16">
        <f>IFERROR(IF(SUMPRODUCT(ISNUMBER(BH16:BH22)*1)&lt;2,"Need≥2",SLOPE(IF(ISNUMBER(BH16:BH22),LN(BH16:BH22),FALSE),IF(ISNUMBER(BH16:BH22),LN(BF6:BF12),FALSE))),"N/A")</f>
        <v/>
      </c>
      <c r="J28" s="12">
        <f>IFERROR(IF(SUMPRODUCT(ISNUMBER(BH16:BH22)*1)&lt;2,"Need≥2",RSQ(IF(ISNUMBER(BH16:BH22),LN(BH16:BH22),FALSE),IF(ISNUMBER(BH16:BH22),LN(BF6:BF12),FALSE))),"N/A")</f>
        <v/>
      </c>
      <c r="K28" s="12">
        <f>IFERROR(IF(SUMPRODUCT(ISNUMBER(BH16:BH22)*1)&lt;3,"Need≥3",1-(1-(IFERROR(IF(SUMPRODUCT(ISNUMBER(BH16:BH22)*1)&lt;2,"Need≥2",RSQ(IF(ISNUMBER(BH16:BH22),LN(BH16:BH22),FALSE),IF(ISNUMBER(BH16:BH22),LN(BF6:BF12),FALSE))),"N/A")))*(B28-1)/(B28-2)),"N/A")</f>
        <v/>
      </c>
      <c r="L28" s="12">
        <f>IFERROR(IF(SUMPRODUCT(ISNUMBER(BH16:BH22)*1)&lt;3,"Need≥3",SQRT((1-(IFERROR(IF(SUMPRODUCT(ISNUMBER(BH16:BH22)*1)&lt;2,"Need≥2",RSQ(IF(ISNUMBER(BH16:BH22),LN(BH16:BH22),FALSE),IF(ISNUMBER(BH16:BH22),LN(BF6:BF12),FALSE))),"N/A")))*VAR(IF(ISNUMBER(BH16:BH22),LN(BH16:BH22),FALSE))/((B28-2)*VAR(IF(ISNUMBER(BH16:BH22),LN(BF6:BF12),FALSE))))),"N/A")</f>
        <v/>
      </c>
      <c r="M28" s="12">
        <f>IF(ISNUMBER(F28),IF(F28&lt;0.85,"⚠ Check fit","OK"),"")</f>
        <v/>
      </c>
    </row>
    <row r="29" ht="15" customHeight="1">
      <c r="A29" s="9" t="inlineStr">
        <is>
          <t>Co</t>
        </is>
      </c>
      <c r="B29" s="12">
        <f>SUMPRODUCT((ISNUMBER(E16:E22)*1))</f>
        <v/>
      </c>
      <c r="C29" s="16">
        <f>IFERROR(IF(SUMPRODUCT(ISNUMBER(E16:E22)*1)&lt;2,"Need≥2",EXP(INTERCEPT(IF(ISNUMBER(E16:E22),LN(E16:E22),FALSE),IF(ISNUMBER(E16:E22),LN(B6:B12),FALSE)))),"N/A")</f>
        <v/>
      </c>
      <c r="D29" s="16">
        <f>IFERROR(IF(SUMPRODUCT(ISNUMBER(E16:E22)*1)&lt;2,"Need≥2",SLOPE(IF(ISNUMBER(E16:E22),LN(E16:E22),FALSE),IF(ISNUMBER(E16:E22),LN(B6:B12),FALSE))),"N/A")</f>
        <v/>
      </c>
      <c r="E29" s="12">
        <f>IFERROR(IF(SUMPRODUCT(ISNUMBER(E16:E22)*1)&lt;2,"Need≥2",RSQ(IF(ISNUMBER(E16:E22),LN(E16:E22),FALSE),IF(ISNUMBER(E16:E22),LN(B6:B12),FALSE))),"N/A")</f>
        <v/>
      </c>
      <c r="F29" s="12">
        <f>IFERROR(IF(SUMPRODUCT(ISNUMBER(E16:E22)*1)&lt;3,"Need≥3",1-(1-(IFERROR(IF(SUMPRODUCT(ISNUMBER(E16:E22)*1)&lt;2,"Need≥2",RSQ(IF(ISNUMBER(E16:E22),LN(E16:E22),FALSE),IF(ISNUMBER(E16:E22),LN(B6:B12),FALSE))),"N/A")))*(B29-1)/(B29-2)),"N/A")</f>
        <v/>
      </c>
      <c r="G29" s="12">
        <f>IFERROR(IF(SUMPRODUCT(ISNUMBER(E16:E22)*1)&lt;3,"Need≥3",SQRT((1-(IFERROR(IF(SUMPRODUCT(ISNUMBER(E16:E22)*1)&lt;2,"Need≥2",RSQ(IF(ISNUMBER(E16:E22),LN(E16:E22),FALSE),IF(ISNUMBER(E16:E22),LN(B6:B12),FALSE))),"N/A")))*VAR(IF(ISNUMBER(E16:E22),LN(E16:E22),FALSE))/((B29-2)*VAR(IF(ISNUMBER(E16:E22),LN(B6:B12),FALSE))))),"N/A")</f>
        <v/>
      </c>
      <c r="H29" s="16">
        <f>IFERROR(IF(SUMPRODUCT(ISNUMBER(BI16:BI22)*1)&lt;2,"Need≥2",EXP(INTERCEPT(IF(ISNUMBER(BI16:BI22),LN(BI16:BI22),FALSE),IF(ISNUMBER(BI16:BI22),LN(BF6:BF12),FALSE)))),"N/A")</f>
        <v/>
      </c>
      <c r="I29" s="16">
        <f>IFERROR(IF(SUMPRODUCT(ISNUMBER(BI16:BI22)*1)&lt;2,"Need≥2",SLOPE(IF(ISNUMBER(BI16:BI22),LN(BI16:BI22),FALSE),IF(ISNUMBER(BI16:BI22),LN(BF6:BF12),FALSE))),"N/A")</f>
        <v/>
      </c>
      <c r="J29" s="12">
        <f>IFERROR(IF(SUMPRODUCT(ISNUMBER(BI16:BI22)*1)&lt;2,"Need≥2",RSQ(IF(ISNUMBER(BI16:BI22),LN(BI16:BI22),FALSE),IF(ISNUMBER(BI16:BI22),LN(BF6:BF12),FALSE))),"N/A")</f>
        <v/>
      </c>
      <c r="K29" s="12">
        <f>IFERROR(IF(SUMPRODUCT(ISNUMBER(BI16:BI22)*1)&lt;3,"Need≥3",1-(1-(IFERROR(IF(SUMPRODUCT(ISNUMBER(BI16:BI22)*1)&lt;2,"Need≥2",RSQ(IF(ISNUMBER(BI16:BI22),LN(BI16:BI22),FALSE),IF(ISNUMBER(BI16:BI22),LN(BF6:BF12),FALSE))),"N/A")))*(B29-1)/(B29-2)),"N/A")</f>
        <v/>
      </c>
      <c r="L29" s="12">
        <f>IFERROR(IF(SUMPRODUCT(ISNUMBER(BI16:BI22)*1)&lt;3,"Need≥3",SQRT((1-(IFERROR(IF(SUMPRODUCT(ISNUMBER(BI16:BI22)*1)&lt;2,"Need≥2",RSQ(IF(ISNUMBER(BI16:BI22),LN(BI16:BI22),FALSE),IF(ISNUMBER(BI16:BI22),LN(BF6:BF12),FALSE))),"N/A")))*VAR(IF(ISNUMBER(BI16:BI22),LN(BI16:BI22),FALSE))/((B29-2)*VAR(IF(ISNUMBER(BI16:BI22),LN(BF6:BF12),FALSE))))),"N/A")</f>
        <v/>
      </c>
      <c r="M29" s="12">
        <f>IF(ISNUMBER(F29),IF(F29&lt;0.85,"⚠ Check fit","OK"),"")</f>
        <v/>
      </c>
    </row>
    <row r="30" ht="15" customHeight="1">
      <c r="A30" s="9" t="inlineStr">
        <is>
          <t>Zn</t>
        </is>
      </c>
      <c r="B30" s="12">
        <f>SUMPRODUCT((ISNUMBER(F16:F22)*1))</f>
        <v/>
      </c>
      <c r="C30" s="16">
        <f>IFERROR(IF(SUMPRODUCT(ISNUMBER(F16:F22)*1)&lt;2,"Need≥2",EXP(INTERCEPT(IF(ISNUMBER(F16:F22),LN(F16:F22),FALSE),IF(ISNUMBER(F16:F22),LN(B6:B12),FALSE)))),"N/A")</f>
        <v/>
      </c>
      <c r="D30" s="16">
        <f>IFERROR(IF(SUMPRODUCT(ISNUMBER(F16:F22)*1)&lt;2,"Need≥2",SLOPE(IF(ISNUMBER(F16:F22),LN(F16:F22),FALSE),IF(ISNUMBER(F16:F22),LN(B6:B12),FALSE))),"N/A")</f>
        <v/>
      </c>
      <c r="E30" s="12">
        <f>IFERROR(IF(SUMPRODUCT(ISNUMBER(F16:F22)*1)&lt;2,"Need≥2",RSQ(IF(ISNUMBER(F16:F22),LN(F16:F22),FALSE),IF(ISNUMBER(F16:F22),LN(B6:B12),FALSE))),"N/A")</f>
        <v/>
      </c>
      <c r="F30" s="12">
        <f>IFERROR(IF(SUMPRODUCT(ISNUMBER(F16:F22)*1)&lt;3,"Need≥3",1-(1-(IFERROR(IF(SUMPRODUCT(ISNUMBER(F16:F22)*1)&lt;2,"Need≥2",RSQ(IF(ISNUMBER(F16:F22),LN(F16:F22),FALSE),IF(ISNUMBER(F16:F22),LN(B6:B12),FALSE))),"N/A")))*(B30-1)/(B30-2)),"N/A")</f>
        <v/>
      </c>
      <c r="G30" s="12">
        <f>IFERROR(IF(SUMPRODUCT(ISNUMBER(F16:F22)*1)&lt;3,"Need≥3",SQRT((1-(IFERROR(IF(SUMPRODUCT(ISNUMBER(F16:F22)*1)&lt;2,"Need≥2",RSQ(IF(ISNUMBER(F16:F22),LN(F16:F22),FALSE),IF(ISNUMBER(F16:F22),LN(B6:B12),FALSE))),"N/A")))*VAR(IF(ISNUMBER(F16:F22),LN(F16:F22),FALSE))/((B30-2)*VAR(IF(ISNUMBER(F16:F22),LN(B6:B12),FALSE))))),"N/A")</f>
        <v/>
      </c>
      <c r="H30" s="16">
        <f>IFERROR(IF(SUMPRODUCT(ISNUMBER(BJ16:BJ22)*1)&lt;2,"Need≥2",EXP(INTERCEPT(IF(ISNUMBER(BJ16:BJ22),LN(BJ16:BJ22),FALSE),IF(ISNUMBER(BJ16:BJ22),LN(BF6:BF12),FALSE)))),"N/A")</f>
        <v/>
      </c>
      <c r="I30" s="16">
        <f>IFERROR(IF(SUMPRODUCT(ISNUMBER(BJ16:BJ22)*1)&lt;2,"Need≥2",SLOPE(IF(ISNUMBER(BJ16:BJ22),LN(BJ16:BJ22),FALSE),IF(ISNUMBER(BJ16:BJ22),LN(BF6:BF12),FALSE))),"N/A")</f>
        <v/>
      </c>
      <c r="J30" s="12">
        <f>IFERROR(IF(SUMPRODUCT(ISNUMBER(BJ16:BJ22)*1)&lt;2,"Need≥2",RSQ(IF(ISNUMBER(BJ16:BJ22),LN(BJ16:BJ22),FALSE),IF(ISNUMBER(BJ16:BJ22),LN(BF6:BF12),FALSE))),"N/A")</f>
        <v/>
      </c>
      <c r="K30" s="12">
        <f>IFERROR(IF(SUMPRODUCT(ISNUMBER(BJ16:BJ22)*1)&lt;3,"Need≥3",1-(1-(IFERROR(IF(SUMPRODUCT(ISNUMBER(BJ16:BJ22)*1)&lt;2,"Need≥2",RSQ(IF(ISNUMBER(BJ16:BJ22),LN(BJ16:BJ22),FALSE),IF(ISNUMBER(BJ16:BJ22),LN(BF6:BF12),FALSE))),"N/A")))*(B30-1)/(B30-2)),"N/A")</f>
        <v/>
      </c>
      <c r="L30" s="12">
        <f>IFERROR(IF(SUMPRODUCT(ISNUMBER(BJ16:BJ22)*1)&lt;3,"Need≥3",SQRT((1-(IFERROR(IF(SUMPRODUCT(ISNUMBER(BJ16:BJ22)*1)&lt;2,"Need≥2",RSQ(IF(ISNUMBER(BJ16:BJ22),LN(BJ16:BJ22),FALSE),IF(ISNUMBER(BJ16:BJ22),LN(BF6:BF12),FALSE))),"N/A")))*VAR(IF(ISNUMBER(BJ16:BJ22),LN(BJ16:BJ22),FALSE))/((B30-2)*VAR(IF(ISNUMBER(BJ16:BJ22),LN(BF6:BF12),FALSE))))),"N/A")</f>
        <v/>
      </c>
      <c r="M30" s="12">
        <f>IF(ISNUMBER(F30),IF(F30&lt;0.85,"⚠ Check fit","OK"),"")</f>
        <v/>
      </c>
    </row>
    <row r="31" ht="15" customHeight="1">
      <c r="A31" s="9" t="inlineStr">
        <is>
          <t>Ga</t>
        </is>
      </c>
      <c r="B31" s="12">
        <f>SUMPRODUCT((ISNUMBER(G16:G22)*1))</f>
        <v/>
      </c>
      <c r="C31" s="16">
        <f>IFERROR(IF(SUMPRODUCT(ISNUMBER(G16:G22)*1)&lt;2,"Need≥2",EXP(INTERCEPT(IF(ISNUMBER(G16:G22),LN(G16:G22),FALSE),IF(ISNUMBER(G16:G22),LN(B6:B12),FALSE)))),"N/A")</f>
        <v/>
      </c>
      <c r="D31" s="16">
        <f>IFERROR(IF(SUMPRODUCT(ISNUMBER(G16:G22)*1)&lt;2,"Need≥2",SLOPE(IF(ISNUMBER(G16:G22),LN(G16:G22),FALSE),IF(ISNUMBER(G16:G22),LN(B6:B12),FALSE))),"N/A")</f>
        <v/>
      </c>
      <c r="E31" s="12">
        <f>IFERROR(IF(SUMPRODUCT(ISNUMBER(G16:G22)*1)&lt;2,"Need≥2",RSQ(IF(ISNUMBER(G16:G22),LN(G16:G22),FALSE),IF(ISNUMBER(G16:G22),LN(B6:B12),FALSE))),"N/A")</f>
        <v/>
      </c>
      <c r="F31" s="12">
        <f>IFERROR(IF(SUMPRODUCT(ISNUMBER(G16:G22)*1)&lt;3,"Need≥3",1-(1-(IFERROR(IF(SUMPRODUCT(ISNUMBER(G16:G22)*1)&lt;2,"Need≥2",RSQ(IF(ISNUMBER(G16:G22),LN(G16:G22),FALSE),IF(ISNUMBER(G16:G22),LN(B6:B12),FALSE))),"N/A")))*(B31-1)/(B31-2)),"N/A")</f>
        <v/>
      </c>
      <c r="G31" s="12">
        <f>IFERROR(IF(SUMPRODUCT(ISNUMBER(G16:G22)*1)&lt;3,"Need≥3",SQRT((1-(IFERROR(IF(SUMPRODUCT(ISNUMBER(G16:G22)*1)&lt;2,"Need≥2",RSQ(IF(ISNUMBER(G16:G22),LN(G16:G22),FALSE),IF(ISNUMBER(G16:G22),LN(B6:B12),FALSE))),"N/A")))*VAR(IF(ISNUMBER(G16:G22),LN(G16:G22),FALSE))/((B31-2)*VAR(IF(ISNUMBER(G16:G22),LN(B6:B12),FALSE))))),"N/A")</f>
        <v/>
      </c>
      <c r="H31" s="16">
        <f>IFERROR(IF(SUMPRODUCT(ISNUMBER(BK16:BK22)*1)&lt;2,"Need≥2",EXP(INTERCEPT(IF(ISNUMBER(BK16:BK22),LN(BK16:BK22),FALSE),IF(ISNUMBER(BK16:BK22),LN(BF6:BF12),FALSE)))),"N/A")</f>
        <v/>
      </c>
      <c r="I31" s="16">
        <f>IFERROR(IF(SUMPRODUCT(ISNUMBER(BK16:BK22)*1)&lt;2,"Need≥2",SLOPE(IF(ISNUMBER(BK16:BK22),LN(BK16:BK22),FALSE),IF(ISNUMBER(BK16:BK22),LN(BF6:BF12),FALSE))),"N/A")</f>
        <v/>
      </c>
      <c r="J31" s="12">
        <f>IFERROR(IF(SUMPRODUCT(ISNUMBER(BK16:BK22)*1)&lt;2,"Need≥2",RSQ(IF(ISNUMBER(BK16:BK22),LN(BK16:BK22),FALSE),IF(ISNUMBER(BK16:BK22),LN(BF6:BF12),FALSE))),"N/A")</f>
        <v/>
      </c>
      <c r="K31" s="12">
        <f>IFERROR(IF(SUMPRODUCT(ISNUMBER(BK16:BK22)*1)&lt;3,"Need≥3",1-(1-(IFERROR(IF(SUMPRODUCT(ISNUMBER(BK16:BK22)*1)&lt;2,"Need≥2",RSQ(IF(ISNUMBER(BK16:BK22),LN(BK16:BK22),FALSE),IF(ISNUMBER(BK16:BK22),LN(BF6:BF12),FALSE))),"N/A")))*(B31-1)/(B31-2)),"N/A")</f>
        <v/>
      </c>
      <c r="L31" s="12">
        <f>IFERROR(IF(SUMPRODUCT(ISNUMBER(BK16:BK22)*1)&lt;3,"Need≥3",SQRT((1-(IFERROR(IF(SUMPRODUCT(ISNUMBER(BK16:BK22)*1)&lt;2,"Need≥2",RSQ(IF(ISNUMBER(BK16:BK22),LN(BK16:BK22),FALSE),IF(ISNUMBER(BK16:BK22),LN(BF6:BF12),FALSE))),"N/A")))*VAR(IF(ISNUMBER(BK16:BK22),LN(BK16:BK22),FALSE))/((B31-2)*VAR(IF(ISNUMBER(BK16:BK22),LN(BF6:BF12),FALSE))))),"N/A")</f>
        <v/>
      </c>
      <c r="M31" s="12">
        <f>IF(ISNUMBER(F31),IF(F31&lt;0.85,"⚠ Check fit","OK"),"")</f>
        <v/>
      </c>
    </row>
    <row r="32" ht="15" customHeight="1">
      <c r="A32" s="9" t="inlineStr">
        <is>
          <t>Rb</t>
        </is>
      </c>
      <c r="B32" s="12">
        <f>SUMPRODUCT((ISNUMBER(H16:H22)*1))</f>
        <v/>
      </c>
      <c r="C32" s="16">
        <f>IFERROR(IF(SUMPRODUCT(ISNUMBER(H16:H22)*1)&lt;2,"Need≥2",EXP(INTERCEPT(IF(ISNUMBER(H16:H22),LN(H16:H22),FALSE),IF(ISNUMBER(H16:H22),LN(B6:B12),FALSE)))),"N/A")</f>
        <v/>
      </c>
      <c r="D32" s="16">
        <f>IFERROR(IF(SUMPRODUCT(ISNUMBER(H16:H22)*1)&lt;2,"Need≥2",SLOPE(IF(ISNUMBER(H16:H22),LN(H16:H22),FALSE),IF(ISNUMBER(H16:H22),LN(B6:B12),FALSE))),"N/A")</f>
        <v/>
      </c>
      <c r="E32" s="12">
        <f>IFERROR(IF(SUMPRODUCT(ISNUMBER(H16:H22)*1)&lt;2,"Need≥2",RSQ(IF(ISNUMBER(H16:H22),LN(H16:H22),FALSE),IF(ISNUMBER(H16:H22),LN(B6:B12),FALSE))),"N/A")</f>
        <v/>
      </c>
      <c r="F32" s="12">
        <f>IFERROR(IF(SUMPRODUCT(ISNUMBER(H16:H22)*1)&lt;3,"Need≥3",1-(1-(IFERROR(IF(SUMPRODUCT(ISNUMBER(H16:H22)*1)&lt;2,"Need≥2",RSQ(IF(ISNUMBER(H16:H22),LN(H16:H22),FALSE),IF(ISNUMBER(H16:H22),LN(B6:B12),FALSE))),"N/A")))*(B32-1)/(B32-2)),"N/A")</f>
        <v/>
      </c>
      <c r="G32" s="12">
        <f>IFERROR(IF(SUMPRODUCT(ISNUMBER(H16:H22)*1)&lt;3,"Need≥3",SQRT((1-(IFERROR(IF(SUMPRODUCT(ISNUMBER(H16:H22)*1)&lt;2,"Need≥2",RSQ(IF(ISNUMBER(H16:H22),LN(H16:H22),FALSE),IF(ISNUMBER(H16:H22),LN(B6:B12),FALSE))),"N/A")))*VAR(IF(ISNUMBER(H16:H22),LN(H16:H22),FALSE))/((B32-2)*VAR(IF(ISNUMBER(H16:H22),LN(B6:B12),FALSE))))),"N/A")</f>
        <v/>
      </c>
      <c r="H32" s="16">
        <f>IFERROR(IF(SUMPRODUCT(ISNUMBER(BL16:BL22)*1)&lt;2,"Need≥2",EXP(INTERCEPT(IF(ISNUMBER(BL16:BL22),LN(BL16:BL22),FALSE),IF(ISNUMBER(BL16:BL22),LN(BF6:BF12),FALSE)))),"N/A")</f>
        <v/>
      </c>
      <c r="I32" s="16">
        <f>IFERROR(IF(SUMPRODUCT(ISNUMBER(BL16:BL22)*1)&lt;2,"Need≥2",SLOPE(IF(ISNUMBER(BL16:BL22),LN(BL16:BL22),FALSE),IF(ISNUMBER(BL16:BL22),LN(BF6:BF12),FALSE))),"N/A")</f>
        <v/>
      </c>
      <c r="J32" s="12">
        <f>IFERROR(IF(SUMPRODUCT(ISNUMBER(BL16:BL22)*1)&lt;2,"Need≥2",RSQ(IF(ISNUMBER(BL16:BL22),LN(BL16:BL22),FALSE),IF(ISNUMBER(BL16:BL22),LN(BF6:BF12),FALSE))),"N/A")</f>
        <v/>
      </c>
      <c r="K32" s="12">
        <f>IFERROR(IF(SUMPRODUCT(ISNUMBER(BL16:BL22)*1)&lt;3,"Need≥3",1-(1-(IFERROR(IF(SUMPRODUCT(ISNUMBER(BL16:BL22)*1)&lt;2,"Need≥2",RSQ(IF(ISNUMBER(BL16:BL22),LN(BL16:BL22),FALSE),IF(ISNUMBER(BL16:BL22),LN(BF6:BF12),FALSE))),"N/A")))*(B32-1)/(B32-2)),"N/A")</f>
        <v/>
      </c>
      <c r="L32" s="12">
        <f>IFERROR(IF(SUMPRODUCT(ISNUMBER(BL16:BL22)*1)&lt;3,"Need≥3",SQRT((1-(IFERROR(IF(SUMPRODUCT(ISNUMBER(BL16:BL22)*1)&lt;2,"Need≥2",RSQ(IF(ISNUMBER(BL16:BL22),LN(BL16:BL22),FALSE),IF(ISNUMBER(BL16:BL22),LN(BF6:BF12),FALSE))),"N/A")))*VAR(IF(ISNUMBER(BL16:BL22),LN(BL16:BL22),FALSE))/((B32-2)*VAR(IF(ISNUMBER(BL16:BL22),LN(BF6:BF12),FALSE))))),"N/A")</f>
        <v/>
      </c>
      <c r="M32" s="12">
        <f>IF(ISNUMBER(F32),IF(F32&lt;0.85,"⚠ Check fit","OK"),"")</f>
        <v/>
      </c>
    </row>
    <row r="33" ht="15" customHeight="1">
      <c r="A33" s="9" t="inlineStr">
        <is>
          <t>Y</t>
        </is>
      </c>
      <c r="B33" s="12">
        <f>SUMPRODUCT((ISNUMBER(I16:I22)*1))</f>
        <v/>
      </c>
      <c r="C33" s="16">
        <f>IFERROR(IF(SUMPRODUCT(ISNUMBER(I16:I22)*1)&lt;2,"Need≥2",EXP(INTERCEPT(IF(ISNUMBER(I16:I22),LN(I16:I22),FALSE),IF(ISNUMBER(I16:I22),LN(B6:B12),FALSE)))),"N/A")</f>
        <v/>
      </c>
      <c r="D33" s="16">
        <f>IFERROR(IF(SUMPRODUCT(ISNUMBER(I16:I22)*1)&lt;2,"Need≥2",SLOPE(IF(ISNUMBER(I16:I22),LN(I16:I22),FALSE),IF(ISNUMBER(I16:I22),LN(B6:B12),FALSE))),"N/A")</f>
        <v/>
      </c>
      <c r="E33" s="12">
        <f>IFERROR(IF(SUMPRODUCT(ISNUMBER(I16:I22)*1)&lt;2,"Need≥2",RSQ(IF(ISNUMBER(I16:I22),LN(I16:I22),FALSE),IF(ISNUMBER(I16:I22),LN(B6:B12),FALSE))),"N/A")</f>
        <v/>
      </c>
      <c r="F33" s="12">
        <f>IFERROR(IF(SUMPRODUCT(ISNUMBER(I16:I22)*1)&lt;3,"Need≥3",1-(1-(IFERROR(IF(SUMPRODUCT(ISNUMBER(I16:I22)*1)&lt;2,"Need≥2",RSQ(IF(ISNUMBER(I16:I22),LN(I16:I22),FALSE),IF(ISNUMBER(I16:I22),LN(B6:B12),FALSE))),"N/A")))*(B33-1)/(B33-2)),"N/A")</f>
        <v/>
      </c>
      <c r="G33" s="12">
        <f>IFERROR(IF(SUMPRODUCT(ISNUMBER(I16:I22)*1)&lt;3,"Need≥3",SQRT((1-(IFERROR(IF(SUMPRODUCT(ISNUMBER(I16:I22)*1)&lt;2,"Need≥2",RSQ(IF(ISNUMBER(I16:I22),LN(I16:I22),FALSE),IF(ISNUMBER(I16:I22),LN(B6:B12),FALSE))),"N/A")))*VAR(IF(ISNUMBER(I16:I22),LN(I16:I22),FALSE))/((B33-2)*VAR(IF(ISNUMBER(I16:I22),LN(B6:B12),FALSE))))),"N/A")</f>
        <v/>
      </c>
      <c r="H33" s="16">
        <f>IFERROR(IF(SUMPRODUCT(ISNUMBER(BM16:BM22)*1)&lt;2,"Need≥2",EXP(INTERCEPT(IF(ISNUMBER(BM16:BM22),LN(BM16:BM22),FALSE),IF(ISNUMBER(BM16:BM22),LN(BF6:BF12),FALSE)))),"N/A")</f>
        <v/>
      </c>
      <c r="I33" s="16">
        <f>IFERROR(IF(SUMPRODUCT(ISNUMBER(BM16:BM22)*1)&lt;2,"Need≥2",SLOPE(IF(ISNUMBER(BM16:BM22),LN(BM16:BM22),FALSE),IF(ISNUMBER(BM16:BM22),LN(BF6:BF12),FALSE))),"N/A")</f>
        <v/>
      </c>
      <c r="J33" s="12">
        <f>IFERROR(IF(SUMPRODUCT(ISNUMBER(BM16:BM22)*1)&lt;2,"Need≥2",RSQ(IF(ISNUMBER(BM16:BM22),LN(BM16:BM22),FALSE),IF(ISNUMBER(BM16:BM22),LN(BF6:BF12),FALSE))),"N/A")</f>
        <v/>
      </c>
      <c r="K33" s="12">
        <f>IFERROR(IF(SUMPRODUCT(ISNUMBER(BM16:BM22)*1)&lt;3,"Need≥3",1-(1-(IFERROR(IF(SUMPRODUCT(ISNUMBER(BM16:BM22)*1)&lt;2,"Need≥2",RSQ(IF(ISNUMBER(BM16:BM22),LN(BM16:BM22),FALSE),IF(ISNUMBER(BM16:BM22),LN(BF6:BF12),FALSE))),"N/A")))*(B33-1)/(B33-2)),"N/A")</f>
        <v/>
      </c>
      <c r="L33" s="12">
        <f>IFERROR(IF(SUMPRODUCT(ISNUMBER(BM16:BM22)*1)&lt;3,"Need≥3",SQRT((1-(IFERROR(IF(SUMPRODUCT(ISNUMBER(BM16:BM22)*1)&lt;2,"Need≥2",RSQ(IF(ISNUMBER(BM16:BM22),LN(BM16:BM22),FALSE),IF(ISNUMBER(BM16:BM22),LN(BF6:BF12),FALSE))),"N/A")))*VAR(IF(ISNUMBER(BM16:BM22),LN(BM16:BM22),FALSE))/((B33-2)*VAR(IF(ISNUMBER(BM16:BM22),LN(BF6:BF12),FALSE))))),"N/A")</f>
        <v/>
      </c>
      <c r="M33" s="12">
        <f>IF(ISNUMBER(F33),IF(F33&lt;0.85,"⚠ Check fit","OK"),"")</f>
        <v/>
      </c>
    </row>
    <row r="34" ht="15" customHeight="1">
      <c r="A34" s="9" t="inlineStr">
        <is>
          <t>Zr</t>
        </is>
      </c>
      <c r="B34" s="12">
        <f>SUMPRODUCT((ISNUMBER(J16:J22)*1))</f>
        <v/>
      </c>
      <c r="C34" s="16">
        <f>IFERROR(IF(SUMPRODUCT(ISNUMBER(J16:J22)*1)&lt;2,"Need≥2",EXP(INTERCEPT(IF(ISNUMBER(J16:J22),LN(J16:J22),FALSE),IF(ISNUMBER(J16:J22),LN(B6:B12),FALSE)))),"N/A")</f>
        <v/>
      </c>
      <c r="D34" s="16">
        <f>IFERROR(IF(SUMPRODUCT(ISNUMBER(J16:J22)*1)&lt;2,"Need≥2",SLOPE(IF(ISNUMBER(J16:J22),LN(J16:J22),FALSE),IF(ISNUMBER(J16:J22),LN(B6:B12),FALSE))),"N/A")</f>
        <v/>
      </c>
      <c r="E34" s="12">
        <f>IFERROR(IF(SUMPRODUCT(ISNUMBER(J16:J22)*1)&lt;2,"Need≥2",RSQ(IF(ISNUMBER(J16:J22),LN(J16:J22),FALSE),IF(ISNUMBER(J16:J22),LN(B6:B12),FALSE))),"N/A")</f>
        <v/>
      </c>
      <c r="F34" s="12">
        <f>IFERROR(IF(SUMPRODUCT(ISNUMBER(J16:J22)*1)&lt;3,"Need≥3",1-(1-(IFERROR(IF(SUMPRODUCT(ISNUMBER(J16:J22)*1)&lt;2,"Need≥2",RSQ(IF(ISNUMBER(J16:J22),LN(J16:J22),FALSE),IF(ISNUMBER(J16:J22),LN(B6:B12),FALSE))),"N/A")))*(B34-1)/(B34-2)),"N/A")</f>
        <v/>
      </c>
      <c r="G34" s="12">
        <f>IFERROR(IF(SUMPRODUCT(ISNUMBER(J16:J22)*1)&lt;3,"Need≥3",SQRT((1-(IFERROR(IF(SUMPRODUCT(ISNUMBER(J16:J22)*1)&lt;2,"Need≥2",RSQ(IF(ISNUMBER(J16:J22),LN(J16:J22),FALSE),IF(ISNUMBER(J16:J22),LN(B6:B12),FALSE))),"N/A")))*VAR(IF(ISNUMBER(J16:J22),LN(J16:J22),FALSE))/((B34-2)*VAR(IF(ISNUMBER(J16:J22),LN(B6:B12),FALSE))))),"N/A")</f>
        <v/>
      </c>
      <c r="H34" s="16">
        <f>IFERROR(IF(SUMPRODUCT(ISNUMBER(BN16:BN22)*1)&lt;2,"Need≥2",EXP(INTERCEPT(IF(ISNUMBER(BN16:BN22),LN(BN16:BN22),FALSE),IF(ISNUMBER(BN16:BN22),LN(BF6:BF12),FALSE)))),"N/A")</f>
        <v/>
      </c>
      <c r="I34" s="16">
        <f>IFERROR(IF(SUMPRODUCT(ISNUMBER(BN16:BN22)*1)&lt;2,"Need≥2",SLOPE(IF(ISNUMBER(BN16:BN22),LN(BN16:BN22),FALSE),IF(ISNUMBER(BN16:BN22),LN(BF6:BF12),FALSE))),"N/A")</f>
        <v/>
      </c>
      <c r="J34" s="12">
        <f>IFERROR(IF(SUMPRODUCT(ISNUMBER(BN16:BN22)*1)&lt;2,"Need≥2",RSQ(IF(ISNUMBER(BN16:BN22),LN(BN16:BN22),FALSE),IF(ISNUMBER(BN16:BN22),LN(BF6:BF12),FALSE))),"N/A")</f>
        <v/>
      </c>
      <c r="K34" s="12">
        <f>IFERROR(IF(SUMPRODUCT(ISNUMBER(BN16:BN22)*1)&lt;3,"Need≥3",1-(1-(IFERROR(IF(SUMPRODUCT(ISNUMBER(BN16:BN22)*1)&lt;2,"Need≥2",RSQ(IF(ISNUMBER(BN16:BN22),LN(BN16:BN22),FALSE),IF(ISNUMBER(BN16:BN22),LN(BF6:BF12),FALSE))),"N/A")))*(B34-1)/(B34-2)),"N/A")</f>
        <v/>
      </c>
      <c r="L34" s="12">
        <f>IFERROR(IF(SUMPRODUCT(ISNUMBER(BN16:BN22)*1)&lt;3,"Need≥3",SQRT((1-(IFERROR(IF(SUMPRODUCT(ISNUMBER(BN16:BN22)*1)&lt;2,"Need≥2",RSQ(IF(ISNUMBER(BN16:BN22),LN(BN16:BN22),FALSE),IF(ISNUMBER(BN16:BN22),LN(BF6:BF12),FALSE))),"N/A")))*VAR(IF(ISNUMBER(BN16:BN22),LN(BN16:BN22),FALSE))/((B34-2)*VAR(IF(ISNUMBER(BN16:BN22),LN(BF6:BF12),FALSE))))),"N/A")</f>
        <v/>
      </c>
      <c r="M34" s="12">
        <f>IF(ISNUMBER(F34),IF(F34&lt;0.85,"⚠ Check fit","OK"),"")</f>
        <v/>
      </c>
    </row>
    <row r="35" ht="15" customHeight="1">
      <c r="A35" s="9" t="inlineStr">
        <is>
          <t>La</t>
        </is>
      </c>
      <c r="B35" s="12">
        <f>SUMPRODUCT((ISNUMBER(K16:K22)*1))</f>
        <v/>
      </c>
      <c r="C35" s="16">
        <f>IFERROR(IF(SUMPRODUCT(ISNUMBER(K16:K22)*1)&lt;2,"Need≥2",EXP(INTERCEPT(IF(ISNUMBER(K16:K22),LN(K16:K22),FALSE),IF(ISNUMBER(K16:K22),LN(B6:B12),FALSE)))),"N/A")</f>
        <v/>
      </c>
      <c r="D35" s="16">
        <f>IFERROR(IF(SUMPRODUCT(ISNUMBER(K16:K22)*1)&lt;2,"Need≥2",SLOPE(IF(ISNUMBER(K16:K22),LN(K16:K22),FALSE),IF(ISNUMBER(K16:K22),LN(B6:B12),FALSE))),"N/A")</f>
        <v/>
      </c>
      <c r="E35" s="12">
        <f>IFERROR(IF(SUMPRODUCT(ISNUMBER(K16:K22)*1)&lt;2,"Need≥2",RSQ(IF(ISNUMBER(K16:K22),LN(K16:K22),FALSE),IF(ISNUMBER(K16:K22),LN(B6:B12),FALSE))),"N/A")</f>
        <v/>
      </c>
      <c r="F35" s="12">
        <f>IFERROR(IF(SUMPRODUCT(ISNUMBER(K16:K22)*1)&lt;3,"Need≥3",1-(1-(IFERROR(IF(SUMPRODUCT(ISNUMBER(K16:K22)*1)&lt;2,"Need≥2",RSQ(IF(ISNUMBER(K16:K22),LN(K16:K22),FALSE),IF(ISNUMBER(K16:K22),LN(B6:B12),FALSE))),"N/A")))*(B35-1)/(B35-2)),"N/A")</f>
        <v/>
      </c>
      <c r="G35" s="12">
        <f>IFERROR(IF(SUMPRODUCT(ISNUMBER(K16:K22)*1)&lt;3,"Need≥3",SQRT((1-(IFERROR(IF(SUMPRODUCT(ISNUMBER(K16:K22)*1)&lt;2,"Need≥2",RSQ(IF(ISNUMBER(K16:K22),LN(K16:K22),FALSE),IF(ISNUMBER(K16:K22),LN(B6:B12),FALSE))),"N/A")))*VAR(IF(ISNUMBER(K16:K22),LN(K16:K22),FALSE))/((B35-2)*VAR(IF(ISNUMBER(K16:K22),LN(B6:B12),FALSE))))),"N/A")</f>
        <v/>
      </c>
      <c r="H35" s="16">
        <f>IFERROR(IF(SUMPRODUCT(ISNUMBER(BO16:BO22)*1)&lt;2,"Need≥2",EXP(INTERCEPT(IF(ISNUMBER(BO16:BO22),LN(BO16:BO22),FALSE),IF(ISNUMBER(BO16:BO22),LN(BF6:BF12),FALSE)))),"N/A")</f>
        <v/>
      </c>
      <c r="I35" s="16">
        <f>IFERROR(IF(SUMPRODUCT(ISNUMBER(BO16:BO22)*1)&lt;2,"Need≥2",SLOPE(IF(ISNUMBER(BO16:BO22),LN(BO16:BO22),FALSE),IF(ISNUMBER(BO16:BO22),LN(BF6:BF12),FALSE))),"N/A")</f>
        <v/>
      </c>
      <c r="J35" s="12">
        <f>IFERROR(IF(SUMPRODUCT(ISNUMBER(BO16:BO22)*1)&lt;2,"Need≥2",RSQ(IF(ISNUMBER(BO16:BO22),LN(BO16:BO22),FALSE),IF(ISNUMBER(BO16:BO22),LN(BF6:BF12),FALSE))),"N/A")</f>
        <v/>
      </c>
      <c r="K35" s="12">
        <f>IFERROR(IF(SUMPRODUCT(ISNUMBER(BO16:BO22)*1)&lt;3,"Need≥3",1-(1-(IFERROR(IF(SUMPRODUCT(ISNUMBER(BO16:BO22)*1)&lt;2,"Need≥2",RSQ(IF(ISNUMBER(BO16:BO22),LN(BO16:BO22),FALSE),IF(ISNUMBER(BO16:BO22),LN(BF6:BF12),FALSE))),"N/A")))*(B35-1)/(B35-2)),"N/A")</f>
        <v/>
      </c>
      <c r="L35" s="12">
        <f>IFERROR(IF(SUMPRODUCT(ISNUMBER(BO16:BO22)*1)&lt;3,"Need≥3",SQRT((1-(IFERROR(IF(SUMPRODUCT(ISNUMBER(BO16:BO22)*1)&lt;2,"Need≥2",RSQ(IF(ISNUMBER(BO16:BO22),LN(BO16:BO22),FALSE),IF(ISNUMBER(BO16:BO22),LN(BF6:BF12),FALSE))),"N/A")))*VAR(IF(ISNUMBER(BO16:BO22),LN(BO16:BO22),FALSE))/((B35-2)*VAR(IF(ISNUMBER(BO16:BO22),LN(BF6:BF12),FALSE))))),"N/A")</f>
        <v/>
      </c>
      <c r="M35" s="12">
        <f>IF(ISNUMBER(F35),IF(F35&lt;0.85,"⚠ Check fit","OK"),"")</f>
        <v/>
      </c>
    </row>
    <row r="36" ht="15" customHeight="1">
      <c r="A36" s="9" t="inlineStr">
        <is>
          <t>Ce</t>
        </is>
      </c>
      <c r="B36" s="12">
        <f>SUMPRODUCT((ISNUMBER(L16:L22)*1))</f>
        <v/>
      </c>
      <c r="C36" s="16">
        <f>IFERROR(IF(SUMPRODUCT(ISNUMBER(L16:L22)*1)&lt;2,"Need≥2",EXP(INTERCEPT(IF(ISNUMBER(L16:L22),LN(L16:L22),FALSE),IF(ISNUMBER(L16:L22),LN(B6:B12),FALSE)))),"N/A")</f>
        <v/>
      </c>
      <c r="D36" s="16">
        <f>IFERROR(IF(SUMPRODUCT(ISNUMBER(L16:L22)*1)&lt;2,"Need≥2",SLOPE(IF(ISNUMBER(L16:L22),LN(L16:L22),FALSE),IF(ISNUMBER(L16:L22),LN(B6:B12),FALSE))),"N/A")</f>
        <v/>
      </c>
      <c r="E36" s="12">
        <f>IFERROR(IF(SUMPRODUCT(ISNUMBER(L16:L22)*1)&lt;2,"Need≥2",RSQ(IF(ISNUMBER(L16:L22),LN(L16:L22),FALSE),IF(ISNUMBER(L16:L22),LN(B6:B12),FALSE))),"N/A")</f>
        <v/>
      </c>
      <c r="F36" s="12">
        <f>IFERROR(IF(SUMPRODUCT(ISNUMBER(L16:L22)*1)&lt;3,"Need≥3",1-(1-(IFERROR(IF(SUMPRODUCT(ISNUMBER(L16:L22)*1)&lt;2,"Need≥2",RSQ(IF(ISNUMBER(L16:L22),LN(L16:L22),FALSE),IF(ISNUMBER(L16:L22),LN(B6:B12),FALSE))),"N/A")))*(B36-1)/(B36-2)),"N/A")</f>
        <v/>
      </c>
      <c r="G36" s="12">
        <f>IFERROR(IF(SUMPRODUCT(ISNUMBER(L16:L22)*1)&lt;3,"Need≥3",SQRT((1-(IFERROR(IF(SUMPRODUCT(ISNUMBER(L16:L22)*1)&lt;2,"Need≥2",RSQ(IF(ISNUMBER(L16:L22),LN(L16:L22),FALSE),IF(ISNUMBER(L16:L22),LN(B6:B12),FALSE))),"N/A")))*VAR(IF(ISNUMBER(L16:L22),LN(L16:L22),FALSE))/((B36-2)*VAR(IF(ISNUMBER(L16:L22),LN(B6:B12),FALSE))))),"N/A")</f>
        <v/>
      </c>
      <c r="H36" s="16">
        <f>IFERROR(IF(SUMPRODUCT(ISNUMBER(BP16:BP22)*1)&lt;2,"Need≥2",EXP(INTERCEPT(IF(ISNUMBER(BP16:BP22),LN(BP16:BP22),FALSE),IF(ISNUMBER(BP16:BP22),LN(BF6:BF12),FALSE)))),"N/A")</f>
        <v/>
      </c>
      <c r="I36" s="16">
        <f>IFERROR(IF(SUMPRODUCT(ISNUMBER(BP16:BP22)*1)&lt;2,"Need≥2",SLOPE(IF(ISNUMBER(BP16:BP22),LN(BP16:BP22),FALSE),IF(ISNUMBER(BP16:BP22),LN(BF6:BF12),FALSE))),"N/A")</f>
        <v/>
      </c>
      <c r="J36" s="12">
        <f>IFERROR(IF(SUMPRODUCT(ISNUMBER(BP16:BP22)*1)&lt;2,"Need≥2",RSQ(IF(ISNUMBER(BP16:BP22),LN(BP16:BP22),FALSE),IF(ISNUMBER(BP16:BP22),LN(BF6:BF12),FALSE))),"N/A")</f>
        <v/>
      </c>
      <c r="K36" s="12">
        <f>IFERROR(IF(SUMPRODUCT(ISNUMBER(BP16:BP22)*1)&lt;3,"Need≥3",1-(1-(IFERROR(IF(SUMPRODUCT(ISNUMBER(BP16:BP22)*1)&lt;2,"Need≥2",RSQ(IF(ISNUMBER(BP16:BP22),LN(BP16:BP22),FALSE),IF(ISNUMBER(BP16:BP22),LN(BF6:BF12),FALSE))),"N/A")))*(B36-1)/(B36-2)),"N/A")</f>
        <v/>
      </c>
      <c r="L36" s="12">
        <f>IFERROR(IF(SUMPRODUCT(ISNUMBER(BP16:BP22)*1)&lt;3,"Need≥3",SQRT((1-(IFERROR(IF(SUMPRODUCT(ISNUMBER(BP16:BP22)*1)&lt;2,"Need≥2",RSQ(IF(ISNUMBER(BP16:BP22),LN(BP16:BP22),FALSE),IF(ISNUMBER(BP16:BP22),LN(BF6:BF12),FALSE))),"N/A")))*VAR(IF(ISNUMBER(BP16:BP22),LN(BP16:BP22),FALSE))/((B36-2)*VAR(IF(ISNUMBER(BP16:BP22),LN(BF6:BF12),FALSE))))),"N/A")</f>
        <v/>
      </c>
      <c r="M36" s="12">
        <f>IF(ISNUMBER(F36),IF(F36&lt;0.85,"⚠ Check fit","OK"),"")</f>
        <v/>
      </c>
    </row>
    <row r="37" ht="15" customHeight="1">
      <c r="A37" s="9" t="inlineStr">
        <is>
          <t>Pr</t>
        </is>
      </c>
      <c r="B37" s="12">
        <f>SUMPRODUCT((ISNUMBER(M16:M22)*1))</f>
        <v/>
      </c>
      <c r="C37" s="16">
        <f>IFERROR(IF(SUMPRODUCT(ISNUMBER(M16:M22)*1)&lt;2,"Need≥2",EXP(INTERCEPT(IF(ISNUMBER(M16:M22),LN(M16:M22),FALSE),IF(ISNUMBER(M16:M22),LN(B6:B12),FALSE)))),"N/A")</f>
        <v/>
      </c>
      <c r="D37" s="16">
        <f>IFERROR(IF(SUMPRODUCT(ISNUMBER(M16:M22)*1)&lt;2,"Need≥2",SLOPE(IF(ISNUMBER(M16:M22),LN(M16:M22),FALSE),IF(ISNUMBER(M16:M22),LN(B6:B12),FALSE))),"N/A")</f>
        <v/>
      </c>
      <c r="E37" s="12">
        <f>IFERROR(IF(SUMPRODUCT(ISNUMBER(M16:M22)*1)&lt;2,"Need≥2",RSQ(IF(ISNUMBER(M16:M22),LN(M16:M22),FALSE),IF(ISNUMBER(M16:M22),LN(B6:B12),FALSE))),"N/A")</f>
        <v/>
      </c>
      <c r="F37" s="12">
        <f>IFERROR(IF(SUMPRODUCT(ISNUMBER(M16:M22)*1)&lt;3,"Need≥3",1-(1-(IFERROR(IF(SUMPRODUCT(ISNUMBER(M16:M22)*1)&lt;2,"Need≥2",RSQ(IF(ISNUMBER(M16:M22),LN(M16:M22),FALSE),IF(ISNUMBER(M16:M22),LN(B6:B12),FALSE))),"N/A")))*(B37-1)/(B37-2)),"N/A")</f>
        <v/>
      </c>
      <c r="G37" s="12">
        <f>IFERROR(IF(SUMPRODUCT(ISNUMBER(M16:M22)*1)&lt;3,"Need≥3",SQRT((1-(IFERROR(IF(SUMPRODUCT(ISNUMBER(M16:M22)*1)&lt;2,"Need≥2",RSQ(IF(ISNUMBER(M16:M22),LN(M16:M22),FALSE),IF(ISNUMBER(M16:M22),LN(B6:B12),FALSE))),"N/A")))*VAR(IF(ISNUMBER(M16:M22),LN(M16:M22),FALSE))/((B37-2)*VAR(IF(ISNUMBER(M16:M22),LN(B6:B12),FALSE))))),"N/A")</f>
        <v/>
      </c>
      <c r="H37" s="16">
        <f>IFERROR(IF(SUMPRODUCT(ISNUMBER(BQ16:BQ22)*1)&lt;2,"Need≥2",EXP(INTERCEPT(IF(ISNUMBER(BQ16:BQ22),LN(BQ16:BQ22),FALSE),IF(ISNUMBER(BQ16:BQ22),LN(BF6:BF12),FALSE)))),"N/A")</f>
        <v/>
      </c>
      <c r="I37" s="16">
        <f>IFERROR(IF(SUMPRODUCT(ISNUMBER(BQ16:BQ22)*1)&lt;2,"Need≥2",SLOPE(IF(ISNUMBER(BQ16:BQ22),LN(BQ16:BQ22),FALSE),IF(ISNUMBER(BQ16:BQ22),LN(BF6:BF12),FALSE))),"N/A")</f>
        <v/>
      </c>
      <c r="J37" s="12">
        <f>IFERROR(IF(SUMPRODUCT(ISNUMBER(BQ16:BQ22)*1)&lt;2,"Need≥2",RSQ(IF(ISNUMBER(BQ16:BQ22),LN(BQ16:BQ22),FALSE),IF(ISNUMBER(BQ16:BQ22),LN(BF6:BF12),FALSE))),"N/A")</f>
        <v/>
      </c>
      <c r="K37" s="12">
        <f>IFERROR(IF(SUMPRODUCT(ISNUMBER(BQ16:BQ22)*1)&lt;3,"Need≥3",1-(1-(IFERROR(IF(SUMPRODUCT(ISNUMBER(BQ16:BQ22)*1)&lt;2,"Need≥2",RSQ(IF(ISNUMBER(BQ16:BQ22),LN(BQ16:BQ22),FALSE),IF(ISNUMBER(BQ16:BQ22),LN(BF6:BF12),FALSE))),"N/A")))*(B37-1)/(B37-2)),"N/A")</f>
        <v/>
      </c>
      <c r="L37" s="12">
        <f>IFERROR(IF(SUMPRODUCT(ISNUMBER(BQ16:BQ22)*1)&lt;3,"Need≥3",SQRT((1-(IFERROR(IF(SUMPRODUCT(ISNUMBER(BQ16:BQ22)*1)&lt;2,"Need≥2",RSQ(IF(ISNUMBER(BQ16:BQ22),LN(BQ16:BQ22),FALSE),IF(ISNUMBER(BQ16:BQ22),LN(BF6:BF12),FALSE))),"N/A")))*VAR(IF(ISNUMBER(BQ16:BQ22),LN(BQ16:BQ22),FALSE))/((B37-2)*VAR(IF(ISNUMBER(BQ16:BQ22),LN(BF6:BF12),FALSE))))),"N/A")</f>
        <v/>
      </c>
      <c r="M37" s="12">
        <f>IF(ISNUMBER(F37),IF(F37&lt;0.85,"⚠ Check fit","OK"),"")</f>
        <v/>
      </c>
    </row>
    <row r="38" ht="15" customHeight="1">
      <c r="A38" s="9" t="inlineStr">
        <is>
          <t>Nd</t>
        </is>
      </c>
      <c r="B38" s="12">
        <f>SUMPRODUCT((ISNUMBER(N16:N22)*1))</f>
        <v/>
      </c>
      <c r="C38" s="16">
        <f>IFERROR(IF(SUMPRODUCT(ISNUMBER(N16:N22)*1)&lt;2,"Need≥2",EXP(INTERCEPT(IF(ISNUMBER(N16:N22),LN(N16:N22),FALSE),IF(ISNUMBER(N16:N22),LN(B6:B12),FALSE)))),"N/A")</f>
        <v/>
      </c>
      <c r="D38" s="16">
        <f>IFERROR(IF(SUMPRODUCT(ISNUMBER(N16:N22)*1)&lt;2,"Need≥2",SLOPE(IF(ISNUMBER(N16:N22),LN(N16:N22),FALSE),IF(ISNUMBER(N16:N22),LN(B6:B12),FALSE))),"N/A")</f>
        <v/>
      </c>
      <c r="E38" s="12">
        <f>IFERROR(IF(SUMPRODUCT(ISNUMBER(N16:N22)*1)&lt;2,"Need≥2",RSQ(IF(ISNUMBER(N16:N22),LN(N16:N22),FALSE),IF(ISNUMBER(N16:N22),LN(B6:B12),FALSE))),"N/A")</f>
        <v/>
      </c>
      <c r="F38" s="12">
        <f>IFERROR(IF(SUMPRODUCT(ISNUMBER(N16:N22)*1)&lt;3,"Need≥3",1-(1-(IFERROR(IF(SUMPRODUCT(ISNUMBER(N16:N22)*1)&lt;2,"Need≥2",RSQ(IF(ISNUMBER(N16:N22),LN(N16:N22),FALSE),IF(ISNUMBER(N16:N22),LN(B6:B12),FALSE))),"N/A")))*(B38-1)/(B38-2)),"N/A")</f>
        <v/>
      </c>
      <c r="G38" s="12">
        <f>IFERROR(IF(SUMPRODUCT(ISNUMBER(N16:N22)*1)&lt;3,"Need≥3",SQRT((1-(IFERROR(IF(SUMPRODUCT(ISNUMBER(N16:N22)*1)&lt;2,"Need≥2",RSQ(IF(ISNUMBER(N16:N22),LN(N16:N22),FALSE),IF(ISNUMBER(N16:N22),LN(B6:B12),FALSE))),"N/A")))*VAR(IF(ISNUMBER(N16:N22),LN(N16:N22),FALSE))/((B38-2)*VAR(IF(ISNUMBER(N16:N22),LN(B6:B12),FALSE))))),"N/A")</f>
        <v/>
      </c>
      <c r="H38" s="16">
        <f>IFERROR(IF(SUMPRODUCT(ISNUMBER(BR16:BR22)*1)&lt;2,"Need≥2",EXP(INTERCEPT(IF(ISNUMBER(BR16:BR22),LN(BR16:BR22),FALSE),IF(ISNUMBER(BR16:BR22),LN(BF6:BF12),FALSE)))),"N/A")</f>
        <v/>
      </c>
      <c r="I38" s="16">
        <f>IFERROR(IF(SUMPRODUCT(ISNUMBER(BR16:BR22)*1)&lt;2,"Need≥2",SLOPE(IF(ISNUMBER(BR16:BR22),LN(BR16:BR22),FALSE),IF(ISNUMBER(BR16:BR22),LN(BF6:BF12),FALSE))),"N/A")</f>
        <v/>
      </c>
      <c r="J38" s="12">
        <f>IFERROR(IF(SUMPRODUCT(ISNUMBER(BR16:BR22)*1)&lt;2,"Need≥2",RSQ(IF(ISNUMBER(BR16:BR22),LN(BR16:BR22),FALSE),IF(ISNUMBER(BR16:BR22),LN(BF6:BF12),FALSE))),"N/A")</f>
        <v/>
      </c>
      <c r="K38" s="12">
        <f>IFERROR(IF(SUMPRODUCT(ISNUMBER(BR16:BR22)*1)&lt;3,"Need≥3",1-(1-(IFERROR(IF(SUMPRODUCT(ISNUMBER(BR16:BR22)*1)&lt;2,"Need≥2",RSQ(IF(ISNUMBER(BR16:BR22),LN(BR16:BR22),FALSE),IF(ISNUMBER(BR16:BR22),LN(BF6:BF12),FALSE))),"N/A")))*(B38-1)/(B38-2)),"N/A")</f>
        <v/>
      </c>
      <c r="L38" s="12">
        <f>IFERROR(IF(SUMPRODUCT(ISNUMBER(BR16:BR22)*1)&lt;3,"Need≥3",SQRT((1-(IFERROR(IF(SUMPRODUCT(ISNUMBER(BR16:BR22)*1)&lt;2,"Need≥2",RSQ(IF(ISNUMBER(BR16:BR22),LN(BR16:BR22),FALSE),IF(ISNUMBER(BR16:BR22),LN(BF6:BF12),FALSE))),"N/A")))*VAR(IF(ISNUMBER(BR16:BR22),LN(BR16:BR22),FALSE))/((B38-2)*VAR(IF(ISNUMBER(BR16:BR22),LN(BF6:BF12),FALSE))))),"N/A")</f>
        <v/>
      </c>
      <c r="M38" s="12">
        <f>IF(ISNUMBER(F38),IF(F38&lt;0.85,"⚠ Check fit","OK"),"")</f>
        <v/>
      </c>
    </row>
    <row r="39" ht="15" customHeight="1">
      <c r="A39" s="9" t="inlineStr">
        <is>
          <t>Sm</t>
        </is>
      </c>
      <c r="B39" s="12">
        <f>SUMPRODUCT((ISNUMBER(O16:O22)*1))</f>
        <v/>
      </c>
      <c r="C39" s="16">
        <f>IFERROR(IF(SUMPRODUCT(ISNUMBER(O16:O22)*1)&lt;2,"Need≥2",EXP(INTERCEPT(IF(ISNUMBER(O16:O22),LN(O16:O22),FALSE),IF(ISNUMBER(O16:O22),LN(B6:B12),FALSE)))),"N/A")</f>
        <v/>
      </c>
      <c r="D39" s="16">
        <f>IFERROR(IF(SUMPRODUCT(ISNUMBER(O16:O22)*1)&lt;2,"Need≥2",SLOPE(IF(ISNUMBER(O16:O22),LN(O16:O22),FALSE),IF(ISNUMBER(O16:O22),LN(B6:B12),FALSE))),"N/A")</f>
        <v/>
      </c>
      <c r="E39" s="12">
        <f>IFERROR(IF(SUMPRODUCT(ISNUMBER(O16:O22)*1)&lt;2,"Need≥2",RSQ(IF(ISNUMBER(O16:O22),LN(O16:O22),FALSE),IF(ISNUMBER(O16:O22),LN(B6:B12),FALSE))),"N/A")</f>
        <v/>
      </c>
      <c r="F39" s="12">
        <f>IFERROR(IF(SUMPRODUCT(ISNUMBER(O16:O22)*1)&lt;3,"Need≥3",1-(1-(IFERROR(IF(SUMPRODUCT(ISNUMBER(O16:O22)*1)&lt;2,"Need≥2",RSQ(IF(ISNUMBER(O16:O22),LN(O16:O22),FALSE),IF(ISNUMBER(O16:O22),LN(B6:B12),FALSE))),"N/A")))*(B39-1)/(B39-2)),"N/A")</f>
        <v/>
      </c>
      <c r="G39" s="12">
        <f>IFERROR(IF(SUMPRODUCT(ISNUMBER(O16:O22)*1)&lt;3,"Need≥3",SQRT((1-(IFERROR(IF(SUMPRODUCT(ISNUMBER(O16:O22)*1)&lt;2,"Need≥2",RSQ(IF(ISNUMBER(O16:O22),LN(O16:O22),FALSE),IF(ISNUMBER(O16:O22),LN(B6:B12),FALSE))),"N/A")))*VAR(IF(ISNUMBER(O16:O22),LN(O16:O22),FALSE))/((B39-2)*VAR(IF(ISNUMBER(O16:O22),LN(B6:B12),FALSE))))),"N/A")</f>
        <v/>
      </c>
      <c r="H39" s="16">
        <f>IFERROR(IF(SUMPRODUCT(ISNUMBER(BS16:BS22)*1)&lt;2,"Need≥2",EXP(INTERCEPT(IF(ISNUMBER(BS16:BS22),LN(BS16:BS22),FALSE),IF(ISNUMBER(BS16:BS22),LN(BF6:BF12),FALSE)))),"N/A")</f>
        <v/>
      </c>
      <c r="I39" s="16">
        <f>IFERROR(IF(SUMPRODUCT(ISNUMBER(BS16:BS22)*1)&lt;2,"Need≥2",SLOPE(IF(ISNUMBER(BS16:BS22),LN(BS16:BS22),FALSE),IF(ISNUMBER(BS16:BS22),LN(BF6:BF12),FALSE))),"N/A")</f>
        <v/>
      </c>
      <c r="J39" s="12">
        <f>IFERROR(IF(SUMPRODUCT(ISNUMBER(BS16:BS22)*1)&lt;2,"Need≥2",RSQ(IF(ISNUMBER(BS16:BS22),LN(BS16:BS22),FALSE),IF(ISNUMBER(BS16:BS22),LN(BF6:BF12),FALSE))),"N/A")</f>
        <v/>
      </c>
      <c r="K39" s="12">
        <f>IFERROR(IF(SUMPRODUCT(ISNUMBER(BS16:BS22)*1)&lt;3,"Need≥3",1-(1-(IFERROR(IF(SUMPRODUCT(ISNUMBER(BS16:BS22)*1)&lt;2,"Need≥2",RSQ(IF(ISNUMBER(BS16:BS22),LN(BS16:BS22),FALSE),IF(ISNUMBER(BS16:BS22),LN(BF6:BF12),FALSE))),"N/A")))*(B39-1)/(B39-2)),"N/A")</f>
        <v/>
      </c>
      <c r="L39" s="12">
        <f>IFERROR(IF(SUMPRODUCT(ISNUMBER(BS16:BS22)*1)&lt;3,"Need≥3",SQRT((1-(IFERROR(IF(SUMPRODUCT(ISNUMBER(BS16:BS22)*1)&lt;2,"Need≥2",RSQ(IF(ISNUMBER(BS16:BS22),LN(BS16:BS22),FALSE),IF(ISNUMBER(BS16:BS22),LN(BF6:BF12),FALSE))),"N/A")))*VAR(IF(ISNUMBER(BS16:BS22),LN(BS16:BS22),FALSE))/((B39-2)*VAR(IF(ISNUMBER(BS16:BS22),LN(BF6:BF12),FALSE))))),"N/A")</f>
        <v/>
      </c>
      <c r="M39" s="12">
        <f>IF(ISNUMBER(F39),IF(F39&lt;0.85,"⚠ Check fit","OK"),"")</f>
        <v/>
      </c>
    </row>
    <row r="40" ht="15" customHeight="1">
      <c r="A40" s="9" t="inlineStr">
        <is>
          <t>Eu</t>
        </is>
      </c>
      <c r="B40" s="12">
        <f>SUMPRODUCT((ISNUMBER(P16:P22)*1))</f>
        <v/>
      </c>
      <c r="C40" s="16">
        <f>IFERROR(IF(SUMPRODUCT(ISNUMBER(P16:P22)*1)&lt;2,"Need≥2",EXP(INTERCEPT(IF(ISNUMBER(P16:P22),LN(P16:P22),FALSE),IF(ISNUMBER(P16:P22),LN(B6:B12),FALSE)))),"N/A")</f>
        <v/>
      </c>
      <c r="D40" s="16">
        <f>IFERROR(IF(SUMPRODUCT(ISNUMBER(P16:P22)*1)&lt;2,"Need≥2",SLOPE(IF(ISNUMBER(P16:P22),LN(P16:P22),FALSE),IF(ISNUMBER(P16:P22),LN(B6:B12),FALSE))),"N/A")</f>
        <v/>
      </c>
      <c r="E40" s="12">
        <f>IFERROR(IF(SUMPRODUCT(ISNUMBER(P16:P22)*1)&lt;2,"Need≥2",RSQ(IF(ISNUMBER(P16:P22),LN(P16:P22),FALSE),IF(ISNUMBER(P16:P22),LN(B6:B12),FALSE))),"N/A")</f>
        <v/>
      </c>
      <c r="F40" s="12">
        <f>IFERROR(IF(SUMPRODUCT(ISNUMBER(P16:P22)*1)&lt;3,"Need≥3",1-(1-(IFERROR(IF(SUMPRODUCT(ISNUMBER(P16:P22)*1)&lt;2,"Need≥2",RSQ(IF(ISNUMBER(P16:P22),LN(P16:P22),FALSE),IF(ISNUMBER(P16:P22),LN(B6:B12),FALSE))),"N/A")))*(B40-1)/(B40-2)),"N/A")</f>
        <v/>
      </c>
      <c r="G40" s="12">
        <f>IFERROR(IF(SUMPRODUCT(ISNUMBER(P16:P22)*1)&lt;3,"Need≥3",SQRT((1-(IFERROR(IF(SUMPRODUCT(ISNUMBER(P16:P22)*1)&lt;2,"Need≥2",RSQ(IF(ISNUMBER(P16:P22),LN(P16:P22),FALSE),IF(ISNUMBER(P16:P22),LN(B6:B12),FALSE))),"N/A")))*VAR(IF(ISNUMBER(P16:P22),LN(P16:P22),FALSE))/((B40-2)*VAR(IF(ISNUMBER(P16:P22),LN(B6:B12),FALSE))))),"N/A")</f>
        <v/>
      </c>
      <c r="H40" s="16">
        <f>IFERROR(IF(SUMPRODUCT(ISNUMBER(BT16:BT22)*1)&lt;2,"Need≥2",EXP(INTERCEPT(IF(ISNUMBER(BT16:BT22),LN(BT16:BT22),FALSE),IF(ISNUMBER(BT16:BT22),LN(BF6:BF12),FALSE)))),"N/A")</f>
        <v/>
      </c>
      <c r="I40" s="16">
        <f>IFERROR(IF(SUMPRODUCT(ISNUMBER(BT16:BT22)*1)&lt;2,"Need≥2",SLOPE(IF(ISNUMBER(BT16:BT22),LN(BT16:BT22),FALSE),IF(ISNUMBER(BT16:BT22),LN(BF6:BF12),FALSE))),"N/A")</f>
        <v/>
      </c>
      <c r="J40" s="12">
        <f>IFERROR(IF(SUMPRODUCT(ISNUMBER(BT16:BT22)*1)&lt;2,"Need≥2",RSQ(IF(ISNUMBER(BT16:BT22),LN(BT16:BT22),FALSE),IF(ISNUMBER(BT16:BT22),LN(BF6:BF12),FALSE))),"N/A")</f>
        <v/>
      </c>
      <c r="K40" s="12">
        <f>IFERROR(IF(SUMPRODUCT(ISNUMBER(BT16:BT22)*1)&lt;3,"Need≥3",1-(1-(IFERROR(IF(SUMPRODUCT(ISNUMBER(BT16:BT22)*1)&lt;2,"Need≥2",RSQ(IF(ISNUMBER(BT16:BT22),LN(BT16:BT22),FALSE),IF(ISNUMBER(BT16:BT22),LN(BF6:BF12),FALSE))),"N/A")))*(B40-1)/(B40-2)),"N/A")</f>
        <v/>
      </c>
      <c r="L40" s="12">
        <f>IFERROR(IF(SUMPRODUCT(ISNUMBER(BT16:BT22)*1)&lt;3,"Need≥3",SQRT((1-(IFERROR(IF(SUMPRODUCT(ISNUMBER(BT16:BT22)*1)&lt;2,"Need≥2",RSQ(IF(ISNUMBER(BT16:BT22),LN(BT16:BT22),FALSE),IF(ISNUMBER(BT16:BT22),LN(BF6:BF12),FALSE))),"N/A")))*VAR(IF(ISNUMBER(BT16:BT22),LN(BT16:BT22),FALSE))/((B40-2)*VAR(IF(ISNUMBER(BT16:BT22),LN(BF6:BF12),FALSE))))),"N/A")</f>
        <v/>
      </c>
      <c r="M40" s="12">
        <f>IF(ISNUMBER(F40),IF(F40&lt;0.85,"⚠ Check fit","OK"),"")</f>
        <v/>
      </c>
    </row>
    <row r="41" ht="15" customHeight="1">
      <c r="A41" s="9" t="inlineStr">
        <is>
          <t>Gd</t>
        </is>
      </c>
      <c r="B41" s="12">
        <f>SUMPRODUCT((ISNUMBER(Q16:Q22)*1))</f>
        <v/>
      </c>
      <c r="C41" s="16">
        <f>IFERROR(IF(SUMPRODUCT(ISNUMBER(Q16:Q22)*1)&lt;2,"Need≥2",EXP(INTERCEPT(IF(ISNUMBER(Q16:Q22),LN(Q16:Q22),FALSE),IF(ISNUMBER(Q16:Q22),LN(B6:B12),FALSE)))),"N/A")</f>
        <v/>
      </c>
      <c r="D41" s="16">
        <f>IFERROR(IF(SUMPRODUCT(ISNUMBER(Q16:Q22)*1)&lt;2,"Need≥2",SLOPE(IF(ISNUMBER(Q16:Q22),LN(Q16:Q22),FALSE),IF(ISNUMBER(Q16:Q22),LN(B6:B12),FALSE))),"N/A")</f>
        <v/>
      </c>
      <c r="E41" s="12">
        <f>IFERROR(IF(SUMPRODUCT(ISNUMBER(Q16:Q22)*1)&lt;2,"Need≥2",RSQ(IF(ISNUMBER(Q16:Q22),LN(Q16:Q22),FALSE),IF(ISNUMBER(Q16:Q22),LN(B6:B12),FALSE))),"N/A")</f>
        <v/>
      </c>
      <c r="F41" s="12">
        <f>IFERROR(IF(SUMPRODUCT(ISNUMBER(Q16:Q22)*1)&lt;3,"Need≥3",1-(1-(IFERROR(IF(SUMPRODUCT(ISNUMBER(Q16:Q22)*1)&lt;2,"Need≥2",RSQ(IF(ISNUMBER(Q16:Q22),LN(Q16:Q22),FALSE),IF(ISNUMBER(Q16:Q22),LN(B6:B12),FALSE))),"N/A")))*(B41-1)/(B41-2)),"N/A")</f>
        <v/>
      </c>
      <c r="G41" s="12">
        <f>IFERROR(IF(SUMPRODUCT(ISNUMBER(Q16:Q22)*1)&lt;3,"Need≥3",SQRT((1-(IFERROR(IF(SUMPRODUCT(ISNUMBER(Q16:Q22)*1)&lt;2,"Need≥2",RSQ(IF(ISNUMBER(Q16:Q22),LN(Q16:Q22),FALSE),IF(ISNUMBER(Q16:Q22),LN(B6:B12),FALSE))),"N/A")))*VAR(IF(ISNUMBER(Q16:Q22),LN(Q16:Q22),FALSE))/((B41-2)*VAR(IF(ISNUMBER(Q16:Q22),LN(B6:B12),FALSE))))),"N/A")</f>
        <v/>
      </c>
      <c r="H41" s="16">
        <f>IFERROR(IF(SUMPRODUCT(ISNUMBER(BU16:BU22)*1)&lt;2,"Need≥2",EXP(INTERCEPT(IF(ISNUMBER(BU16:BU22),LN(BU16:BU22),FALSE),IF(ISNUMBER(BU16:BU22),LN(BF6:BF12),FALSE)))),"N/A")</f>
        <v/>
      </c>
      <c r="I41" s="16">
        <f>IFERROR(IF(SUMPRODUCT(ISNUMBER(BU16:BU22)*1)&lt;2,"Need≥2",SLOPE(IF(ISNUMBER(BU16:BU22),LN(BU16:BU22),FALSE),IF(ISNUMBER(BU16:BU22),LN(BF6:BF12),FALSE))),"N/A")</f>
        <v/>
      </c>
      <c r="J41" s="12">
        <f>IFERROR(IF(SUMPRODUCT(ISNUMBER(BU16:BU22)*1)&lt;2,"Need≥2",RSQ(IF(ISNUMBER(BU16:BU22),LN(BU16:BU22),FALSE),IF(ISNUMBER(BU16:BU22),LN(BF6:BF12),FALSE))),"N/A")</f>
        <v/>
      </c>
      <c r="K41" s="12">
        <f>IFERROR(IF(SUMPRODUCT(ISNUMBER(BU16:BU22)*1)&lt;3,"Need≥3",1-(1-(IFERROR(IF(SUMPRODUCT(ISNUMBER(BU16:BU22)*1)&lt;2,"Need≥2",RSQ(IF(ISNUMBER(BU16:BU22),LN(BU16:BU22),FALSE),IF(ISNUMBER(BU16:BU22),LN(BF6:BF12),FALSE))),"N/A")))*(B41-1)/(B41-2)),"N/A")</f>
        <v/>
      </c>
      <c r="L41" s="12">
        <f>IFERROR(IF(SUMPRODUCT(ISNUMBER(BU16:BU22)*1)&lt;3,"Need≥3",SQRT((1-(IFERROR(IF(SUMPRODUCT(ISNUMBER(BU16:BU22)*1)&lt;2,"Need≥2",RSQ(IF(ISNUMBER(BU16:BU22),LN(BU16:BU22),FALSE),IF(ISNUMBER(BU16:BU22),LN(BF6:BF12),FALSE))),"N/A")))*VAR(IF(ISNUMBER(BU16:BU22),LN(BU16:BU22),FALSE))/((B41-2)*VAR(IF(ISNUMBER(BU16:BU22),LN(BF6:BF12),FALSE))))),"N/A")</f>
        <v/>
      </c>
      <c r="M41" s="12">
        <f>IF(ISNUMBER(F41),IF(F41&lt;0.85,"⚠ Check fit","OK"),"")</f>
        <v/>
      </c>
    </row>
    <row r="42" ht="15" customHeight="1">
      <c r="A42" s="9" t="inlineStr">
        <is>
          <t>Tb</t>
        </is>
      </c>
      <c r="B42" s="12">
        <f>SUMPRODUCT((ISNUMBER(R16:R22)*1))</f>
        <v/>
      </c>
      <c r="C42" s="16">
        <f>IFERROR(IF(SUMPRODUCT(ISNUMBER(R16:R22)*1)&lt;2,"Need≥2",EXP(INTERCEPT(IF(ISNUMBER(R16:R22),LN(R16:R22),FALSE),IF(ISNUMBER(R16:R22),LN(B6:B12),FALSE)))),"N/A")</f>
        <v/>
      </c>
      <c r="D42" s="16">
        <f>IFERROR(IF(SUMPRODUCT(ISNUMBER(R16:R22)*1)&lt;2,"Need≥2",SLOPE(IF(ISNUMBER(R16:R22),LN(R16:R22),FALSE),IF(ISNUMBER(R16:R22),LN(B6:B12),FALSE))),"N/A")</f>
        <v/>
      </c>
      <c r="E42" s="12">
        <f>IFERROR(IF(SUMPRODUCT(ISNUMBER(R16:R22)*1)&lt;2,"Need≥2",RSQ(IF(ISNUMBER(R16:R22),LN(R16:R22),FALSE),IF(ISNUMBER(R16:R22),LN(B6:B12),FALSE))),"N/A")</f>
        <v/>
      </c>
      <c r="F42" s="12">
        <f>IFERROR(IF(SUMPRODUCT(ISNUMBER(R16:R22)*1)&lt;3,"Need≥3",1-(1-(IFERROR(IF(SUMPRODUCT(ISNUMBER(R16:R22)*1)&lt;2,"Need≥2",RSQ(IF(ISNUMBER(R16:R22),LN(R16:R22),FALSE),IF(ISNUMBER(R16:R22),LN(B6:B12),FALSE))),"N/A")))*(B42-1)/(B42-2)),"N/A")</f>
        <v/>
      </c>
      <c r="G42" s="12">
        <f>IFERROR(IF(SUMPRODUCT(ISNUMBER(R16:R22)*1)&lt;3,"Need≥3",SQRT((1-(IFERROR(IF(SUMPRODUCT(ISNUMBER(R16:R22)*1)&lt;2,"Need≥2",RSQ(IF(ISNUMBER(R16:R22),LN(R16:R22),FALSE),IF(ISNUMBER(R16:R22),LN(B6:B12),FALSE))),"N/A")))*VAR(IF(ISNUMBER(R16:R22),LN(R16:R22),FALSE))/((B42-2)*VAR(IF(ISNUMBER(R16:R22),LN(B6:B12),FALSE))))),"N/A")</f>
        <v/>
      </c>
      <c r="H42" s="16">
        <f>IFERROR(IF(SUMPRODUCT(ISNUMBER(BV16:BV22)*1)&lt;2,"Need≥2",EXP(INTERCEPT(IF(ISNUMBER(BV16:BV22),LN(BV16:BV22),FALSE),IF(ISNUMBER(BV16:BV22),LN(BF6:BF12),FALSE)))),"N/A")</f>
        <v/>
      </c>
      <c r="I42" s="16">
        <f>IFERROR(IF(SUMPRODUCT(ISNUMBER(BV16:BV22)*1)&lt;2,"Need≥2",SLOPE(IF(ISNUMBER(BV16:BV22),LN(BV16:BV22),FALSE),IF(ISNUMBER(BV16:BV22),LN(BF6:BF12),FALSE))),"N/A")</f>
        <v/>
      </c>
      <c r="J42" s="12">
        <f>IFERROR(IF(SUMPRODUCT(ISNUMBER(BV16:BV22)*1)&lt;2,"Need≥2",RSQ(IF(ISNUMBER(BV16:BV22),LN(BV16:BV22),FALSE),IF(ISNUMBER(BV16:BV22),LN(BF6:BF12),FALSE))),"N/A")</f>
        <v/>
      </c>
      <c r="K42" s="12">
        <f>IFERROR(IF(SUMPRODUCT(ISNUMBER(BV16:BV22)*1)&lt;3,"Need≥3",1-(1-(IFERROR(IF(SUMPRODUCT(ISNUMBER(BV16:BV22)*1)&lt;2,"Need≥2",RSQ(IF(ISNUMBER(BV16:BV22),LN(BV16:BV22),FALSE),IF(ISNUMBER(BV16:BV22),LN(BF6:BF12),FALSE))),"N/A")))*(B42-1)/(B42-2)),"N/A")</f>
        <v/>
      </c>
      <c r="L42" s="12">
        <f>IFERROR(IF(SUMPRODUCT(ISNUMBER(BV16:BV22)*1)&lt;3,"Need≥3",SQRT((1-(IFERROR(IF(SUMPRODUCT(ISNUMBER(BV16:BV22)*1)&lt;2,"Need≥2",RSQ(IF(ISNUMBER(BV16:BV22),LN(BV16:BV22),FALSE),IF(ISNUMBER(BV16:BV22),LN(BF6:BF12),FALSE))),"N/A")))*VAR(IF(ISNUMBER(BV16:BV22),LN(BV16:BV22),FALSE))/((B42-2)*VAR(IF(ISNUMBER(BV16:BV22),LN(BF6:BF12),FALSE))))),"N/A")</f>
        <v/>
      </c>
      <c r="M42" s="12">
        <f>IF(ISNUMBER(F42),IF(F42&lt;0.85,"⚠ Check fit","OK"),"")</f>
        <v/>
      </c>
    </row>
    <row r="43" ht="15" customHeight="1">
      <c r="A43" s="9" t="inlineStr">
        <is>
          <t>Dy</t>
        </is>
      </c>
      <c r="B43" s="12">
        <f>SUMPRODUCT((ISNUMBER(S16:S22)*1))</f>
        <v/>
      </c>
      <c r="C43" s="16">
        <f>IFERROR(IF(SUMPRODUCT(ISNUMBER(S16:S22)*1)&lt;2,"Need≥2",EXP(INTERCEPT(IF(ISNUMBER(S16:S22),LN(S16:S22),FALSE),IF(ISNUMBER(S16:S22),LN(B6:B12),FALSE)))),"N/A")</f>
        <v/>
      </c>
      <c r="D43" s="16">
        <f>IFERROR(IF(SUMPRODUCT(ISNUMBER(S16:S22)*1)&lt;2,"Need≥2",SLOPE(IF(ISNUMBER(S16:S22),LN(S16:S22),FALSE),IF(ISNUMBER(S16:S22),LN(B6:B12),FALSE))),"N/A")</f>
        <v/>
      </c>
      <c r="E43" s="12">
        <f>IFERROR(IF(SUMPRODUCT(ISNUMBER(S16:S22)*1)&lt;2,"Need≥2",RSQ(IF(ISNUMBER(S16:S22),LN(S16:S22),FALSE),IF(ISNUMBER(S16:S22),LN(B6:B12),FALSE))),"N/A")</f>
        <v/>
      </c>
      <c r="F43" s="12">
        <f>IFERROR(IF(SUMPRODUCT(ISNUMBER(S16:S22)*1)&lt;3,"Need≥3",1-(1-(IFERROR(IF(SUMPRODUCT(ISNUMBER(S16:S22)*1)&lt;2,"Need≥2",RSQ(IF(ISNUMBER(S16:S22),LN(S16:S22),FALSE),IF(ISNUMBER(S16:S22),LN(B6:B12),FALSE))),"N/A")))*(B43-1)/(B43-2)),"N/A")</f>
        <v/>
      </c>
      <c r="G43" s="12">
        <f>IFERROR(IF(SUMPRODUCT(ISNUMBER(S16:S22)*1)&lt;3,"Need≥3",SQRT((1-(IFERROR(IF(SUMPRODUCT(ISNUMBER(S16:S22)*1)&lt;2,"Need≥2",RSQ(IF(ISNUMBER(S16:S22),LN(S16:S22),FALSE),IF(ISNUMBER(S16:S22),LN(B6:B12),FALSE))),"N/A")))*VAR(IF(ISNUMBER(S16:S22),LN(S16:S22),FALSE))/((B43-2)*VAR(IF(ISNUMBER(S16:S22),LN(B6:B12),FALSE))))),"N/A")</f>
        <v/>
      </c>
      <c r="H43" s="16">
        <f>IFERROR(IF(SUMPRODUCT(ISNUMBER(BW16:BW22)*1)&lt;2,"Need≥2",EXP(INTERCEPT(IF(ISNUMBER(BW16:BW22),LN(BW16:BW22),FALSE),IF(ISNUMBER(BW16:BW22),LN(BF6:BF12),FALSE)))),"N/A")</f>
        <v/>
      </c>
      <c r="I43" s="16">
        <f>IFERROR(IF(SUMPRODUCT(ISNUMBER(BW16:BW22)*1)&lt;2,"Need≥2",SLOPE(IF(ISNUMBER(BW16:BW22),LN(BW16:BW22),FALSE),IF(ISNUMBER(BW16:BW22),LN(BF6:BF12),FALSE))),"N/A")</f>
        <v/>
      </c>
      <c r="J43" s="12">
        <f>IFERROR(IF(SUMPRODUCT(ISNUMBER(BW16:BW22)*1)&lt;2,"Need≥2",RSQ(IF(ISNUMBER(BW16:BW22),LN(BW16:BW22),FALSE),IF(ISNUMBER(BW16:BW22),LN(BF6:BF12),FALSE))),"N/A")</f>
        <v/>
      </c>
      <c r="K43" s="12">
        <f>IFERROR(IF(SUMPRODUCT(ISNUMBER(BW16:BW22)*1)&lt;3,"Need≥3",1-(1-(IFERROR(IF(SUMPRODUCT(ISNUMBER(BW16:BW22)*1)&lt;2,"Need≥2",RSQ(IF(ISNUMBER(BW16:BW22),LN(BW16:BW22),FALSE),IF(ISNUMBER(BW16:BW22),LN(BF6:BF12),FALSE))),"N/A")))*(B43-1)/(B43-2)),"N/A")</f>
        <v/>
      </c>
      <c r="L43" s="12">
        <f>IFERROR(IF(SUMPRODUCT(ISNUMBER(BW16:BW22)*1)&lt;3,"Need≥3",SQRT((1-(IFERROR(IF(SUMPRODUCT(ISNUMBER(BW16:BW22)*1)&lt;2,"Need≥2",RSQ(IF(ISNUMBER(BW16:BW22),LN(BW16:BW22),FALSE),IF(ISNUMBER(BW16:BW22),LN(BF6:BF12),FALSE))),"N/A")))*VAR(IF(ISNUMBER(BW16:BW22),LN(BW16:BW22),FALSE))/((B43-2)*VAR(IF(ISNUMBER(BW16:BW22),LN(BF6:BF12),FALSE))))),"N/A")</f>
        <v/>
      </c>
      <c r="M43" s="12">
        <f>IF(ISNUMBER(F43),IF(F43&lt;0.85,"⚠ Check fit","OK"),"")</f>
        <v/>
      </c>
    </row>
    <row r="44" ht="15" customHeight="1">
      <c r="A44" s="9" t="inlineStr">
        <is>
          <t>Ho</t>
        </is>
      </c>
      <c r="B44" s="12">
        <f>SUMPRODUCT((ISNUMBER(T16:T22)*1))</f>
        <v/>
      </c>
      <c r="C44" s="16">
        <f>IFERROR(IF(SUMPRODUCT(ISNUMBER(T16:T22)*1)&lt;2,"Need≥2",EXP(INTERCEPT(IF(ISNUMBER(T16:T22),LN(T16:T22),FALSE),IF(ISNUMBER(T16:T22),LN(B6:B12),FALSE)))),"N/A")</f>
        <v/>
      </c>
      <c r="D44" s="16">
        <f>IFERROR(IF(SUMPRODUCT(ISNUMBER(T16:T22)*1)&lt;2,"Need≥2",SLOPE(IF(ISNUMBER(T16:T22),LN(T16:T22),FALSE),IF(ISNUMBER(T16:T22),LN(B6:B12),FALSE))),"N/A")</f>
        <v/>
      </c>
      <c r="E44" s="12">
        <f>IFERROR(IF(SUMPRODUCT(ISNUMBER(T16:T22)*1)&lt;2,"Need≥2",RSQ(IF(ISNUMBER(T16:T22),LN(T16:T22),FALSE),IF(ISNUMBER(T16:T22),LN(B6:B12),FALSE))),"N/A")</f>
        <v/>
      </c>
      <c r="F44" s="12">
        <f>IFERROR(IF(SUMPRODUCT(ISNUMBER(T16:T22)*1)&lt;3,"Need≥3",1-(1-(IFERROR(IF(SUMPRODUCT(ISNUMBER(T16:T22)*1)&lt;2,"Need≥2",RSQ(IF(ISNUMBER(T16:T22),LN(T16:T22),FALSE),IF(ISNUMBER(T16:T22),LN(B6:B12),FALSE))),"N/A")))*(B44-1)/(B44-2)),"N/A")</f>
        <v/>
      </c>
      <c r="G44" s="12">
        <f>IFERROR(IF(SUMPRODUCT(ISNUMBER(T16:T22)*1)&lt;3,"Need≥3",SQRT((1-(IFERROR(IF(SUMPRODUCT(ISNUMBER(T16:T22)*1)&lt;2,"Need≥2",RSQ(IF(ISNUMBER(T16:T22),LN(T16:T22),FALSE),IF(ISNUMBER(T16:T22),LN(B6:B12),FALSE))),"N/A")))*VAR(IF(ISNUMBER(T16:T22),LN(T16:T22),FALSE))/((B44-2)*VAR(IF(ISNUMBER(T16:T22),LN(B6:B12),FALSE))))),"N/A")</f>
        <v/>
      </c>
      <c r="H44" s="16">
        <f>IFERROR(IF(SUMPRODUCT(ISNUMBER(BX16:BX22)*1)&lt;2,"Need≥2",EXP(INTERCEPT(IF(ISNUMBER(BX16:BX22),LN(BX16:BX22),FALSE),IF(ISNUMBER(BX16:BX22),LN(BF6:BF12),FALSE)))),"N/A")</f>
        <v/>
      </c>
      <c r="I44" s="16">
        <f>IFERROR(IF(SUMPRODUCT(ISNUMBER(BX16:BX22)*1)&lt;2,"Need≥2",SLOPE(IF(ISNUMBER(BX16:BX22),LN(BX16:BX22),FALSE),IF(ISNUMBER(BX16:BX22),LN(BF6:BF12),FALSE))),"N/A")</f>
        <v/>
      </c>
      <c r="J44" s="12">
        <f>IFERROR(IF(SUMPRODUCT(ISNUMBER(BX16:BX22)*1)&lt;2,"Need≥2",RSQ(IF(ISNUMBER(BX16:BX22),LN(BX16:BX22),FALSE),IF(ISNUMBER(BX16:BX22),LN(BF6:BF12),FALSE))),"N/A")</f>
        <v/>
      </c>
      <c r="K44" s="12">
        <f>IFERROR(IF(SUMPRODUCT(ISNUMBER(BX16:BX22)*1)&lt;3,"Need≥3",1-(1-(IFERROR(IF(SUMPRODUCT(ISNUMBER(BX16:BX22)*1)&lt;2,"Need≥2",RSQ(IF(ISNUMBER(BX16:BX22),LN(BX16:BX22),FALSE),IF(ISNUMBER(BX16:BX22),LN(BF6:BF12),FALSE))),"N/A")))*(B44-1)/(B44-2)),"N/A")</f>
        <v/>
      </c>
      <c r="L44" s="12">
        <f>IFERROR(IF(SUMPRODUCT(ISNUMBER(BX16:BX22)*1)&lt;3,"Need≥3",SQRT((1-(IFERROR(IF(SUMPRODUCT(ISNUMBER(BX16:BX22)*1)&lt;2,"Need≥2",RSQ(IF(ISNUMBER(BX16:BX22),LN(BX16:BX22),FALSE),IF(ISNUMBER(BX16:BX22),LN(BF6:BF12),FALSE))),"N/A")))*VAR(IF(ISNUMBER(BX16:BX22),LN(BX16:BX22),FALSE))/((B44-2)*VAR(IF(ISNUMBER(BX16:BX22),LN(BF6:BF12),FALSE))))),"N/A")</f>
        <v/>
      </c>
      <c r="M44" s="12">
        <f>IF(ISNUMBER(F44),IF(F44&lt;0.85,"⚠ Check fit","OK"),"")</f>
        <v/>
      </c>
    </row>
    <row r="45" ht="15" customHeight="1">
      <c r="A45" s="9" t="inlineStr">
        <is>
          <t>Er</t>
        </is>
      </c>
      <c r="B45" s="12">
        <f>SUMPRODUCT((ISNUMBER(U16:U22)*1))</f>
        <v/>
      </c>
      <c r="C45" s="16">
        <f>IFERROR(IF(SUMPRODUCT(ISNUMBER(U16:U22)*1)&lt;2,"Need≥2",EXP(INTERCEPT(IF(ISNUMBER(U16:U22),LN(U16:U22),FALSE),IF(ISNUMBER(U16:U22),LN(B6:B12),FALSE)))),"N/A")</f>
        <v/>
      </c>
      <c r="D45" s="16">
        <f>IFERROR(IF(SUMPRODUCT(ISNUMBER(U16:U22)*1)&lt;2,"Need≥2",SLOPE(IF(ISNUMBER(U16:U22),LN(U16:U22),FALSE),IF(ISNUMBER(U16:U22),LN(B6:B12),FALSE))),"N/A")</f>
        <v/>
      </c>
      <c r="E45" s="12">
        <f>IFERROR(IF(SUMPRODUCT(ISNUMBER(U16:U22)*1)&lt;2,"Need≥2",RSQ(IF(ISNUMBER(U16:U22),LN(U16:U22),FALSE),IF(ISNUMBER(U16:U22),LN(B6:B12),FALSE))),"N/A")</f>
        <v/>
      </c>
      <c r="F45" s="12">
        <f>IFERROR(IF(SUMPRODUCT(ISNUMBER(U16:U22)*1)&lt;3,"Need≥3",1-(1-(IFERROR(IF(SUMPRODUCT(ISNUMBER(U16:U22)*1)&lt;2,"Need≥2",RSQ(IF(ISNUMBER(U16:U22),LN(U16:U22),FALSE),IF(ISNUMBER(U16:U22),LN(B6:B12),FALSE))),"N/A")))*(B45-1)/(B45-2)),"N/A")</f>
        <v/>
      </c>
      <c r="G45" s="12">
        <f>IFERROR(IF(SUMPRODUCT(ISNUMBER(U16:U22)*1)&lt;3,"Need≥3",SQRT((1-(IFERROR(IF(SUMPRODUCT(ISNUMBER(U16:U22)*1)&lt;2,"Need≥2",RSQ(IF(ISNUMBER(U16:U22),LN(U16:U22),FALSE),IF(ISNUMBER(U16:U22),LN(B6:B12),FALSE))),"N/A")))*VAR(IF(ISNUMBER(U16:U22),LN(U16:U22),FALSE))/((B45-2)*VAR(IF(ISNUMBER(U16:U22),LN(B6:B12),FALSE))))),"N/A")</f>
        <v/>
      </c>
      <c r="H45" s="16">
        <f>IFERROR(IF(SUMPRODUCT(ISNUMBER(BY16:BY22)*1)&lt;2,"Need≥2",EXP(INTERCEPT(IF(ISNUMBER(BY16:BY22),LN(BY16:BY22),FALSE),IF(ISNUMBER(BY16:BY22),LN(BF6:BF12),FALSE)))),"N/A")</f>
        <v/>
      </c>
      <c r="I45" s="16">
        <f>IFERROR(IF(SUMPRODUCT(ISNUMBER(BY16:BY22)*1)&lt;2,"Need≥2",SLOPE(IF(ISNUMBER(BY16:BY22),LN(BY16:BY22),FALSE),IF(ISNUMBER(BY16:BY22),LN(BF6:BF12),FALSE))),"N/A")</f>
        <v/>
      </c>
      <c r="J45" s="12">
        <f>IFERROR(IF(SUMPRODUCT(ISNUMBER(BY16:BY22)*1)&lt;2,"Need≥2",RSQ(IF(ISNUMBER(BY16:BY22),LN(BY16:BY22),FALSE),IF(ISNUMBER(BY16:BY22),LN(BF6:BF12),FALSE))),"N/A")</f>
        <v/>
      </c>
      <c r="K45" s="12">
        <f>IFERROR(IF(SUMPRODUCT(ISNUMBER(BY16:BY22)*1)&lt;3,"Need≥3",1-(1-(IFERROR(IF(SUMPRODUCT(ISNUMBER(BY16:BY22)*1)&lt;2,"Need≥2",RSQ(IF(ISNUMBER(BY16:BY22),LN(BY16:BY22),FALSE),IF(ISNUMBER(BY16:BY22),LN(BF6:BF12),FALSE))),"N/A")))*(B45-1)/(B45-2)),"N/A")</f>
        <v/>
      </c>
      <c r="L45" s="12">
        <f>IFERROR(IF(SUMPRODUCT(ISNUMBER(BY16:BY22)*1)&lt;3,"Need≥3",SQRT((1-(IFERROR(IF(SUMPRODUCT(ISNUMBER(BY16:BY22)*1)&lt;2,"Need≥2",RSQ(IF(ISNUMBER(BY16:BY22),LN(BY16:BY22),FALSE),IF(ISNUMBER(BY16:BY22),LN(BF6:BF12),FALSE))),"N/A")))*VAR(IF(ISNUMBER(BY16:BY22),LN(BY16:BY22),FALSE))/((B45-2)*VAR(IF(ISNUMBER(BY16:BY22),LN(BF6:BF12),FALSE))))),"N/A")</f>
        <v/>
      </c>
      <c r="M45" s="12">
        <f>IF(ISNUMBER(F45),IF(F45&lt;0.85,"⚠ Check fit","OK"),"")</f>
        <v/>
      </c>
    </row>
    <row r="46" ht="15" customHeight="1">
      <c r="A46" s="9" t="inlineStr">
        <is>
          <t>Tm</t>
        </is>
      </c>
      <c r="B46" s="12">
        <f>SUMPRODUCT((ISNUMBER(V16:V22)*1))</f>
        <v/>
      </c>
      <c r="C46" s="16">
        <f>IFERROR(IF(SUMPRODUCT(ISNUMBER(V16:V22)*1)&lt;2,"Need≥2",EXP(INTERCEPT(IF(ISNUMBER(V16:V22),LN(V16:V22),FALSE),IF(ISNUMBER(V16:V22),LN(B6:B12),FALSE)))),"N/A")</f>
        <v/>
      </c>
      <c r="D46" s="16">
        <f>IFERROR(IF(SUMPRODUCT(ISNUMBER(V16:V22)*1)&lt;2,"Need≥2",SLOPE(IF(ISNUMBER(V16:V22),LN(V16:V22),FALSE),IF(ISNUMBER(V16:V22),LN(B6:B12),FALSE))),"N/A")</f>
        <v/>
      </c>
      <c r="E46" s="12">
        <f>IFERROR(IF(SUMPRODUCT(ISNUMBER(V16:V22)*1)&lt;2,"Need≥2",RSQ(IF(ISNUMBER(V16:V22),LN(V16:V22),FALSE),IF(ISNUMBER(V16:V22),LN(B6:B12),FALSE))),"N/A")</f>
        <v/>
      </c>
      <c r="F46" s="12">
        <f>IFERROR(IF(SUMPRODUCT(ISNUMBER(V16:V22)*1)&lt;3,"Need≥3",1-(1-(IFERROR(IF(SUMPRODUCT(ISNUMBER(V16:V22)*1)&lt;2,"Need≥2",RSQ(IF(ISNUMBER(V16:V22),LN(V16:V22),FALSE),IF(ISNUMBER(V16:V22),LN(B6:B12),FALSE))),"N/A")))*(B46-1)/(B46-2)),"N/A")</f>
        <v/>
      </c>
      <c r="G46" s="12">
        <f>IFERROR(IF(SUMPRODUCT(ISNUMBER(V16:V22)*1)&lt;3,"Need≥3",SQRT((1-(IFERROR(IF(SUMPRODUCT(ISNUMBER(V16:V22)*1)&lt;2,"Need≥2",RSQ(IF(ISNUMBER(V16:V22),LN(V16:V22),FALSE),IF(ISNUMBER(V16:V22),LN(B6:B12),FALSE))),"N/A")))*VAR(IF(ISNUMBER(V16:V22),LN(V16:V22),FALSE))/((B46-2)*VAR(IF(ISNUMBER(V16:V22),LN(B6:B12),FALSE))))),"N/A")</f>
        <v/>
      </c>
      <c r="H46" s="16">
        <f>IFERROR(IF(SUMPRODUCT(ISNUMBER(BZ16:BZ22)*1)&lt;2,"Need≥2",EXP(INTERCEPT(IF(ISNUMBER(BZ16:BZ22),LN(BZ16:BZ22),FALSE),IF(ISNUMBER(BZ16:BZ22),LN(BF6:BF12),FALSE)))),"N/A")</f>
        <v/>
      </c>
      <c r="I46" s="16">
        <f>IFERROR(IF(SUMPRODUCT(ISNUMBER(BZ16:BZ22)*1)&lt;2,"Need≥2",SLOPE(IF(ISNUMBER(BZ16:BZ22),LN(BZ16:BZ22),FALSE),IF(ISNUMBER(BZ16:BZ22),LN(BF6:BF12),FALSE))),"N/A")</f>
        <v/>
      </c>
      <c r="J46" s="12">
        <f>IFERROR(IF(SUMPRODUCT(ISNUMBER(BZ16:BZ22)*1)&lt;2,"Need≥2",RSQ(IF(ISNUMBER(BZ16:BZ22),LN(BZ16:BZ22),FALSE),IF(ISNUMBER(BZ16:BZ22),LN(BF6:BF12),FALSE))),"N/A")</f>
        <v/>
      </c>
      <c r="K46" s="12">
        <f>IFERROR(IF(SUMPRODUCT(ISNUMBER(BZ16:BZ22)*1)&lt;3,"Need≥3",1-(1-(IFERROR(IF(SUMPRODUCT(ISNUMBER(BZ16:BZ22)*1)&lt;2,"Need≥2",RSQ(IF(ISNUMBER(BZ16:BZ22),LN(BZ16:BZ22),FALSE),IF(ISNUMBER(BZ16:BZ22),LN(BF6:BF12),FALSE))),"N/A")))*(B46-1)/(B46-2)),"N/A")</f>
        <v/>
      </c>
      <c r="L46" s="12">
        <f>IFERROR(IF(SUMPRODUCT(ISNUMBER(BZ16:BZ22)*1)&lt;3,"Need≥3",SQRT((1-(IFERROR(IF(SUMPRODUCT(ISNUMBER(BZ16:BZ22)*1)&lt;2,"Need≥2",RSQ(IF(ISNUMBER(BZ16:BZ22),LN(BZ16:BZ22),FALSE),IF(ISNUMBER(BZ16:BZ22),LN(BF6:BF12),FALSE))),"N/A")))*VAR(IF(ISNUMBER(BZ16:BZ22),LN(BZ16:BZ22),FALSE))/((B46-2)*VAR(IF(ISNUMBER(BZ16:BZ22),LN(BF6:BF12),FALSE))))),"N/A")</f>
        <v/>
      </c>
      <c r="M46" s="12">
        <f>IF(ISNUMBER(F46),IF(F46&lt;0.85,"⚠ Check fit","OK"),"")</f>
        <v/>
      </c>
    </row>
    <row r="47" ht="15" customHeight="1">
      <c r="A47" s="9" t="inlineStr">
        <is>
          <t>Yb</t>
        </is>
      </c>
      <c r="B47" s="12">
        <f>SUMPRODUCT((ISNUMBER(W16:W22)*1))</f>
        <v/>
      </c>
      <c r="C47" s="16">
        <f>IFERROR(IF(SUMPRODUCT(ISNUMBER(W16:W22)*1)&lt;2,"Need≥2",EXP(INTERCEPT(IF(ISNUMBER(W16:W22),LN(W16:W22),FALSE),IF(ISNUMBER(W16:W22),LN(B6:B12),FALSE)))),"N/A")</f>
        <v/>
      </c>
      <c r="D47" s="16">
        <f>IFERROR(IF(SUMPRODUCT(ISNUMBER(W16:W22)*1)&lt;2,"Need≥2",SLOPE(IF(ISNUMBER(W16:W22),LN(W16:W22),FALSE),IF(ISNUMBER(W16:W22),LN(B6:B12),FALSE))),"N/A")</f>
        <v/>
      </c>
      <c r="E47" s="12">
        <f>IFERROR(IF(SUMPRODUCT(ISNUMBER(W16:W22)*1)&lt;2,"Need≥2",RSQ(IF(ISNUMBER(W16:W22),LN(W16:W22),FALSE),IF(ISNUMBER(W16:W22),LN(B6:B12),FALSE))),"N/A")</f>
        <v/>
      </c>
      <c r="F47" s="12">
        <f>IFERROR(IF(SUMPRODUCT(ISNUMBER(W16:W22)*1)&lt;3,"Need≥3",1-(1-(IFERROR(IF(SUMPRODUCT(ISNUMBER(W16:W22)*1)&lt;2,"Need≥2",RSQ(IF(ISNUMBER(W16:W22),LN(W16:W22),FALSE),IF(ISNUMBER(W16:W22),LN(B6:B12),FALSE))),"N/A")))*(B47-1)/(B47-2)),"N/A")</f>
        <v/>
      </c>
      <c r="G47" s="12">
        <f>IFERROR(IF(SUMPRODUCT(ISNUMBER(W16:W22)*1)&lt;3,"Need≥3",SQRT((1-(IFERROR(IF(SUMPRODUCT(ISNUMBER(W16:W22)*1)&lt;2,"Need≥2",RSQ(IF(ISNUMBER(W16:W22),LN(W16:W22),FALSE),IF(ISNUMBER(W16:W22),LN(B6:B12),FALSE))),"N/A")))*VAR(IF(ISNUMBER(W16:W22),LN(W16:W22),FALSE))/((B47-2)*VAR(IF(ISNUMBER(W16:W22),LN(B6:B12),FALSE))))),"N/A")</f>
        <v/>
      </c>
      <c r="H47" s="16">
        <f>IFERROR(IF(SUMPRODUCT(ISNUMBER(CA16:CA22)*1)&lt;2,"Need≥2",EXP(INTERCEPT(IF(ISNUMBER(CA16:CA22),LN(CA16:CA22),FALSE),IF(ISNUMBER(CA16:CA22),LN(BF6:BF12),FALSE)))),"N/A")</f>
        <v/>
      </c>
      <c r="I47" s="16">
        <f>IFERROR(IF(SUMPRODUCT(ISNUMBER(CA16:CA22)*1)&lt;2,"Need≥2",SLOPE(IF(ISNUMBER(CA16:CA22),LN(CA16:CA22),FALSE),IF(ISNUMBER(CA16:CA22),LN(BF6:BF12),FALSE))),"N/A")</f>
        <v/>
      </c>
      <c r="J47" s="12">
        <f>IFERROR(IF(SUMPRODUCT(ISNUMBER(CA16:CA22)*1)&lt;2,"Need≥2",RSQ(IF(ISNUMBER(CA16:CA22),LN(CA16:CA22),FALSE),IF(ISNUMBER(CA16:CA22),LN(BF6:BF12),FALSE))),"N/A")</f>
        <v/>
      </c>
      <c r="K47" s="12">
        <f>IFERROR(IF(SUMPRODUCT(ISNUMBER(CA16:CA22)*1)&lt;3,"Need≥3",1-(1-(IFERROR(IF(SUMPRODUCT(ISNUMBER(CA16:CA22)*1)&lt;2,"Need≥2",RSQ(IF(ISNUMBER(CA16:CA22),LN(CA16:CA22),FALSE),IF(ISNUMBER(CA16:CA22),LN(BF6:BF12),FALSE))),"N/A")))*(B47-1)/(B47-2)),"N/A")</f>
        <v/>
      </c>
      <c r="L47" s="12">
        <f>IFERROR(IF(SUMPRODUCT(ISNUMBER(CA16:CA22)*1)&lt;3,"Need≥3",SQRT((1-(IFERROR(IF(SUMPRODUCT(ISNUMBER(CA16:CA22)*1)&lt;2,"Need≥2",RSQ(IF(ISNUMBER(CA16:CA22),LN(CA16:CA22),FALSE),IF(ISNUMBER(CA16:CA22),LN(BF6:BF12),FALSE))),"N/A")))*VAR(IF(ISNUMBER(CA16:CA22),LN(CA16:CA22),FALSE))/((B47-2)*VAR(IF(ISNUMBER(CA16:CA22),LN(BF6:BF12),FALSE))))),"N/A")</f>
        <v/>
      </c>
      <c r="M47" s="12">
        <f>IF(ISNUMBER(F47),IF(F47&lt;0.85,"⚠ Check fit","OK"),"")</f>
        <v/>
      </c>
    </row>
    <row r="48" ht="15" customHeight="1">
      <c r="A48" s="9" t="inlineStr">
        <is>
          <t>Lu</t>
        </is>
      </c>
      <c r="B48" s="12">
        <f>SUMPRODUCT((ISNUMBER(X16:X22)*1))</f>
        <v/>
      </c>
      <c r="C48" s="16">
        <f>IFERROR(IF(SUMPRODUCT(ISNUMBER(X16:X22)*1)&lt;2,"Need≥2",EXP(INTERCEPT(IF(ISNUMBER(X16:X22),LN(X16:X22),FALSE),IF(ISNUMBER(X16:X22),LN(B6:B12),FALSE)))),"N/A")</f>
        <v/>
      </c>
      <c r="D48" s="16">
        <f>IFERROR(IF(SUMPRODUCT(ISNUMBER(X16:X22)*1)&lt;2,"Need≥2",SLOPE(IF(ISNUMBER(X16:X22),LN(X16:X22),FALSE),IF(ISNUMBER(X16:X22),LN(B6:B12),FALSE))),"N/A")</f>
        <v/>
      </c>
      <c r="E48" s="12">
        <f>IFERROR(IF(SUMPRODUCT(ISNUMBER(X16:X22)*1)&lt;2,"Need≥2",RSQ(IF(ISNUMBER(X16:X22),LN(X16:X22),FALSE),IF(ISNUMBER(X16:X22),LN(B6:B12),FALSE))),"N/A")</f>
        <v/>
      </c>
      <c r="F48" s="12">
        <f>IFERROR(IF(SUMPRODUCT(ISNUMBER(X16:X22)*1)&lt;3,"Need≥3",1-(1-(IFERROR(IF(SUMPRODUCT(ISNUMBER(X16:X22)*1)&lt;2,"Need≥2",RSQ(IF(ISNUMBER(X16:X22),LN(X16:X22),FALSE),IF(ISNUMBER(X16:X22),LN(B6:B12),FALSE))),"N/A")))*(B48-1)/(B48-2)),"N/A")</f>
        <v/>
      </c>
      <c r="G48" s="12">
        <f>IFERROR(IF(SUMPRODUCT(ISNUMBER(X16:X22)*1)&lt;3,"Need≥3",SQRT((1-(IFERROR(IF(SUMPRODUCT(ISNUMBER(X16:X22)*1)&lt;2,"Need≥2",RSQ(IF(ISNUMBER(X16:X22),LN(X16:X22),FALSE),IF(ISNUMBER(X16:X22),LN(B6:B12),FALSE))),"N/A")))*VAR(IF(ISNUMBER(X16:X22),LN(X16:X22),FALSE))/((B48-2)*VAR(IF(ISNUMBER(X16:X22),LN(B6:B12),FALSE))))),"N/A")</f>
        <v/>
      </c>
      <c r="H48" s="16">
        <f>IFERROR(IF(SUMPRODUCT(ISNUMBER(CB16:CB22)*1)&lt;2,"Need≥2",EXP(INTERCEPT(IF(ISNUMBER(CB16:CB22),LN(CB16:CB22),FALSE),IF(ISNUMBER(CB16:CB22),LN(BF6:BF12),FALSE)))),"N/A")</f>
        <v/>
      </c>
      <c r="I48" s="16">
        <f>IFERROR(IF(SUMPRODUCT(ISNUMBER(CB16:CB22)*1)&lt;2,"Need≥2",SLOPE(IF(ISNUMBER(CB16:CB22),LN(CB16:CB22),FALSE),IF(ISNUMBER(CB16:CB22),LN(BF6:BF12),FALSE))),"N/A")</f>
        <v/>
      </c>
      <c r="J48" s="12">
        <f>IFERROR(IF(SUMPRODUCT(ISNUMBER(CB16:CB22)*1)&lt;2,"Need≥2",RSQ(IF(ISNUMBER(CB16:CB22),LN(CB16:CB22),FALSE),IF(ISNUMBER(CB16:CB22),LN(BF6:BF12),FALSE))),"N/A")</f>
        <v/>
      </c>
      <c r="K48" s="12">
        <f>IFERROR(IF(SUMPRODUCT(ISNUMBER(CB16:CB22)*1)&lt;3,"Need≥3",1-(1-(IFERROR(IF(SUMPRODUCT(ISNUMBER(CB16:CB22)*1)&lt;2,"Need≥2",RSQ(IF(ISNUMBER(CB16:CB22),LN(CB16:CB22),FALSE),IF(ISNUMBER(CB16:CB22),LN(BF6:BF12),FALSE))),"N/A")))*(B48-1)/(B48-2)),"N/A")</f>
        <v/>
      </c>
      <c r="L48" s="12">
        <f>IFERROR(IF(SUMPRODUCT(ISNUMBER(CB16:CB22)*1)&lt;3,"Need≥3",SQRT((1-(IFERROR(IF(SUMPRODUCT(ISNUMBER(CB16:CB22)*1)&lt;2,"Need≥2",RSQ(IF(ISNUMBER(CB16:CB22),LN(CB16:CB22),FALSE),IF(ISNUMBER(CB16:CB22),LN(BF6:BF12),FALSE))),"N/A")))*VAR(IF(ISNUMBER(CB16:CB22),LN(CB16:CB22),FALSE))/((B48-2)*VAR(IF(ISNUMBER(CB16:CB22),LN(BF6:BF12),FALSE))))),"N/A")</f>
        <v/>
      </c>
      <c r="M48" s="12">
        <f>IF(ISNUMBER(F48),IF(F48&lt;0.85,"⚠ Check fit","OK"),"")</f>
        <v/>
      </c>
    </row>
    <row r="49" ht="15" customHeight="1">
      <c r="A49" s="9" t="inlineStr">
        <is>
          <t>Hf</t>
        </is>
      </c>
      <c r="B49" s="12">
        <f>SUMPRODUCT((ISNUMBER(Y16:Y22)*1))</f>
        <v/>
      </c>
      <c r="C49" s="16">
        <f>IFERROR(IF(SUMPRODUCT(ISNUMBER(Y16:Y22)*1)&lt;2,"Need≥2",EXP(INTERCEPT(IF(ISNUMBER(Y16:Y22),LN(Y16:Y22),FALSE),IF(ISNUMBER(Y16:Y22),LN(B6:B12),FALSE)))),"N/A")</f>
        <v/>
      </c>
      <c r="D49" s="16">
        <f>IFERROR(IF(SUMPRODUCT(ISNUMBER(Y16:Y22)*1)&lt;2,"Need≥2",SLOPE(IF(ISNUMBER(Y16:Y22),LN(Y16:Y22),FALSE),IF(ISNUMBER(Y16:Y22),LN(B6:B12),FALSE))),"N/A")</f>
        <v/>
      </c>
      <c r="E49" s="12">
        <f>IFERROR(IF(SUMPRODUCT(ISNUMBER(Y16:Y22)*1)&lt;2,"Need≥2",RSQ(IF(ISNUMBER(Y16:Y22),LN(Y16:Y22),FALSE),IF(ISNUMBER(Y16:Y22),LN(B6:B12),FALSE))),"N/A")</f>
        <v/>
      </c>
      <c r="F49" s="12">
        <f>IFERROR(IF(SUMPRODUCT(ISNUMBER(Y16:Y22)*1)&lt;3,"Need≥3",1-(1-(IFERROR(IF(SUMPRODUCT(ISNUMBER(Y16:Y22)*1)&lt;2,"Need≥2",RSQ(IF(ISNUMBER(Y16:Y22),LN(Y16:Y22),FALSE),IF(ISNUMBER(Y16:Y22),LN(B6:B12),FALSE))),"N/A")))*(B49-1)/(B49-2)),"N/A")</f>
        <v/>
      </c>
      <c r="G49" s="12">
        <f>IFERROR(IF(SUMPRODUCT(ISNUMBER(Y16:Y22)*1)&lt;3,"Need≥3",SQRT((1-(IFERROR(IF(SUMPRODUCT(ISNUMBER(Y16:Y22)*1)&lt;2,"Need≥2",RSQ(IF(ISNUMBER(Y16:Y22),LN(Y16:Y22),FALSE),IF(ISNUMBER(Y16:Y22),LN(B6:B12),FALSE))),"N/A")))*VAR(IF(ISNUMBER(Y16:Y22),LN(Y16:Y22),FALSE))/((B49-2)*VAR(IF(ISNUMBER(Y16:Y22),LN(B6:B12),FALSE))))),"N/A")</f>
        <v/>
      </c>
      <c r="H49" s="16">
        <f>IFERROR(IF(SUMPRODUCT(ISNUMBER(CC16:CC22)*1)&lt;2,"Need≥2",EXP(INTERCEPT(IF(ISNUMBER(CC16:CC22),LN(CC16:CC22),FALSE),IF(ISNUMBER(CC16:CC22),LN(BF6:BF12),FALSE)))),"N/A")</f>
        <v/>
      </c>
      <c r="I49" s="16">
        <f>IFERROR(IF(SUMPRODUCT(ISNUMBER(CC16:CC22)*1)&lt;2,"Need≥2",SLOPE(IF(ISNUMBER(CC16:CC22),LN(CC16:CC22),FALSE),IF(ISNUMBER(CC16:CC22),LN(BF6:BF12),FALSE))),"N/A")</f>
        <v/>
      </c>
      <c r="J49" s="12">
        <f>IFERROR(IF(SUMPRODUCT(ISNUMBER(CC16:CC22)*1)&lt;2,"Need≥2",RSQ(IF(ISNUMBER(CC16:CC22),LN(CC16:CC22),FALSE),IF(ISNUMBER(CC16:CC22),LN(BF6:BF12),FALSE))),"N/A")</f>
        <v/>
      </c>
      <c r="K49" s="12">
        <f>IFERROR(IF(SUMPRODUCT(ISNUMBER(CC16:CC22)*1)&lt;3,"Need≥3",1-(1-(IFERROR(IF(SUMPRODUCT(ISNUMBER(CC16:CC22)*1)&lt;2,"Need≥2",RSQ(IF(ISNUMBER(CC16:CC22),LN(CC16:CC22),FALSE),IF(ISNUMBER(CC16:CC22),LN(BF6:BF12),FALSE))),"N/A")))*(B49-1)/(B49-2)),"N/A")</f>
        <v/>
      </c>
      <c r="L49" s="12">
        <f>IFERROR(IF(SUMPRODUCT(ISNUMBER(CC16:CC22)*1)&lt;3,"Need≥3",SQRT((1-(IFERROR(IF(SUMPRODUCT(ISNUMBER(CC16:CC22)*1)&lt;2,"Need≥2",RSQ(IF(ISNUMBER(CC16:CC22),LN(CC16:CC22),FALSE),IF(ISNUMBER(CC16:CC22),LN(BF6:BF12),FALSE))),"N/A")))*VAR(IF(ISNUMBER(CC16:CC22),LN(CC16:CC22),FALSE))/((B49-2)*VAR(IF(ISNUMBER(CC16:CC22),LN(BF6:BF12),FALSE))))),"N/A")</f>
        <v/>
      </c>
      <c r="M49" s="12">
        <f>IF(ISNUMBER(F49),IF(F49&lt;0.85,"⚠ Check fit","OK"),"")</f>
        <v/>
      </c>
    </row>
    <row r="50" ht="15" customHeight="1">
      <c r="A50" s="9" t="inlineStr">
        <is>
          <t>Th</t>
        </is>
      </c>
      <c r="B50" s="12">
        <f>SUMPRODUCT((ISNUMBER(Z16:Z22)*1))</f>
        <v/>
      </c>
      <c r="C50" s="16">
        <f>IFERROR(IF(SUMPRODUCT(ISNUMBER(Z16:Z22)*1)&lt;2,"Need≥2",EXP(INTERCEPT(IF(ISNUMBER(Z16:Z22),LN(Z16:Z22),FALSE),IF(ISNUMBER(Z16:Z22),LN(B6:B12),FALSE)))),"N/A")</f>
        <v/>
      </c>
      <c r="D50" s="16">
        <f>IFERROR(IF(SUMPRODUCT(ISNUMBER(Z16:Z22)*1)&lt;2,"Need≥2",SLOPE(IF(ISNUMBER(Z16:Z22),LN(Z16:Z22),FALSE),IF(ISNUMBER(Z16:Z22),LN(B6:B12),FALSE))),"N/A")</f>
        <v/>
      </c>
      <c r="E50" s="12">
        <f>IFERROR(IF(SUMPRODUCT(ISNUMBER(Z16:Z22)*1)&lt;2,"Need≥2",RSQ(IF(ISNUMBER(Z16:Z22),LN(Z16:Z22),FALSE),IF(ISNUMBER(Z16:Z22),LN(B6:B12),FALSE))),"N/A")</f>
        <v/>
      </c>
      <c r="F50" s="12">
        <f>IFERROR(IF(SUMPRODUCT(ISNUMBER(Z16:Z22)*1)&lt;3,"Need≥3",1-(1-(IFERROR(IF(SUMPRODUCT(ISNUMBER(Z16:Z22)*1)&lt;2,"Need≥2",RSQ(IF(ISNUMBER(Z16:Z22),LN(Z16:Z22),FALSE),IF(ISNUMBER(Z16:Z22),LN(B6:B12),FALSE))),"N/A")))*(B50-1)/(B50-2)),"N/A")</f>
        <v/>
      </c>
      <c r="G50" s="12">
        <f>IFERROR(IF(SUMPRODUCT(ISNUMBER(Z16:Z22)*1)&lt;3,"Need≥3",SQRT((1-(IFERROR(IF(SUMPRODUCT(ISNUMBER(Z16:Z22)*1)&lt;2,"Need≥2",RSQ(IF(ISNUMBER(Z16:Z22),LN(Z16:Z22),FALSE),IF(ISNUMBER(Z16:Z22),LN(B6:B12),FALSE))),"N/A")))*VAR(IF(ISNUMBER(Z16:Z22),LN(Z16:Z22),FALSE))/((B50-2)*VAR(IF(ISNUMBER(Z16:Z22),LN(B6:B12),FALSE))))),"N/A")</f>
        <v/>
      </c>
      <c r="H50" s="16">
        <f>IFERROR(IF(SUMPRODUCT(ISNUMBER(CD16:CD22)*1)&lt;2,"Need≥2",EXP(INTERCEPT(IF(ISNUMBER(CD16:CD22),LN(CD16:CD22),FALSE),IF(ISNUMBER(CD16:CD22),LN(BF6:BF12),FALSE)))),"N/A")</f>
        <v/>
      </c>
      <c r="I50" s="16">
        <f>IFERROR(IF(SUMPRODUCT(ISNUMBER(CD16:CD22)*1)&lt;2,"Need≥2",SLOPE(IF(ISNUMBER(CD16:CD22),LN(CD16:CD22),FALSE),IF(ISNUMBER(CD16:CD22),LN(BF6:BF12),FALSE))),"N/A")</f>
        <v/>
      </c>
      <c r="J50" s="12">
        <f>IFERROR(IF(SUMPRODUCT(ISNUMBER(CD16:CD22)*1)&lt;2,"Need≥2",RSQ(IF(ISNUMBER(CD16:CD22),LN(CD16:CD22),FALSE),IF(ISNUMBER(CD16:CD22),LN(BF6:BF12),FALSE))),"N/A")</f>
        <v/>
      </c>
      <c r="K50" s="12">
        <f>IFERROR(IF(SUMPRODUCT(ISNUMBER(CD16:CD22)*1)&lt;3,"Need≥3",1-(1-(IFERROR(IF(SUMPRODUCT(ISNUMBER(CD16:CD22)*1)&lt;2,"Need≥2",RSQ(IF(ISNUMBER(CD16:CD22),LN(CD16:CD22),FALSE),IF(ISNUMBER(CD16:CD22),LN(BF6:BF12),FALSE))),"N/A")))*(B50-1)/(B50-2)),"N/A")</f>
        <v/>
      </c>
      <c r="L50" s="12">
        <f>IFERROR(IF(SUMPRODUCT(ISNUMBER(CD16:CD22)*1)&lt;3,"Need≥3",SQRT((1-(IFERROR(IF(SUMPRODUCT(ISNUMBER(CD16:CD22)*1)&lt;2,"Need≥2",RSQ(IF(ISNUMBER(CD16:CD22),LN(CD16:CD22),FALSE),IF(ISNUMBER(CD16:CD22),LN(BF6:BF12),FALSE))),"N/A")))*VAR(IF(ISNUMBER(CD16:CD22),LN(CD16:CD22),FALSE))/((B50-2)*VAR(IF(ISNUMBER(CD16:CD22),LN(BF6:BF12),FALSE))))),"N/A")</f>
        <v/>
      </c>
      <c r="M50" s="12">
        <f>IF(ISNUMBER(F50),IF(F50&lt;0.85,"⚠ Check fit","OK"),"")</f>
        <v/>
      </c>
    </row>
    <row r="51" ht="15" customHeight="1">
      <c r="A51" s="9" t="inlineStr">
        <is>
          <t>U</t>
        </is>
      </c>
      <c r="B51" s="12">
        <f>SUMPRODUCT((ISNUMBER(AA16:AA22)*1))</f>
        <v/>
      </c>
      <c r="C51" s="16">
        <f>IFERROR(IF(SUMPRODUCT(ISNUMBER(AA16:AA22)*1)&lt;2,"Need≥2",EXP(INTERCEPT(IF(ISNUMBER(AA16:AA22),LN(AA16:AA22),FALSE),IF(ISNUMBER(AA16:AA22),LN(B6:B12),FALSE)))),"N/A")</f>
        <v/>
      </c>
      <c r="D51" s="16">
        <f>IFERROR(IF(SUMPRODUCT(ISNUMBER(AA16:AA22)*1)&lt;2,"Need≥2",SLOPE(IF(ISNUMBER(AA16:AA22),LN(AA16:AA22),FALSE),IF(ISNUMBER(AA16:AA22),LN(B6:B12),FALSE))),"N/A")</f>
        <v/>
      </c>
      <c r="E51" s="12">
        <f>IFERROR(IF(SUMPRODUCT(ISNUMBER(AA16:AA22)*1)&lt;2,"Need≥2",RSQ(IF(ISNUMBER(AA16:AA22),LN(AA16:AA22),FALSE),IF(ISNUMBER(AA16:AA22),LN(B6:B12),FALSE))),"N/A")</f>
        <v/>
      </c>
      <c r="F51" s="12">
        <f>IFERROR(IF(SUMPRODUCT(ISNUMBER(AA16:AA22)*1)&lt;3,"Need≥3",1-(1-(IFERROR(IF(SUMPRODUCT(ISNUMBER(AA16:AA22)*1)&lt;2,"Need≥2",RSQ(IF(ISNUMBER(AA16:AA22),LN(AA16:AA22),FALSE),IF(ISNUMBER(AA16:AA22),LN(B6:B12),FALSE))),"N/A")))*(B51-1)/(B51-2)),"N/A")</f>
        <v/>
      </c>
      <c r="G51" s="12">
        <f>IFERROR(IF(SUMPRODUCT(ISNUMBER(AA16:AA22)*1)&lt;3,"Need≥3",SQRT((1-(IFERROR(IF(SUMPRODUCT(ISNUMBER(AA16:AA22)*1)&lt;2,"Need≥2",RSQ(IF(ISNUMBER(AA16:AA22),LN(AA16:AA22),FALSE),IF(ISNUMBER(AA16:AA22),LN(B6:B12),FALSE))),"N/A")))*VAR(IF(ISNUMBER(AA16:AA22),LN(AA16:AA22),FALSE))/((B51-2)*VAR(IF(ISNUMBER(AA16:AA22),LN(B6:B12),FALSE))))),"N/A")</f>
        <v/>
      </c>
      <c r="H51" s="16">
        <f>IFERROR(IF(SUMPRODUCT(ISNUMBER(CE16:CE22)*1)&lt;2,"Need≥2",EXP(INTERCEPT(IF(ISNUMBER(CE16:CE22),LN(CE16:CE22),FALSE),IF(ISNUMBER(CE16:CE22),LN(BF6:BF12),FALSE)))),"N/A")</f>
        <v/>
      </c>
      <c r="I51" s="16">
        <f>IFERROR(IF(SUMPRODUCT(ISNUMBER(CE16:CE22)*1)&lt;2,"Need≥2",SLOPE(IF(ISNUMBER(CE16:CE22),LN(CE16:CE22),FALSE),IF(ISNUMBER(CE16:CE22),LN(BF6:BF12),FALSE))),"N/A")</f>
        <v/>
      </c>
      <c r="J51" s="12">
        <f>IFERROR(IF(SUMPRODUCT(ISNUMBER(CE16:CE22)*1)&lt;2,"Need≥2",RSQ(IF(ISNUMBER(CE16:CE22),LN(CE16:CE22),FALSE),IF(ISNUMBER(CE16:CE22),LN(BF6:BF12),FALSE))),"N/A")</f>
        <v/>
      </c>
      <c r="K51" s="12">
        <f>IFERROR(IF(SUMPRODUCT(ISNUMBER(CE16:CE22)*1)&lt;3,"Need≥3",1-(1-(IFERROR(IF(SUMPRODUCT(ISNUMBER(CE16:CE22)*1)&lt;2,"Need≥2",RSQ(IF(ISNUMBER(CE16:CE22),LN(CE16:CE22),FALSE),IF(ISNUMBER(CE16:CE22),LN(BF6:BF12),FALSE))),"N/A")))*(B51-1)/(B51-2)),"N/A")</f>
        <v/>
      </c>
      <c r="L51" s="12">
        <f>IFERROR(IF(SUMPRODUCT(ISNUMBER(CE16:CE22)*1)&lt;3,"Need≥3",SQRT((1-(IFERROR(IF(SUMPRODUCT(ISNUMBER(CE16:CE22)*1)&lt;2,"Need≥2",RSQ(IF(ISNUMBER(CE16:CE22),LN(CE16:CE22),FALSE),IF(ISNUMBER(CE16:CE22),LN(BF6:BF12),FALSE))),"N/A")))*VAR(IF(ISNUMBER(CE16:CE22),LN(CE16:CE22),FALSE))/((B51-2)*VAR(IF(ISNUMBER(CE16:CE22),LN(BF6:BF12),FALSE))))),"N/A")</f>
        <v/>
      </c>
      <c r="M51" s="12">
        <f>IF(ISNUMBER(F51),IF(F51&lt;0.85,"⚠ Check fit","OK"),"")</f>
        <v/>
      </c>
    </row>
    <row r="54">
      <c r="A54" s="17" t="inlineStr">
        <is>
          <t>Charts above: U, Th, Hf, Zr (key elements). All 26 regressions computed in the summary table above.</t>
        </is>
      </c>
    </row>
  </sheetData>
  <mergeCells count="10">
    <mergeCell ref="A24:M24"/>
    <mergeCell ref="A14:AA14"/>
    <mergeCell ref="A54:N54"/>
    <mergeCell ref="BE14:CE14"/>
    <mergeCell ref="A2:D2"/>
    <mergeCell ref="I2:L2"/>
    <mergeCell ref="A1:DG1"/>
    <mergeCell ref="A4:BB4"/>
    <mergeCell ref="E2:H2"/>
    <mergeCell ref="BE4:DF4"/>
  </mergeCells>
  <pageMargins left="0.75" right="0.75" top="1" bottom="1" header="0.5" footer="0.5"/>
  <drawing xmlns:r="http://schemas.openxmlformats.org/officeDocument/2006/relationships" r:id="rId1"/>
  <drawing r:id="rId2"/>
</worksheet>
</file>

<file path=xl/worksheets/sheet2.xml><?xml version="1.0" encoding="utf-8"?>
<worksheet xmlns="http://schemas.openxmlformats.org/spreadsheetml/2006/main">
  <sheetPr>
    <tabColor rgb="001B3A6B"/>
    <outlinePr summaryBelow="1" summaryRight="1"/>
    <pageSetUpPr/>
  </sheetPr>
  <dimension ref="A1:IC315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  <col width="11" customWidth="1" min="162" max="162"/>
    <col width="11" customWidth="1" min="163" max="163"/>
    <col width="11" customWidth="1" min="164" max="164"/>
    <col width="11" customWidth="1" min="165" max="165"/>
    <col width="11" customWidth="1" min="166" max="166"/>
    <col width="11" customWidth="1" min="167" max="167"/>
    <col width="11" customWidth="1" min="168" max="168"/>
    <col width="11" customWidth="1" min="169" max="169"/>
    <col width="11" customWidth="1" min="170" max="170"/>
    <col width="11" customWidth="1" min="171" max="171"/>
    <col width="11" customWidth="1" min="172" max="172"/>
    <col width="11" customWidth="1" min="173" max="173"/>
    <col width="11" customWidth="1" min="174" max="174"/>
    <col width="11" customWidth="1" min="175" max="175"/>
    <col width="11" customWidth="1" min="176" max="176"/>
    <col width="11" customWidth="1" min="177" max="177"/>
    <col width="11" customWidth="1" min="178" max="178"/>
    <col width="11" customWidth="1" min="179" max="179"/>
    <col width="11" customWidth="1" min="180" max="180"/>
    <col width="11" customWidth="1" min="181" max="181"/>
    <col width="11" customWidth="1" min="182" max="182"/>
    <col width="11" customWidth="1" min="183" max="183"/>
    <col width="11" customWidth="1" min="184" max="184"/>
    <col width="11" customWidth="1" min="185" max="185"/>
    <col width="11" customWidth="1" min="186" max="186"/>
    <col width="11" customWidth="1" min="187" max="187"/>
    <col width="11" customWidth="1" min="188" max="188"/>
    <col width="11" customWidth="1" min="189" max="189"/>
    <col width="11" customWidth="1" min="190" max="190"/>
    <col width="11" customWidth="1" min="191" max="191"/>
    <col width="11" customWidth="1" min="192" max="192"/>
    <col width="11" customWidth="1" min="193" max="193"/>
    <col width="11" customWidth="1" min="194" max="194"/>
    <col width="11" customWidth="1" min="195" max="195"/>
    <col width="11" customWidth="1" min="196" max="196"/>
    <col width="11" customWidth="1" min="197" max="197"/>
    <col width="11" customWidth="1" min="198" max="198"/>
    <col width="11" customWidth="1" min="199" max="199"/>
    <col width="11" customWidth="1" min="200" max="200"/>
    <col width="11" customWidth="1" min="201" max="201"/>
    <col width="11" customWidth="1" min="202" max="202"/>
    <col width="11" customWidth="1" min="203" max="203"/>
    <col width="11" customWidth="1" min="204" max="204"/>
    <col width="11" customWidth="1" min="205" max="205"/>
    <col width="11" customWidth="1" min="206" max="206"/>
    <col width="11" customWidth="1" min="207" max="207"/>
    <col width="11" customWidth="1" min="208" max="208"/>
    <col width="11" customWidth="1" min="209" max="209"/>
    <col width="11" customWidth="1" min="210" max="210"/>
    <col width="11" customWidth="1" min="211" max="211"/>
    <col width="11" customWidth="1" min="212" max="212"/>
    <col width="11" customWidth="1" min="213" max="213"/>
    <col width="11" customWidth="1" min="214" max="214"/>
    <col width="11" customWidth="1" min="215" max="215"/>
    <col width="11" customWidth="1" min="216" max="216"/>
    <col width="11" customWidth="1" min="217" max="217"/>
    <col width="11" customWidth="1" min="218" max="218"/>
    <col width="11" customWidth="1" min="219" max="219"/>
    <col width="11" customWidth="1" min="220" max="220"/>
    <col width="11" customWidth="1" min="221" max="221"/>
    <col width="11" customWidth="1" min="222" max="222"/>
    <col width="11" customWidth="1" min="223" max="223"/>
    <col width="11" customWidth="1" min="224" max="224"/>
    <col width="11" customWidth="1" min="225" max="225"/>
    <col width="11" customWidth="1" min="226" max="226"/>
    <col width="11" customWidth="1" min="227" max="227"/>
    <col width="11" customWidth="1" min="228" max="228"/>
    <col width="11" customWidth="1" min="229" max="229"/>
    <col width="11" customWidth="1" min="230" max="230"/>
    <col width="11" customWidth="1" min="231" max="231"/>
    <col width="11" customWidth="1" min="232" max="232"/>
    <col width="11" customWidth="1" min="233" max="233"/>
    <col width="11" customWidth="1" min="234" max="234"/>
    <col width="11" customWidth="1" min="235" max="235"/>
    <col width="11" customWidth="1" min="236" max="236"/>
    <col width="11" customWidth="1" min="237" max="237"/>
    <col width="11" customWidth="1" min="238" max="238"/>
    <col width="11" customWidth="1" min="239" max="239"/>
    <col width="11" customWidth="1" min="240" max="240"/>
    <col width="11" customWidth="1" min="241" max="241"/>
    <col width="11" customWidth="1" min="242" max="242"/>
    <col width="11" customWidth="1" min="243" max="243"/>
    <col width="11" customWidth="1" min="244" max="244"/>
    <col width="11" customWidth="1" min="245" max="245"/>
    <col width="11" customWidth="1" min="246" max="246"/>
    <col width="11" customWidth="1" min="247" max="247"/>
    <col width="11" customWidth="1" min="248" max="248"/>
    <col width="11" customWidth="1" min="249" max="249"/>
    <col width="11" customWidth="1" min="250" max="250"/>
    <col width="11" customWidth="1" min="251" max="251"/>
    <col width="11" customWidth="1" min="252" max="252"/>
    <col width="11" customWidth="1" min="253" max="253"/>
    <col width="11" customWidth="1" min="254" max="254"/>
    <col width="11" customWidth="1" min="255" max="255"/>
    <col width="11" customWidth="1" min="256" max="256"/>
    <col width="11" customWidth="1" min="257" max="257"/>
    <col width="11" customWidth="1" min="258" max="258"/>
    <col width="11" customWidth="1" min="259" max="259"/>
    <col width="11" customWidth="1" min="260" max="260"/>
    <col width="11" customWidth="1" min="261" max="261"/>
    <col width="11" customWidth="1" min="262" max="262"/>
    <col width="11" customWidth="1" min="263" max="263"/>
    <col width="11" customWidth="1" min="264" max="264"/>
    <col width="11" customWidth="1" min="265" max="265"/>
    <col width="11" customWidth="1" min="266" max="266"/>
    <col width="11" customWidth="1" min="267" max="267"/>
    <col width="11" customWidth="1" min="268" max="268"/>
    <col width="11" customWidth="1" min="269" max="269"/>
    <col width="11" customWidth="1" min="270" max="270"/>
    <col width="11" customWidth="1" min="271" max="271"/>
    <col width="11" customWidth="1" min="272" max="272"/>
    <col width="11" customWidth="1" min="273" max="273"/>
    <col width="11" customWidth="1" min="274" max="274"/>
    <col width="11" customWidth="1" min="275" max="275"/>
    <col width="11" customWidth="1" min="276" max="276"/>
    <col width="11" customWidth="1" min="277" max="277"/>
    <col width="11" customWidth="1" min="278" max="278"/>
    <col width="11" customWidth="1" min="279" max="279"/>
    <col width="11" customWidth="1" min="280" max="280"/>
    <col width="11" customWidth="1" min="281" max="281"/>
    <col width="11" customWidth="1" min="282" max="282"/>
    <col width="11" customWidth="1" min="283" max="283"/>
    <col width="11" customWidth="1" min="284" max="284"/>
    <col width="11" customWidth="1" min="285" max="285"/>
    <col width="11" customWidth="1" min="286" max="286"/>
    <col width="11" customWidth="1" min="287" max="287"/>
    <col width="11" customWidth="1" min="288" max="288"/>
    <col width="11" customWidth="1" min="289" max="289"/>
    <col width="11" customWidth="1" min="290" max="290"/>
    <col width="11" customWidth="1" min="291" max="291"/>
    <col width="11" customWidth="1" min="292" max="292"/>
    <col width="11" customWidth="1" min="293" max="293"/>
    <col width="11" customWidth="1" min="294" max="294"/>
    <col width="11" customWidth="1" min="295" max="295"/>
    <col width="11" customWidth="1" min="296" max="296"/>
    <col width="11" customWidth="1" min="297" max="297"/>
    <col width="11" customWidth="1" min="298" max="298"/>
    <col width="11" customWidth="1" min="299" max="299"/>
    <col width="11" customWidth="1" min="300" max="300"/>
    <col width="11" customWidth="1" min="301" max="301"/>
    <col width="11" customWidth="1" min="302" max="302"/>
    <col width="11" customWidth="1" min="303" max="303"/>
    <col width="11" customWidth="1" min="304" max="304"/>
    <col width="11" customWidth="1" min="305" max="305"/>
    <col width="11" customWidth="1" min="306" max="306"/>
    <col width="11" customWidth="1" min="307" max="307"/>
    <col width="11" customWidth="1" min="308" max="308"/>
    <col width="11" customWidth="1" min="309" max="309"/>
    <col width="11" customWidth="1" min="310" max="310"/>
    <col width="11" customWidth="1" min="311" max="311"/>
    <col width="11" customWidth="1" min="312" max="312"/>
    <col width="11" customWidth="1" min="313" max="313"/>
    <col width="11" customWidth="1" min="314" max="314"/>
    <col width="11" customWidth="1" min="315" max="315"/>
    <col width="11" customWidth="1" min="316" max="316"/>
    <col width="11" customWidth="1" min="317" max="317"/>
    <col width="11" customWidth="1" min="318" max="318"/>
    <col width="11" customWidth="1" min="319" max="319"/>
    <col width="11" customWidth="1" min="320" max="320"/>
    <col width="11" customWidth="1" min="321" max="321"/>
    <col width="11" customWidth="1" min="322" max="322"/>
    <col width="11" customWidth="1" min="323" max="323"/>
    <col width="11" customWidth="1" min="324" max="324"/>
    <col width="11" customWidth="1" min="325" max="325"/>
    <col width="11" customWidth="1" min="326" max="326"/>
    <col width="11" customWidth="1" min="327" max="327"/>
    <col width="11" customWidth="1" min="328" max="328"/>
    <col width="11" customWidth="1" min="329" max="329"/>
    <col width="11" customWidth="1" min="330" max="330"/>
    <col width="11" customWidth="1" min="331" max="331"/>
    <col width="11" customWidth="1" min="332" max="332"/>
    <col width="11" customWidth="1" min="333" max="333"/>
    <col width="11" customWidth="1" min="334" max="334"/>
    <col width="11" customWidth="1" min="335" max="335"/>
    <col width="11" customWidth="1" min="336" max="336"/>
    <col width="11" customWidth="1" min="337" max="337"/>
    <col width="11" customWidth="1" min="338" max="338"/>
    <col width="11" customWidth="1" min="339" max="339"/>
    <col width="11" customWidth="1" min="340" max="340"/>
    <col width="11" customWidth="1" min="341" max="341"/>
    <col width="11" customWidth="1" min="342" max="342"/>
    <col width="11" customWidth="1" min="343" max="343"/>
    <col width="11" customWidth="1" min="344" max="344"/>
    <col width="11" customWidth="1" min="345" max="345"/>
    <col width="11" customWidth="1" min="346" max="346"/>
    <col width="11" customWidth="1" min="347" max="347"/>
    <col width="11" customWidth="1" min="348" max="348"/>
    <col width="11" customWidth="1" min="349" max="349"/>
    <col width="11" customWidth="1" min="350" max="350"/>
    <col width="11" customWidth="1" min="351" max="351"/>
    <col width="11" customWidth="1" min="352" max="352"/>
    <col width="11" customWidth="1" min="353" max="353"/>
    <col width="11" customWidth="1" min="354" max="354"/>
    <col width="11" customWidth="1" min="355" max="355"/>
    <col width="11" customWidth="1" min="356" max="356"/>
    <col width="11" customWidth="1" min="357" max="357"/>
    <col width="11" customWidth="1" min="358" max="358"/>
    <col width="11" customWidth="1" min="359" max="359"/>
    <col width="11" customWidth="1" min="360" max="360"/>
    <col width="11" customWidth="1" min="361" max="361"/>
    <col width="11" customWidth="1" min="362" max="362"/>
    <col width="11" customWidth="1" min="363" max="363"/>
    <col width="11" customWidth="1" min="364" max="364"/>
    <col width="11" customWidth="1" min="365" max="365"/>
    <col width="11" customWidth="1" min="366" max="366"/>
    <col width="11" customWidth="1" min="367" max="367"/>
    <col width="11" customWidth="1" min="368" max="368"/>
    <col width="11" customWidth="1" min="369" max="369"/>
    <col width="11" customWidth="1" min="370" max="370"/>
    <col width="11" customWidth="1" min="371" max="371"/>
    <col width="11" customWidth="1" min="372" max="372"/>
    <col width="11" customWidth="1" min="373" max="373"/>
    <col width="11" customWidth="1" min="374" max="374"/>
    <col width="11" customWidth="1" min="375" max="375"/>
    <col width="11" customWidth="1" min="376" max="376"/>
    <col width="11" customWidth="1" min="377" max="377"/>
    <col width="11" customWidth="1" min="378" max="378"/>
    <col width="11" customWidth="1" min="379" max="379"/>
    <col width="11" customWidth="1" min="380" max="380"/>
    <col width="11" customWidth="1" min="381" max="381"/>
    <col width="11" customWidth="1" min="382" max="382"/>
    <col width="11" customWidth="1" min="383" max="383"/>
    <col width="11" customWidth="1" min="384" max="384"/>
    <col width="11" customWidth="1" min="385" max="385"/>
    <col width="11" customWidth="1" min="386" max="386"/>
    <col width="11" customWidth="1" min="387" max="387"/>
    <col width="11" customWidth="1" min="388" max="388"/>
    <col width="11" customWidth="1" min="389" max="389"/>
    <col width="11" customWidth="1" min="390" max="390"/>
    <col width="11" customWidth="1" min="391" max="391"/>
    <col width="11" customWidth="1" min="392" max="392"/>
    <col width="11" customWidth="1" min="393" max="393"/>
    <col width="11" customWidth="1" min="394" max="394"/>
    <col width="11" customWidth="1" min="395" max="395"/>
    <col width="11" customWidth="1" min="396" max="396"/>
    <col width="11" customWidth="1" min="397" max="397"/>
    <col width="11" customWidth="1" min="398" max="398"/>
    <col width="11" customWidth="1" min="399" max="399"/>
    <col width="11" customWidth="1" min="400" max="400"/>
    <col width="11" customWidth="1" min="401" max="401"/>
    <col width="11" customWidth="1" min="402" max="402"/>
    <col width="11" customWidth="1" min="403" max="403"/>
    <col width="11" customWidth="1" min="404" max="404"/>
    <col width="11" customWidth="1" min="405" max="405"/>
    <col width="11" customWidth="1" min="406" max="406"/>
    <col width="11" customWidth="1" min="407" max="407"/>
    <col width="11" customWidth="1" min="408" max="408"/>
    <col width="11" customWidth="1" min="409" max="409"/>
    <col width="11" customWidth="1" min="410" max="410"/>
    <col width="11" customWidth="1" min="411" max="411"/>
    <col width="11" customWidth="1" min="412" max="412"/>
    <col width="11" customWidth="1" min="413" max="413"/>
    <col width="11" customWidth="1" min="414" max="414"/>
    <col width="11" customWidth="1" min="415" max="415"/>
    <col width="11" customWidth="1" min="416" max="416"/>
    <col width="11" customWidth="1" min="417" max="417"/>
    <col width="11" customWidth="1" min="418" max="418"/>
    <col width="11" customWidth="1" min="419" max="419"/>
    <col width="11" customWidth="1" min="420" max="420"/>
    <col width="11" customWidth="1" min="421" max="421"/>
    <col width="11" customWidth="1" min="422" max="422"/>
    <col width="11" customWidth="1" min="423" max="423"/>
    <col width="11" customWidth="1" min="424" max="424"/>
    <col width="11" customWidth="1" min="425" max="425"/>
    <col width="11" customWidth="1" min="426" max="426"/>
    <col width="11" customWidth="1" min="427" max="427"/>
    <col width="11" customWidth="1" min="428" max="428"/>
    <col width="11" customWidth="1" min="429" max="429"/>
    <col width="11" customWidth="1" min="430" max="430"/>
    <col width="11" customWidth="1" min="431" max="431"/>
    <col width="11" customWidth="1" min="432" max="432"/>
    <col width="11" customWidth="1" min="433" max="433"/>
    <col width="11" customWidth="1" min="434" max="434"/>
    <col width="11" customWidth="1" min="435" max="435"/>
    <col width="11" customWidth="1" min="436" max="436"/>
    <col width="11" customWidth="1" min="437" max="437"/>
    <col width="11" customWidth="1" min="438" max="438"/>
    <col width="11" customWidth="1" min="439" max="439"/>
    <col width="11" customWidth="1" min="440" max="440"/>
    <col width="11" customWidth="1" min="441" max="441"/>
    <col width="11" customWidth="1" min="442" max="442"/>
    <col width="11" customWidth="1" min="443" max="443"/>
    <col width="11" customWidth="1" min="444" max="444"/>
    <col width="11" customWidth="1" min="445" max="445"/>
    <col width="11" customWidth="1" min="446" max="446"/>
    <col width="11" customWidth="1" min="447" max="447"/>
    <col width="11" customWidth="1" min="448" max="448"/>
    <col width="11" customWidth="1" min="449" max="449"/>
    <col width="11" customWidth="1" min="450" max="450"/>
    <col width="11" customWidth="1" min="451" max="451"/>
    <col width="11" customWidth="1" min="452" max="452"/>
    <col width="11" customWidth="1" min="453" max="453"/>
    <col width="11" customWidth="1" min="454" max="454"/>
    <col width="11" customWidth="1" min="455" max="455"/>
    <col width="11" customWidth="1" min="456" max="456"/>
    <col width="11" customWidth="1" min="457" max="457"/>
    <col width="11" customWidth="1" min="458" max="458"/>
    <col width="11" customWidth="1" min="459" max="459"/>
    <col width="11" customWidth="1" min="460" max="460"/>
    <col width="11" customWidth="1" min="461" max="461"/>
    <col width="11" customWidth="1" min="462" max="462"/>
    <col width="11" customWidth="1" min="463" max="463"/>
    <col width="11" customWidth="1" min="464" max="464"/>
    <col width="11" customWidth="1" min="465" max="465"/>
    <col width="11" customWidth="1" min="466" max="466"/>
    <col width="11" customWidth="1" min="467" max="467"/>
    <col width="11" customWidth="1" min="468" max="468"/>
    <col width="11" customWidth="1" min="469" max="469"/>
    <col width="11" customWidth="1" min="470" max="470"/>
    <col width="11" customWidth="1" min="471" max="471"/>
    <col width="11" customWidth="1" min="472" max="472"/>
    <col width="11" customWidth="1" min="473" max="473"/>
    <col width="11" customWidth="1" min="474" max="474"/>
    <col width="11" customWidth="1" min="475" max="475"/>
    <col width="11" customWidth="1" min="476" max="476"/>
    <col width="11" customWidth="1" min="477" max="477"/>
    <col width="11" customWidth="1" min="478" max="478"/>
    <col width="11" customWidth="1" min="479" max="479"/>
    <col width="11" customWidth="1" min="480" max="480"/>
    <col width="11" customWidth="1" min="481" max="481"/>
    <col width="11" customWidth="1" min="482" max="482"/>
    <col width="11" customWidth="1" min="483" max="483"/>
    <col width="11" customWidth="1" min="484" max="484"/>
    <col width="11" customWidth="1" min="485" max="485"/>
    <col width="11" customWidth="1" min="486" max="486"/>
    <col width="11" customWidth="1" min="487" max="487"/>
    <col width="11" customWidth="1" min="488" max="488"/>
    <col width="11" customWidth="1" min="489" max="489"/>
    <col width="11" customWidth="1" min="490" max="490"/>
    <col width="11" customWidth="1" min="491" max="491"/>
    <col width="11" customWidth="1" min="492" max="492"/>
    <col width="11" customWidth="1" min="493" max="493"/>
    <col width="11" customWidth="1" min="494" max="494"/>
    <col width="11" customWidth="1" min="495" max="495"/>
    <col width="11" customWidth="1" min="496" max="496"/>
    <col width="11" customWidth="1" min="497" max="497"/>
    <col width="11" customWidth="1" min="498" max="498"/>
    <col width="11" customWidth="1" min="499" max="499"/>
    <col width="11" customWidth="1" min="500" max="500"/>
    <col width="11" customWidth="1" min="501" max="501"/>
    <col width="11" customWidth="1" min="502" max="502"/>
    <col width="11" customWidth="1" min="503" max="503"/>
    <col width="11" customWidth="1" min="504" max="504"/>
    <col width="11" customWidth="1" min="505" max="505"/>
    <col width="11" customWidth="1" min="506" max="506"/>
    <col width="11" customWidth="1" min="507" max="507"/>
    <col width="11" customWidth="1" min="508" max="508"/>
    <col width="11" customWidth="1" min="509" max="509"/>
    <col width="11" customWidth="1" min="510" max="510"/>
    <col width="11" customWidth="1" min="511" max="511"/>
    <col width="11" customWidth="1" min="512" max="512"/>
    <col width="11" customWidth="1" min="513" max="513"/>
    <col width="11" customWidth="1" min="514" max="514"/>
    <col width="11" customWidth="1" min="515" max="515"/>
    <col width="11" customWidth="1" min="516" max="516"/>
    <col width="11" customWidth="1" min="517" max="517"/>
    <col width="11" customWidth="1" min="518" max="518"/>
    <col width="11" customWidth="1" min="519" max="519"/>
    <col width="11" customWidth="1" min="520" max="520"/>
    <col width="11" customWidth="1" min="521" max="521"/>
    <col width="11" customWidth="1" min="522" max="522"/>
    <col width="11" customWidth="1" min="523" max="523"/>
    <col width="11" customWidth="1" min="524" max="524"/>
    <col width="11" customWidth="1" min="525" max="525"/>
    <col width="11" customWidth="1" min="526" max="526"/>
    <col width="11" customWidth="1" min="527" max="527"/>
    <col width="11" customWidth="1" min="528" max="528"/>
    <col width="11" customWidth="1" min="529" max="529"/>
    <col width="11" customWidth="1" min="530" max="530"/>
    <col width="11" customWidth="1" min="531" max="531"/>
    <col width="11" customWidth="1" min="532" max="532"/>
    <col width="11" customWidth="1" min="533" max="533"/>
    <col width="11" customWidth="1" min="534" max="534"/>
    <col width="11" customWidth="1" min="535" max="535"/>
    <col width="11" customWidth="1" min="536" max="536"/>
    <col width="11" customWidth="1" min="537" max="537"/>
    <col width="11" customWidth="1" min="538" max="538"/>
    <col width="11" customWidth="1" min="539" max="539"/>
    <col width="11" customWidth="1" min="540" max="540"/>
    <col width="11" customWidth="1" min="541" max="541"/>
    <col width="11" customWidth="1" min="542" max="542"/>
    <col width="11" customWidth="1" min="543" max="543"/>
    <col width="11" customWidth="1" min="544" max="544"/>
    <col width="11" customWidth="1" min="545" max="545"/>
    <col width="11" customWidth="1" min="546" max="546"/>
    <col width="11" customWidth="1" min="547" max="547"/>
    <col width="11" customWidth="1" min="548" max="548"/>
    <col width="11" customWidth="1" min="549" max="549"/>
    <col width="11" customWidth="1" min="550" max="550"/>
    <col width="11" customWidth="1" min="551" max="551"/>
    <col width="11" customWidth="1" min="552" max="552"/>
    <col width="11" customWidth="1" min="553" max="553"/>
    <col width="11" customWidth="1" min="554" max="554"/>
    <col width="11" customWidth="1" min="555" max="555"/>
    <col width="11" customWidth="1" min="556" max="556"/>
    <col width="11" customWidth="1" min="557" max="557"/>
    <col width="11" customWidth="1" min="558" max="558"/>
    <col width="11" customWidth="1" min="559" max="559"/>
    <col width="11" customWidth="1" min="560" max="560"/>
    <col width="11" customWidth="1" min="561" max="561"/>
    <col width="11" customWidth="1" min="562" max="562"/>
    <col width="11" customWidth="1" min="563" max="563"/>
    <col width="11" customWidth="1" min="564" max="564"/>
    <col width="11" customWidth="1" min="565" max="565"/>
    <col width="11" customWidth="1" min="566" max="566"/>
    <col width="11" customWidth="1" min="567" max="567"/>
    <col width="11" customWidth="1" min="568" max="568"/>
    <col width="11" customWidth="1" min="569" max="569"/>
    <col width="11" customWidth="1" min="570" max="570"/>
    <col width="11" customWidth="1" min="571" max="571"/>
    <col width="11" customWidth="1" min="572" max="572"/>
    <col width="11" customWidth="1" min="573" max="573"/>
    <col width="11" customWidth="1" min="574" max="574"/>
    <col width="11" customWidth="1" min="575" max="575"/>
    <col width="11" customWidth="1" min="576" max="576"/>
    <col width="11" customWidth="1" min="577" max="577"/>
    <col width="11" customWidth="1" min="578" max="578"/>
    <col width="11" customWidth="1" min="579" max="579"/>
    <col width="11" customWidth="1" min="580" max="580"/>
    <col width="11" customWidth="1" min="581" max="581"/>
    <col width="11" customWidth="1" min="582" max="582"/>
    <col width="11" customWidth="1" min="583" max="583"/>
    <col width="11" customWidth="1" min="584" max="584"/>
    <col width="11" customWidth="1" min="585" max="585"/>
    <col width="11" customWidth="1" min="586" max="586"/>
    <col width="11" customWidth="1" min="587" max="587"/>
    <col width="11" customWidth="1" min="588" max="588"/>
    <col width="11" customWidth="1" min="589" max="589"/>
    <col width="11" customWidth="1" min="590" max="590"/>
    <col width="11" customWidth="1" min="591" max="591"/>
    <col width="11" customWidth="1" min="592" max="592"/>
    <col width="11" customWidth="1" min="593" max="593"/>
    <col width="11" customWidth="1" min="594" max="594"/>
    <col width="11" customWidth="1" min="595" max="595"/>
    <col width="11" customWidth="1" min="596" max="596"/>
    <col width="11" customWidth="1" min="597" max="597"/>
    <col width="11" customWidth="1" min="598" max="598"/>
    <col width="11" customWidth="1" min="599" max="599"/>
  </cols>
  <sheetData>
    <row r="1" ht="28" customHeight="1">
      <c r="A1" s="18" t="inlineStr">
        <is>
          <t>STEADY-STATE SX SIMULATION — Primene JMT / H₂SO₄ Loading / HNO₃ Stripping — 26 Elements: Al Sc Fe Co Zn Ga Rb Y Zr La Ce Pr Nd Sm Eu Gd Tb Dy Ho Er Tm Yb Lu Hf Th U</t>
        </is>
      </c>
    </row>
    <row r="2" ht="16" customHeight="1">
      <c r="A2" s="2" t="inlineStr">
        <is>
          <t>INPUT</t>
        </is>
      </c>
      <c r="D2" s="3" t="inlineStr">
        <is>
          <t>CALC</t>
        </is>
      </c>
      <c r="G2" s="19" t="inlineStr">
        <is>
          <t>STEP</t>
        </is>
      </c>
      <c r="J2" s="4" t="inlineStr">
        <is>
          <t>OUTPUT</t>
        </is>
      </c>
      <c r="M2" s="20" t="inlineStr">
        <is>
          <t>REF</t>
        </is>
      </c>
    </row>
    <row r="3" ht="5" customHeight="1"/>
    <row r="4" ht="20" customHeight="1">
      <c r="A4" s="21" t="inlineStr">
        <is>
          <t>TDMA SOLVER — INPUT PANELS</t>
        </is>
      </c>
    </row>
    <row r="5">
      <c r="A5" s="22" t="inlineStr">
        <is>
          <t>PANEL A — General Inputs</t>
        </is>
      </c>
      <c r="D5" s="22" t="inlineStr">
        <is>
          <t>PANEL B — Distribution Coefficients (live-linked from Regression)</t>
        </is>
      </c>
      <c r="J5" s="22" t="inlineStr">
        <is>
          <t>PANEL C — Feed Conc. (g/L)</t>
        </is>
      </c>
      <c r="N5" s="22" t="inlineStr">
        <is>
          <t>PANEL D — Results Summary</t>
        </is>
      </c>
      <c r="Q5" s="22" t="inlineStr">
        <is>
          <t>PANEL E — O/A Ratio Tracker</t>
        </is>
      </c>
    </row>
    <row r="6" ht="15" customHeight="1">
      <c r="A6" s="23" t="inlineStr">
        <is>
          <t>n_ext (extraction stages)</t>
        </is>
      </c>
      <c r="B6" s="10" t="n">
        <v>3</v>
      </c>
      <c r="D6" s="7" t="inlineStr">
        <is>
          <t>Element</t>
        </is>
      </c>
      <c r="E6" s="7" t="inlineStr">
        <is>
          <t>P_load</t>
        </is>
      </c>
      <c r="F6" s="7" t="inlineStr">
        <is>
          <t>Q_load</t>
        </is>
      </c>
      <c r="G6" s="7" t="inlineStr">
        <is>
          <t>P_strip</t>
        </is>
      </c>
      <c r="H6" s="7" t="inlineStr">
        <is>
          <t>Q_strip</t>
        </is>
      </c>
      <c r="I6" s="7" t="inlineStr">
        <is>
          <t>Note</t>
        </is>
      </c>
      <c r="J6" s="7" t="inlineStr">
        <is>
          <t>Element</t>
        </is>
      </c>
      <c r="K6" s="7" t="inlineStr">
        <is>
          <t>X_feed (g/L)</t>
        </is>
      </c>
      <c r="L6" s="7" t="inlineStr">
        <is>
          <t>MW (g/mol)</t>
        </is>
      </c>
      <c r="N6" s="7" t="inlineStr">
        <is>
          <t>Metric</t>
        </is>
      </c>
      <c r="O6" s="7" t="inlineStr">
        <is>
          <t>Value (g/L)</t>
        </is>
      </c>
      <c r="Q6" s="7" t="inlineStr">
        <is>
          <t>Section</t>
        </is>
      </c>
      <c r="R6" s="7" t="inlineStr">
        <is>
          <t>O/A</t>
        </is>
      </c>
      <c r="S6" s="7" t="inlineStr">
        <is>
          <t>Note</t>
        </is>
      </c>
    </row>
    <row r="7" ht="15" customHeight="1">
      <c r="A7" s="23" t="inlineStr">
        <is>
          <t>n_scr (scrub stages)</t>
        </is>
      </c>
      <c r="B7" s="10" t="n">
        <v>0</v>
      </c>
      <c r="D7" s="9" t="inlineStr">
        <is>
          <t>Al</t>
        </is>
      </c>
      <c r="E7" s="16">
        <f>IFERROR(IF(ISNUMBER(Regression!$C$26),Regression!$C$26,1.0),1.0)</f>
        <v/>
      </c>
      <c r="F7" s="16">
        <f>IFERROR(IF(ISNUMBER(Regression!$D$26),Regression!$D$26,-1.0),-1.0)</f>
        <v/>
      </c>
      <c r="G7" s="16">
        <f>IFERROR(IF(ISNUMBER(Regression!$H$26),Regression!$H$26,1.0),1.0)</f>
        <v/>
      </c>
      <c r="H7" s="16">
        <f>IFERROR(IF(ISNUMBER(Regression!$I$26),Regression!$I$26,-1.2),-1.2)</f>
        <v/>
      </c>
      <c r="I7" s="24" t="inlineStr">
        <is>
          <t>→ regression</t>
        </is>
      </c>
      <c r="J7" s="9" t="inlineStr">
        <is>
          <t>Al</t>
        </is>
      </c>
      <c r="K7" s="10" t="n">
        <v>0.1</v>
      </c>
      <c r="L7" s="12" t="n">
        <v>26.98</v>
      </c>
      <c r="N7" s="23" t="inlineStr">
        <is>
          <t>Raffinate Al</t>
        </is>
      </c>
      <c r="O7" s="16">
        <f>HB91</f>
        <v/>
      </c>
      <c r="Q7" s="9" t="inlineStr">
        <is>
          <t>Extraction</t>
        </is>
      </c>
      <c r="R7" s="16">
        <f>$B$14/$B$12</f>
        <v/>
      </c>
      <c r="S7" s="12" t="inlineStr">
        <is>
          <t>O/F</t>
        </is>
      </c>
    </row>
    <row r="8" ht="15" customHeight="1">
      <c r="A8" s="23" t="inlineStr">
        <is>
          <t>n_str (strip stages)</t>
        </is>
      </c>
      <c r="B8" s="10" t="n">
        <v>2</v>
      </c>
      <c r="D8" s="9" t="inlineStr">
        <is>
          <t>Sc</t>
        </is>
      </c>
      <c r="E8" s="16">
        <f>IFERROR(IF(ISNUMBER(Regression!$C$27),Regression!$C$27,1.0),1.0)</f>
        <v/>
      </c>
      <c r="F8" s="16">
        <f>IFERROR(IF(ISNUMBER(Regression!$D$27),Regression!$D$27,-1.0),-1.0)</f>
        <v/>
      </c>
      <c r="G8" s="16">
        <f>IFERROR(IF(ISNUMBER(Regression!$H$27),Regression!$H$27,1.0),1.0)</f>
        <v/>
      </c>
      <c r="H8" s="16">
        <f>IFERROR(IF(ISNUMBER(Regression!$I$27),Regression!$I$27,-1.2),-1.2)</f>
        <v/>
      </c>
      <c r="I8" s="24" t="inlineStr">
        <is>
          <t>→ regression</t>
        </is>
      </c>
      <c r="J8" s="9" t="inlineStr">
        <is>
          <t>Sc</t>
        </is>
      </c>
      <c r="K8" s="10" t="n">
        <v>0.1</v>
      </c>
      <c r="L8" s="12" t="n">
        <v>44.96</v>
      </c>
      <c r="N8" s="23" t="inlineStr">
        <is>
          <t>Loaded Org Al</t>
        </is>
      </c>
      <c r="O8" s="16">
        <f>IFERROR(INDEX(I91:I115,$B$6),0)</f>
        <v/>
      </c>
      <c r="Q8" s="9" t="inlineStr">
        <is>
          <t>Scrub</t>
        </is>
      </c>
      <c r="R8" s="16">
        <f>$B$14/MAX($B$13*$B$15,0.0001)</f>
        <v/>
      </c>
      <c r="S8" s="12" t="inlineStr">
        <is>
          <t>O/(S·R)</t>
        </is>
      </c>
    </row>
    <row r="9" ht="15" customHeight="1">
      <c r="A9" s="23" t="inlineStr">
        <is>
          <t>[H₂SO₄] Extraction (N)</t>
        </is>
      </c>
      <c r="B9" s="10" t="n">
        <v>0.5</v>
      </c>
      <c r="D9" s="9" t="inlineStr">
        <is>
          <t>Fe</t>
        </is>
      </c>
      <c r="E9" s="16">
        <f>IFERROR(IF(ISNUMBER(Regression!$C$28),Regression!$C$28,1.0),1.0)</f>
        <v/>
      </c>
      <c r="F9" s="16">
        <f>IFERROR(IF(ISNUMBER(Regression!$D$28),Regression!$D$28,-1.0),-1.0)</f>
        <v/>
      </c>
      <c r="G9" s="16">
        <f>IFERROR(IF(ISNUMBER(Regression!$H$28),Regression!$H$28,1.0),1.0)</f>
        <v/>
      </c>
      <c r="H9" s="16">
        <f>IFERROR(IF(ISNUMBER(Regression!$I$28),Regression!$I$28,-1.2),-1.2)</f>
        <v/>
      </c>
      <c r="I9" s="24" t="inlineStr">
        <is>
          <t>→ regression</t>
        </is>
      </c>
      <c r="J9" s="9" t="inlineStr">
        <is>
          <t>Fe</t>
        </is>
      </c>
      <c r="K9" s="10" t="n">
        <v>0.1</v>
      </c>
      <c r="L9" s="12" t="n">
        <v>55.85</v>
      </c>
      <c r="N9" s="23" t="inlineStr">
        <is>
          <t>Pregnant Al</t>
        </is>
      </c>
      <c r="O9" s="16">
        <f>IFERROR(INDEX(HB91:HB115,$B$6+$B$7+$B$8),0)</f>
        <v/>
      </c>
      <c r="Q9" s="9" t="inlineStr">
        <is>
          <t>Strip</t>
        </is>
      </c>
      <c r="R9" s="16">
        <f>$B$14/$B$13</f>
        <v/>
      </c>
      <c r="S9" s="12" t="inlineStr">
        <is>
          <t>O/S</t>
        </is>
      </c>
    </row>
    <row r="10" ht="15" customHeight="1">
      <c r="A10" s="23" t="inlineStr">
        <is>
          <t>[H₂SO₄] Scrub (N)</t>
        </is>
      </c>
      <c r="B10" s="10" t="n">
        <v>1</v>
      </c>
      <c r="D10" s="9" t="inlineStr">
        <is>
          <t>Co</t>
        </is>
      </c>
      <c r="E10" s="16">
        <f>IFERROR(IF(ISNUMBER(Regression!$C$29),Regression!$C$29,1.0),1.0)</f>
        <v/>
      </c>
      <c r="F10" s="16">
        <f>IFERROR(IF(ISNUMBER(Regression!$D$29),Regression!$D$29,-1.0),-1.0)</f>
        <v/>
      </c>
      <c r="G10" s="16">
        <f>IFERROR(IF(ISNUMBER(Regression!$H$29),Regression!$H$29,1.0),1.0)</f>
        <v/>
      </c>
      <c r="H10" s="16">
        <f>IFERROR(IF(ISNUMBER(Regression!$I$29),Regression!$I$29,-1.2),-1.2)</f>
        <v/>
      </c>
      <c r="I10" s="24" t="inlineStr">
        <is>
          <t>→ regression</t>
        </is>
      </c>
      <c r="J10" s="9" t="inlineStr">
        <is>
          <t>Co</t>
        </is>
      </c>
      <c r="K10" s="10" t="n">
        <v>0.1</v>
      </c>
      <c r="L10" s="12" t="n">
        <v>58.93</v>
      </c>
      <c r="N10" s="23" t="inlineStr">
        <is>
          <t>Raffinate Sc</t>
        </is>
      </c>
      <c r="O10" s="16">
        <f>HC91</f>
        <v/>
      </c>
    </row>
    <row r="11" ht="15" customHeight="1">
      <c r="A11" s="23" t="inlineStr">
        <is>
          <t>[HNO₃] Strip (N)</t>
        </is>
      </c>
      <c r="B11" s="10" t="n">
        <v>4</v>
      </c>
      <c r="D11" s="9" t="inlineStr">
        <is>
          <t>Zn</t>
        </is>
      </c>
      <c r="E11" s="16">
        <f>IFERROR(IF(ISNUMBER(Regression!$C$30),Regression!$C$30,1.0),1.0)</f>
        <v/>
      </c>
      <c r="F11" s="16">
        <f>IFERROR(IF(ISNUMBER(Regression!$D$30),Regression!$D$30,-1.0),-1.0)</f>
        <v/>
      </c>
      <c r="G11" s="16">
        <f>IFERROR(IF(ISNUMBER(Regression!$H$30),Regression!$H$30,1.0),1.0)</f>
        <v/>
      </c>
      <c r="H11" s="16">
        <f>IFERROR(IF(ISNUMBER(Regression!$I$30),Regression!$I$30,-1.2),-1.2)</f>
        <v/>
      </c>
      <c r="I11" s="24" t="inlineStr">
        <is>
          <t>→ regression</t>
        </is>
      </c>
      <c r="J11" s="9" t="inlineStr">
        <is>
          <t>Zn</t>
        </is>
      </c>
      <c r="K11" s="10" t="n">
        <v>0.1</v>
      </c>
      <c r="L11" s="12" t="n">
        <v>65.38</v>
      </c>
      <c r="N11" s="23" t="inlineStr">
        <is>
          <t>Loaded Org Sc</t>
        </is>
      </c>
      <c r="O11" s="16">
        <f>IFERROR(INDEX(Q91:Q115,$B$6),0)</f>
        <v/>
      </c>
    </row>
    <row r="12" ht="15" customHeight="1">
      <c r="A12" s="23" t="inlineStr">
        <is>
          <t>F — Feed flow aq (L/min)</t>
        </is>
      </c>
      <c r="B12" s="10" t="n">
        <v>1</v>
      </c>
      <c r="D12" s="9" t="inlineStr">
        <is>
          <t>Ga</t>
        </is>
      </c>
      <c r="E12" s="16">
        <f>IFERROR(IF(ISNUMBER(Regression!$C$31),Regression!$C$31,1.0),1.0)</f>
        <v/>
      </c>
      <c r="F12" s="16">
        <f>IFERROR(IF(ISNUMBER(Regression!$D$31),Regression!$D$31,-1.0),-1.0)</f>
        <v/>
      </c>
      <c r="G12" s="16">
        <f>IFERROR(IF(ISNUMBER(Regression!$H$31),Regression!$H$31,1.0),1.0)</f>
        <v/>
      </c>
      <c r="H12" s="16">
        <f>IFERROR(IF(ISNUMBER(Regression!$I$31),Regression!$I$31,-1.2),-1.2)</f>
        <v/>
      </c>
      <c r="I12" s="24" t="inlineStr">
        <is>
          <t>→ regression</t>
        </is>
      </c>
      <c r="J12" s="9" t="inlineStr">
        <is>
          <t>Ga</t>
        </is>
      </c>
      <c r="K12" s="10" t="n">
        <v>0.1</v>
      </c>
      <c r="L12" s="12" t="n">
        <v>69.72</v>
      </c>
      <c r="N12" s="23" t="inlineStr">
        <is>
          <t>Pregnant Sc</t>
        </is>
      </c>
      <c r="O12" s="16">
        <f>IFERROR(INDEX(HC91:HC115,$B$6+$B$7+$B$8),0)</f>
        <v/>
      </c>
    </row>
    <row r="13" ht="15" customHeight="1">
      <c r="A13" s="23" t="inlineStr">
        <is>
          <t>S — Strip flow aq (L/min)</t>
        </is>
      </c>
      <c r="B13" s="10" t="n">
        <v>1</v>
      </c>
      <c r="D13" s="9" t="inlineStr">
        <is>
          <t>Rb</t>
        </is>
      </c>
      <c r="E13" s="16">
        <f>IFERROR(IF(ISNUMBER(Regression!$C$32),Regression!$C$32,1.0),1.0)</f>
        <v/>
      </c>
      <c r="F13" s="16">
        <f>IFERROR(IF(ISNUMBER(Regression!$D$32),Regression!$D$32,-1.0),-1.0)</f>
        <v/>
      </c>
      <c r="G13" s="16">
        <f>IFERROR(IF(ISNUMBER(Regression!$H$32),Regression!$H$32,1.0),1.0)</f>
        <v/>
      </c>
      <c r="H13" s="16">
        <f>IFERROR(IF(ISNUMBER(Regression!$I$32),Regression!$I$32,-1.2),-1.2)</f>
        <v/>
      </c>
      <c r="I13" s="24" t="inlineStr">
        <is>
          <t>→ regression</t>
        </is>
      </c>
      <c r="J13" s="9" t="inlineStr">
        <is>
          <t>Rb</t>
        </is>
      </c>
      <c r="K13" s="10" t="n">
        <v>0.1</v>
      </c>
      <c r="L13" s="12" t="n">
        <v>85.47</v>
      </c>
      <c r="N13" s="23" t="inlineStr">
        <is>
          <t>Raffinate Fe</t>
        </is>
      </c>
      <c r="O13" s="16">
        <f>HD91</f>
        <v/>
      </c>
    </row>
    <row r="14" ht="15" customHeight="1">
      <c r="A14" s="23" t="inlineStr">
        <is>
          <t>O — Org flow (L/min)</t>
        </is>
      </c>
      <c r="B14" s="10" t="n">
        <v>1</v>
      </c>
      <c r="D14" s="9" t="inlineStr">
        <is>
          <t>Y</t>
        </is>
      </c>
      <c r="E14" s="16">
        <f>IFERROR(IF(ISNUMBER(Regression!$C$33),Regression!$C$33,1.0),1.0)</f>
        <v/>
      </c>
      <c r="F14" s="16">
        <f>IFERROR(IF(ISNUMBER(Regression!$D$33),Regression!$D$33,-1.0),-1.0)</f>
        <v/>
      </c>
      <c r="G14" s="16">
        <f>IFERROR(IF(ISNUMBER(Regression!$H$33),Regression!$H$33,1.0),1.0)</f>
        <v/>
      </c>
      <c r="H14" s="16">
        <f>IFERROR(IF(ISNUMBER(Regression!$I$33),Regression!$I$33,-1.2),-1.2)</f>
        <v/>
      </c>
      <c r="I14" s="24" t="inlineStr">
        <is>
          <t>→ regression</t>
        </is>
      </c>
      <c r="J14" s="9" t="inlineStr">
        <is>
          <t>Y</t>
        </is>
      </c>
      <c r="K14" s="10" t="n">
        <v>0.2</v>
      </c>
      <c r="L14" s="12" t="n">
        <v>88.91</v>
      </c>
      <c r="N14" s="23" t="inlineStr">
        <is>
          <t>Loaded Org Fe</t>
        </is>
      </c>
      <c r="O14" s="16">
        <f>IFERROR(INDEX(Y91:Y115,$B$6),0)</f>
        <v/>
      </c>
    </row>
    <row r="15" ht="15" customHeight="1">
      <c r="A15" s="23" t="inlineStr">
        <is>
          <t>R — Recycle ratio</t>
        </is>
      </c>
      <c r="B15" s="10" t="n">
        <v>0</v>
      </c>
      <c r="D15" s="9" t="inlineStr">
        <is>
          <t>Zr</t>
        </is>
      </c>
      <c r="E15" s="16">
        <f>IFERROR(IF(ISNUMBER(Regression!$C$34),Regression!$C$34,1.0),1.0)</f>
        <v/>
      </c>
      <c r="F15" s="16">
        <f>IFERROR(IF(ISNUMBER(Regression!$D$34),Regression!$D$34,-1.0),-1.0)</f>
        <v/>
      </c>
      <c r="G15" s="16">
        <f>IFERROR(IF(ISNUMBER(Regression!$H$34),Regression!$H$34,1.0),1.0)</f>
        <v/>
      </c>
      <c r="H15" s="16">
        <f>IFERROR(IF(ISNUMBER(Regression!$I$34),Regression!$I$34,-1.2),-1.2)</f>
        <v/>
      </c>
      <c r="I15" s="24" t="inlineStr">
        <is>
          <t>→ regression</t>
        </is>
      </c>
      <c r="J15" s="9" t="inlineStr">
        <is>
          <t>Zr</t>
        </is>
      </c>
      <c r="K15" s="10" t="n">
        <v>1</v>
      </c>
      <c r="L15" s="12" t="n">
        <v>91.22</v>
      </c>
      <c r="N15" s="23" t="inlineStr">
        <is>
          <t>Pregnant Fe</t>
        </is>
      </c>
      <c r="O15" s="16">
        <f>IFERROR(INDEX(HD91:HD115,$B$6+$B$7+$B$8),0)</f>
        <v/>
      </c>
    </row>
    <row r="16" ht="15" customHeight="1">
      <c r="D16" s="9" t="inlineStr">
        <is>
          <t>La</t>
        </is>
      </c>
      <c r="E16" s="16">
        <f>IFERROR(IF(ISNUMBER(Regression!$C$35),Regression!$C$35,1.0),1.0)</f>
        <v/>
      </c>
      <c r="F16" s="16">
        <f>IFERROR(IF(ISNUMBER(Regression!$D$35),Regression!$D$35,-1.0),-1.0)</f>
        <v/>
      </c>
      <c r="G16" s="16">
        <f>IFERROR(IF(ISNUMBER(Regression!$H$35),Regression!$H$35,1.0),1.0)</f>
        <v/>
      </c>
      <c r="H16" s="16">
        <f>IFERROR(IF(ISNUMBER(Regression!$I$35),Regression!$I$35,-1.2),-1.2)</f>
        <v/>
      </c>
      <c r="I16" s="24" t="inlineStr">
        <is>
          <t>→ regression</t>
        </is>
      </c>
      <c r="J16" s="9" t="inlineStr">
        <is>
          <t>La</t>
        </is>
      </c>
      <c r="K16" s="10" t="n">
        <v>0.5</v>
      </c>
      <c r="L16" s="12" t="n">
        <v>138.91</v>
      </c>
      <c r="N16" s="23" t="inlineStr">
        <is>
          <t>Raffinate Co</t>
        </is>
      </c>
      <c r="O16" s="16">
        <f>HE91</f>
        <v/>
      </c>
    </row>
    <row r="17" ht="15" customHeight="1">
      <c r="D17" s="9" t="inlineStr">
        <is>
          <t>Ce</t>
        </is>
      </c>
      <c r="E17" s="16">
        <f>IFERROR(IF(ISNUMBER(Regression!$C$36),Regression!$C$36,1.0),1.0)</f>
        <v/>
      </c>
      <c r="F17" s="16">
        <f>IFERROR(IF(ISNUMBER(Regression!$D$36),Regression!$D$36,-1.0),-1.0)</f>
        <v/>
      </c>
      <c r="G17" s="16">
        <f>IFERROR(IF(ISNUMBER(Regression!$H$36),Regression!$H$36,1.0),1.0)</f>
        <v/>
      </c>
      <c r="H17" s="16">
        <f>IFERROR(IF(ISNUMBER(Regression!$I$36),Regression!$I$36,-1.2),-1.2)</f>
        <v/>
      </c>
      <c r="I17" s="24" t="inlineStr">
        <is>
          <t>→ regression</t>
        </is>
      </c>
      <c r="J17" s="9" t="inlineStr">
        <is>
          <t>Ce</t>
        </is>
      </c>
      <c r="K17" s="10" t="n">
        <v>0.5</v>
      </c>
      <c r="L17" s="12" t="n">
        <v>140.12</v>
      </c>
      <c r="N17" s="23" t="inlineStr">
        <is>
          <t>Loaded Org Co</t>
        </is>
      </c>
      <c r="O17" s="16">
        <f>IFERROR(INDEX(AG91:AG115,$B$6),0)</f>
        <v/>
      </c>
    </row>
    <row r="18" ht="15" customHeight="1">
      <c r="D18" s="9" t="inlineStr">
        <is>
          <t>Pr</t>
        </is>
      </c>
      <c r="E18" s="16">
        <f>IFERROR(IF(ISNUMBER(Regression!$C$37),Regression!$C$37,1.0),1.0)</f>
        <v/>
      </c>
      <c r="F18" s="16">
        <f>IFERROR(IF(ISNUMBER(Regression!$D$37),Regression!$D$37,-1.0),-1.0)</f>
        <v/>
      </c>
      <c r="G18" s="16">
        <f>IFERROR(IF(ISNUMBER(Regression!$H$37),Regression!$H$37,1.0),1.0)</f>
        <v/>
      </c>
      <c r="H18" s="16">
        <f>IFERROR(IF(ISNUMBER(Regression!$I$37),Regression!$I$37,-1.2),-1.2)</f>
        <v/>
      </c>
      <c r="I18" s="24" t="inlineStr">
        <is>
          <t>→ regression</t>
        </is>
      </c>
      <c r="J18" s="9" t="inlineStr">
        <is>
          <t>Pr</t>
        </is>
      </c>
      <c r="K18" s="10" t="n">
        <v>0.1</v>
      </c>
      <c r="L18" s="12" t="n">
        <v>140.91</v>
      </c>
      <c r="N18" s="23" t="inlineStr">
        <is>
          <t>Pregnant Co</t>
        </is>
      </c>
      <c r="O18" s="16">
        <f>IFERROR(INDEX(HE91:HE115,$B$6+$B$7+$B$8),0)</f>
        <v/>
      </c>
    </row>
    <row r="19" ht="15" customHeight="1">
      <c r="D19" s="9" t="inlineStr">
        <is>
          <t>Nd</t>
        </is>
      </c>
      <c r="E19" s="16">
        <f>IFERROR(IF(ISNUMBER(Regression!$C$38),Regression!$C$38,1.0),1.0)</f>
        <v/>
      </c>
      <c r="F19" s="16">
        <f>IFERROR(IF(ISNUMBER(Regression!$D$38),Regression!$D$38,-1.0),-1.0)</f>
        <v/>
      </c>
      <c r="G19" s="16">
        <f>IFERROR(IF(ISNUMBER(Regression!$H$38),Regression!$H$38,1.0),1.0)</f>
        <v/>
      </c>
      <c r="H19" s="16">
        <f>IFERROR(IF(ISNUMBER(Regression!$I$38),Regression!$I$38,-1.2),-1.2)</f>
        <v/>
      </c>
      <c r="I19" s="24" t="inlineStr">
        <is>
          <t>→ regression</t>
        </is>
      </c>
      <c r="J19" s="9" t="inlineStr">
        <is>
          <t>Nd</t>
        </is>
      </c>
      <c r="K19" s="10" t="n">
        <v>0.3</v>
      </c>
      <c r="L19" s="12" t="n">
        <v>144.24</v>
      </c>
      <c r="N19" s="23" t="inlineStr">
        <is>
          <t>Raffinate Zn</t>
        </is>
      </c>
      <c r="O19" s="16">
        <f>HF91</f>
        <v/>
      </c>
    </row>
    <row r="20" ht="15" customHeight="1">
      <c r="D20" s="9" t="inlineStr">
        <is>
          <t>Sm</t>
        </is>
      </c>
      <c r="E20" s="16">
        <f>IFERROR(IF(ISNUMBER(Regression!$C$39),Regression!$C$39,1.0),1.0)</f>
        <v/>
      </c>
      <c r="F20" s="16">
        <f>IFERROR(IF(ISNUMBER(Regression!$D$39),Regression!$D$39,-1.0),-1.0)</f>
        <v/>
      </c>
      <c r="G20" s="16">
        <f>IFERROR(IF(ISNUMBER(Regression!$H$39),Regression!$H$39,1.0),1.0)</f>
        <v/>
      </c>
      <c r="H20" s="16">
        <f>IFERROR(IF(ISNUMBER(Regression!$I$39),Regression!$I$39,-1.2),-1.2)</f>
        <v/>
      </c>
      <c r="I20" s="24" t="inlineStr">
        <is>
          <t>→ regression</t>
        </is>
      </c>
      <c r="J20" s="9" t="inlineStr">
        <is>
          <t>Sm</t>
        </is>
      </c>
      <c r="K20" s="10" t="n">
        <v>0.1</v>
      </c>
      <c r="L20" s="12" t="n">
        <v>150.36</v>
      </c>
      <c r="N20" s="23" t="inlineStr">
        <is>
          <t>Loaded Org Zn</t>
        </is>
      </c>
      <c r="O20" s="16">
        <f>IFERROR(INDEX(AO91:AO115,$B$6),0)</f>
        <v/>
      </c>
    </row>
    <row r="21" ht="15" customHeight="1">
      <c r="D21" s="9" t="inlineStr">
        <is>
          <t>Eu</t>
        </is>
      </c>
      <c r="E21" s="16">
        <f>IFERROR(IF(ISNUMBER(Regression!$C$40),Regression!$C$40,1.0),1.0)</f>
        <v/>
      </c>
      <c r="F21" s="16">
        <f>IFERROR(IF(ISNUMBER(Regression!$D$40),Regression!$D$40,-1.0),-1.0)</f>
        <v/>
      </c>
      <c r="G21" s="16">
        <f>IFERROR(IF(ISNUMBER(Regression!$H$40),Regression!$H$40,1.0),1.0)</f>
        <v/>
      </c>
      <c r="H21" s="16">
        <f>IFERROR(IF(ISNUMBER(Regression!$I$40),Regression!$I$40,-1.2),-1.2)</f>
        <v/>
      </c>
      <c r="I21" s="24" t="inlineStr">
        <is>
          <t>→ regression</t>
        </is>
      </c>
      <c r="J21" s="9" t="inlineStr">
        <is>
          <t>Eu</t>
        </is>
      </c>
      <c r="K21" s="10" t="n">
        <v>0.1</v>
      </c>
      <c r="L21" s="12" t="n">
        <v>151.96</v>
      </c>
      <c r="N21" s="23" t="inlineStr">
        <is>
          <t>Pregnant Zn</t>
        </is>
      </c>
      <c r="O21" s="16">
        <f>IFERROR(INDEX(HF91:HF115,$B$6+$B$7+$B$8),0)</f>
        <v/>
      </c>
    </row>
    <row r="22" ht="15" customHeight="1">
      <c r="D22" s="9" t="inlineStr">
        <is>
          <t>Gd</t>
        </is>
      </c>
      <c r="E22" s="16">
        <f>IFERROR(IF(ISNUMBER(Regression!$C$41),Regression!$C$41,1.0),1.0)</f>
        <v/>
      </c>
      <c r="F22" s="16">
        <f>IFERROR(IF(ISNUMBER(Regression!$D$41),Regression!$D$41,-1.0),-1.0)</f>
        <v/>
      </c>
      <c r="G22" s="16">
        <f>IFERROR(IF(ISNUMBER(Regression!$H$41),Regression!$H$41,1.0),1.0)</f>
        <v/>
      </c>
      <c r="H22" s="16">
        <f>IFERROR(IF(ISNUMBER(Regression!$I$41),Regression!$I$41,-1.2),-1.2)</f>
        <v/>
      </c>
      <c r="I22" s="24" t="inlineStr">
        <is>
          <t>→ regression</t>
        </is>
      </c>
      <c r="J22" s="9" t="inlineStr">
        <is>
          <t>Gd</t>
        </is>
      </c>
      <c r="K22" s="10" t="n">
        <v>0.1</v>
      </c>
      <c r="L22" s="12" t="n">
        <v>157.25</v>
      </c>
      <c r="N22" s="23" t="inlineStr">
        <is>
          <t>Raffinate Ga</t>
        </is>
      </c>
      <c r="O22" s="16">
        <f>HG91</f>
        <v/>
      </c>
    </row>
    <row r="23" ht="15" customHeight="1">
      <c r="D23" s="9" t="inlineStr">
        <is>
          <t>Tb</t>
        </is>
      </c>
      <c r="E23" s="16">
        <f>IFERROR(IF(ISNUMBER(Regression!$C$42),Regression!$C$42,1.0),1.0)</f>
        <v/>
      </c>
      <c r="F23" s="16">
        <f>IFERROR(IF(ISNUMBER(Regression!$D$42),Regression!$D$42,-1.0),-1.0)</f>
        <v/>
      </c>
      <c r="G23" s="16">
        <f>IFERROR(IF(ISNUMBER(Regression!$H$42),Regression!$H$42,1.0),1.0)</f>
        <v/>
      </c>
      <c r="H23" s="16">
        <f>IFERROR(IF(ISNUMBER(Regression!$I$42),Regression!$I$42,-1.2),-1.2)</f>
        <v/>
      </c>
      <c r="I23" s="24" t="inlineStr">
        <is>
          <t>→ regression</t>
        </is>
      </c>
      <c r="J23" s="9" t="inlineStr">
        <is>
          <t>Tb</t>
        </is>
      </c>
      <c r="K23" s="10" t="n">
        <v>0.1</v>
      </c>
      <c r="L23" s="12" t="n">
        <v>158.93</v>
      </c>
      <c r="N23" s="23" t="inlineStr">
        <is>
          <t>Loaded Org Ga</t>
        </is>
      </c>
      <c r="O23" s="16">
        <f>IFERROR(INDEX(AW91:AW115,$B$6),0)</f>
        <v/>
      </c>
    </row>
    <row r="24" ht="15" customHeight="1">
      <c r="D24" s="9" t="inlineStr">
        <is>
          <t>Dy</t>
        </is>
      </c>
      <c r="E24" s="16">
        <f>IFERROR(IF(ISNUMBER(Regression!$C$43),Regression!$C$43,1.0),1.0)</f>
        <v/>
      </c>
      <c r="F24" s="16">
        <f>IFERROR(IF(ISNUMBER(Regression!$D$43),Regression!$D$43,-1.0),-1.0)</f>
        <v/>
      </c>
      <c r="G24" s="16">
        <f>IFERROR(IF(ISNUMBER(Regression!$H$43),Regression!$H$43,1.0),1.0)</f>
        <v/>
      </c>
      <c r="H24" s="16">
        <f>IFERROR(IF(ISNUMBER(Regression!$I$43),Regression!$I$43,-1.2),-1.2)</f>
        <v/>
      </c>
      <c r="I24" s="24" t="inlineStr">
        <is>
          <t>→ regression</t>
        </is>
      </c>
      <c r="J24" s="9" t="inlineStr">
        <is>
          <t>Dy</t>
        </is>
      </c>
      <c r="K24" s="10" t="n">
        <v>0.1</v>
      </c>
      <c r="L24" s="12" t="n">
        <v>162.5</v>
      </c>
      <c r="N24" s="23" t="inlineStr">
        <is>
          <t>Pregnant Ga</t>
        </is>
      </c>
      <c r="O24" s="16">
        <f>IFERROR(INDEX(HG91:HG115,$B$6+$B$7+$B$8),0)</f>
        <v/>
      </c>
    </row>
    <row r="25" ht="15" customHeight="1">
      <c r="D25" s="9" t="inlineStr">
        <is>
          <t>Ho</t>
        </is>
      </c>
      <c r="E25" s="16">
        <f>IFERROR(IF(ISNUMBER(Regression!$C$44),Regression!$C$44,1.0),1.0)</f>
        <v/>
      </c>
      <c r="F25" s="16">
        <f>IFERROR(IF(ISNUMBER(Regression!$D$44),Regression!$D$44,-1.0),-1.0)</f>
        <v/>
      </c>
      <c r="G25" s="16">
        <f>IFERROR(IF(ISNUMBER(Regression!$H$44),Regression!$H$44,1.0),1.0)</f>
        <v/>
      </c>
      <c r="H25" s="16">
        <f>IFERROR(IF(ISNUMBER(Regression!$I$44),Regression!$I$44,-1.2),-1.2)</f>
        <v/>
      </c>
      <c r="I25" s="24" t="inlineStr">
        <is>
          <t>→ regression</t>
        </is>
      </c>
      <c r="J25" s="9" t="inlineStr">
        <is>
          <t>Ho</t>
        </is>
      </c>
      <c r="K25" s="10" t="n">
        <v>0.1</v>
      </c>
      <c r="L25" s="12" t="n">
        <v>164.93</v>
      </c>
      <c r="N25" s="23" t="inlineStr">
        <is>
          <t>Raffinate Rb</t>
        </is>
      </c>
      <c r="O25" s="16">
        <f>HH91</f>
        <v/>
      </c>
    </row>
    <row r="26" ht="15" customHeight="1">
      <c r="D26" s="9" t="inlineStr">
        <is>
          <t>Er</t>
        </is>
      </c>
      <c r="E26" s="16">
        <f>IFERROR(IF(ISNUMBER(Regression!$C$45),Regression!$C$45,1.0),1.0)</f>
        <v/>
      </c>
      <c r="F26" s="16">
        <f>IFERROR(IF(ISNUMBER(Regression!$D$45),Regression!$D$45,-1.0),-1.0)</f>
        <v/>
      </c>
      <c r="G26" s="16">
        <f>IFERROR(IF(ISNUMBER(Regression!$H$45),Regression!$H$45,1.0),1.0)</f>
        <v/>
      </c>
      <c r="H26" s="16">
        <f>IFERROR(IF(ISNUMBER(Regression!$I$45),Regression!$I$45,-1.2),-1.2)</f>
        <v/>
      </c>
      <c r="I26" s="24" t="inlineStr">
        <is>
          <t>→ regression</t>
        </is>
      </c>
      <c r="J26" s="9" t="inlineStr">
        <is>
          <t>Er</t>
        </is>
      </c>
      <c r="K26" s="10" t="n">
        <v>0.1</v>
      </c>
      <c r="L26" s="12" t="n">
        <v>167.26</v>
      </c>
      <c r="N26" s="23" t="inlineStr">
        <is>
          <t>Loaded Org Rb</t>
        </is>
      </c>
      <c r="O26" s="16">
        <f>IFERROR(INDEX(BE91:BE115,$B$6),0)</f>
        <v/>
      </c>
    </row>
    <row r="27" ht="15" customHeight="1">
      <c r="D27" s="9" t="inlineStr">
        <is>
          <t>Tm</t>
        </is>
      </c>
      <c r="E27" s="16">
        <f>IFERROR(IF(ISNUMBER(Regression!$C$46),Regression!$C$46,1.0),1.0)</f>
        <v/>
      </c>
      <c r="F27" s="16">
        <f>IFERROR(IF(ISNUMBER(Regression!$D$46),Regression!$D$46,-1.0),-1.0)</f>
        <v/>
      </c>
      <c r="G27" s="16">
        <f>IFERROR(IF(ISNUMBER(Regression!$H$46),Regression!$H$46,1.0),1.0)</f>
        <v/>
      </c>
      <c r="H27" s="16">
        <f>IFERROR(IF(ISNUMBER(Regression!$I$46),Regression!$I$46,-1.2),-1.2)</f>
        <v/>
      </c>
      <c r="I27" s="24" t="inlineStr">
        <is>
          <t>→ regression</t>
        </is>
      </c>
      <c r="J27" s="9" t="inlineStr">
        <is>
          <t>Tm</t>
        </is>
      </c>
      <c r="K27" s="10" t="n">
        <v>0.1</v>
      </c>
      <c r="L27" s="12" t="n">
        <v>168.93</v>
      </c>
      <c r="N27" s="23" t="inlineStr">
        <is>
          <t>Pregnant Rb</t>
        </is>
      </c>
      <c r="O27" s="16">
        <f>IFERROR(INDEX(HH91:HH115,$B$6+$B$7+$B$8),0)</f>
        <v/>
      </c>
    </row>
    <row r="28" ht="15" customHeight="1">
      <c r="D28" s="9" t="inlineStr">
        <is>
          <t>Yb</t>
        </is>
      </c>
      <c r="E28" s="16">
        <f>IFERROR(IF(ISNUMBER(Regression!$C$47),Regression!$C$47,1.0),1.0)</f>
        <v/>
      </c>
      <c r="F28" s="16">
        <f>IFERROR(IF(ISNUMBER(Regression!$D$47),Regression!$D$47,-1.0),-1.0)</f>
        <v/>
      </c>
      <c r="G28" s="16">
        <f>IFERROR(IF(ISNUMBER(Regression!$H$47),Regression!$H$47,1.0),1.0)</f>
        <v/>
      </c>
      <c r="H28" s="16">
        <f>IFERROR(IF(ISNUMBER(Regression!$I$47),Regression!$I$47,-1.2),-1.2)</f>
        <v/>
      </c>
      <c r="I28" s="24" t="inlineStr">
        <is>
          <t>→ regression</t>
        </is>
      </c>
      <c r="J28" s="9" t="inlineStr">
        <is>
          <t>Yb</t>
        </is>
      </c>
      <c r="K28" s="10" t="n">
        <v>0.1</v>
      </c>
      <c r="L28" s="12" t="n">
        <v>173.04</v>
      </c>
      <c r="N28" s="23" t="inlineStr">
        <is>
          <t>Raffinate Y</t>
        </is>
      </c>
      <c r="O28" s="16">
        <f>HI91</f>
        <v/>
      </c>
    </row>
    <row r="29" ht="15" customHeight="1">
      <c r="D29" s="9" t="inlineStr">
        <is>
          <t>Lu</t>
        </is>
      </c>
      <c r="E29" s="16">
        <f>IFERROR(IF(ISNUMBER(Regression!$C$48),Regression!$C$48,1.0),1.0)</f>
        <v/>
      </c>
      <c r="F29" s="16">
        <f>IFERROR(IF(ISNUMBER(Regression!$D$48),Regression!$D$48,-1.0),-1.0)</f>
        <v/>
      </c>
      <c r="G29" s="16">
        <f>IFERROR(IF(ISNUMBER(Regression!$H$48),Regression!$H$48,1.0),1.0)</f>
        <v/>
      </c>
      <c r="H29" s="16">
        <f>IFERROR(IF(ISNUMBER(Regression!$I$48),Regression!$I$48,-1.2),-1.2)</f>
        <v/>
      </c>
      <c r="I29" s="24" t="inlineStr">
        <is>
          <t>→ regression</t>
        </is>
      </c>
      <c r="J29" s="9" t="inlineStr">
        <is>
          <t>Lu</t>
        </is>
      </c>
      <c r="K29" s="10" t="n">
        <v>0.1</v>
      </c>
      <c r="L29" s="12" t="n">
        <v>174.97</v>
      </c>
      <c r="N29" s="23" t="inlineStr">
        <is>
          <t>Loaded Org Y</t>
        </is>
      </c>
      <c r="O29" s="16">
        <f>IFERROR(INDEX(BM91:BM115,$B$6),0)</f>
        <v/>
      </c>
    </row>
    <row r="30" ht="15" customHeight="1">
      <c r="D30" s="9" t="inlineStr">
        <is>
          <t>Hf</t>
        </is>
      </c>
      <c r="E30" s="16">
        <f>IFERROR(IF(ISNUMBER(Regression!$C$49),Regression!$C$49,1.0),1.0)</f>
        <v/>
      </c>
      <c r="F30" s="16">
        <f>IFERROR(IF(ISNUMBER(Regression!$D$49),Regression!$D$49,-1.0),-1.0)</f>
        <v/>
      </c>
      <c r="G30" s="16">
        <f>IFERROR(IF(ISNUMBER(Regression!$H$49),Regression!$H$49,1.0),1.0)</f>
        <v/>
      </c>
      <c r="H30" s="16">
        <f>IFERROR(IF(ISNUMBER(Regression!$I$49),Regression!$I$49,-1.2),-1.2)</f>
        <v/>
      </c>
      <c r="I30" s="24" t="inlineStr">
        <is>
          <t>→ regression</t>
        </is>
      </c>
      <c r="J30" s="9" t="inlineStr">
        <is>
          <t>Hf</t>
        </is>
      </c>
      <c r="K30" s="10" t="n">
        <v>0.5</v>
      </c>
      <c r="L30" s="12" t="n">
        <v>178.49</v>
      </c>
      <c r="N30" s="23" t="inlineStr">
        <is>
          <t>Pregnant Y</t>
        </is>
      </c>
      <c r="O30" s="16">
        <f>IFERROR(INDEX(HI91:HI115,$B$6+$B$7+$B$8),0)</f>
        <v/>
      </c>
    </row>
    <row r="31" ht="15" customHeight="1">
      <c r="D31" s="9" t="inlineStr">
        <is>
          <t>Th</t>
        </is>
      </c>
      <c r="E31" s="16">
        <f>IFERROR(IF(ISNUMBER(Regression!$C$50),Regression!$C$50,1.0),1.0)</f>
        <v/>
      </c>
      <c r="F31" s="16">
        <f>IFERROR(IF(ISNUMBER(Regression!$D$50),Regression!$D$50,-1.0),-1.0)</f>
        <v/>
      </c>
      <c r="G31" s="16">
        <f>IFERROR(IF(ISNUMBER(Regression!$H$50),Regression!$H$50,1.0),1.0)</f>
        <v/>
      </c>
      <c r="H31" s="16">
        <f>IFERROR(IF(ISNUMBER(Regression!$I$50),Regression!$I$50,-1.2),-1.2)</f>
        <v/>
      </c>
      <c r="I31" s="24" t="inlineStr">
        <is>
          <t>→ regression</t>
        </is>
      </c>
      <c r="J31" s="9" t="inlineStr">
        <is>
          <t>Th</t>
        </is>
      </c>
      <c r="K31" s="10" t="n">
        <v>2</v>
      </c>
      <c r="L31" s="12" t="n">
        <v>232.04</v>
      </c>
      <c r="N31" s="23" t="inlineStr">
        <is>
          <t>Raffinate Zr</t>
        </is>
      </c>
      <c r="O31" s="16">
        <f>HJ91</f>
        <v/>
      </c>
    </row>
    <row r="32" ht="15" customHeight="1">
      <c r="D32" s="9" t="inlineStr">
        <is>
          <t>U</t>
        </is>
      </c>
      <c r="E32" s="16">
        <f>IFERROR(IF(ISNUMBER(Regression!$C$51),Regression!$C$51,1.0),1.0)</f>
        <v/>
      </c>
      <c r="F32" s="16">
        <f>IFERROR(IF(ISNUMBER(Regression!$D$51),Regression!$D$51,-1.0),-1.0)</f>
        <v/>
      </c>
      <c r="G32" s="16">
        <f>IFERROR(IF(ISNUMBER(Regression!$H$51),Regression!$H$51,1.0),1.0)</f>
        <v/>
      </c>
      <c r="H32" s="16">
        <f>IFERROR(IF(ISNUMBER(Regression!$I$51),Regression!$I$51,-1.2),-1.2)</f>
        <v/>
      </c>
      <c r="I32" s="24" t="inlineStr">
        <is>
          <t>→ regression</t>
        </is>
      </c>
      <c r="J32" s="9" t="inlineStr">
        <is>
          <t>U</t>
        </is>
      </c>
      <c r="K32" s="10" t="n">
        <v>5</v>
      </c>
      <c r="L32" s="12" t="n">
        <v>238.03</v>
      </c>
      <c r="N32" s="23" t="inlineStr">
        <is>
          <t>Loaded Org Zr</t>
        </is>
      </c>
      <c r="O32" s="16">
        <f>IFERROR(INDEX(BU91:BU115,$B$6),0)</f>
        <v/>
      </c>
    </row>
    <row r="33" ht="15" customHeight="1">
      <c r="N33" s="23" t="inlineStr">
        <is>
          <t>Pregnant Zr</t>
        </is>
      </c>
      <c r="O33" s="16">
        <f>IFERROR(INDEX(HJ91:HJ115,$B$6+$B$7+$B$8),0)</f>
        <v/>
      </c>
    </row>
    <row r="34" ht="15" customHeight="1">
      <c r="N34" s="23" t="inlineStr">
        <is>
          <t>Raffinate La</t>
        </is>
      </c>
      <c r="O34" s="16">
        <f>HK91</f>
        <v/>
      </c>
    </row>
    <row r="35" ht="15" customHeight="1">
      <c r="N35" s="23" t="inlineStr">
        <is>
          <t>Loaded Org La</t>
        </is>
      </c>
      <c r="O35" s="16">
        <f>IFERROR(INDEX(CC91:CC115,$B$6),0)</f>
        <v/>
      </c>
    </row>
    <row r="36" ht="15" customHeight="1">
      <c r="N36" s="23" t="inlineStr">
        <is>
          <t>Pregnant La</t>
        </is>
      </c>
      <c r="O36" s="16">
        <f>IFERROR(INDEX(HK91:HK115,$B$6+$B$7+$B$8),0)</f>
        <v/>
      </c>
    </row>
    <row r="37" ht="15" customHeight="1">
      <c r="N37" s="23" t="inlineStr">
        <is>
          <t>Raffinate Ce</t>
        </is>
      </c>
      <c r="O37" s="16">
        <f>HL91</f>
        <v/>
      </c>
    </row>
    <row r="38" ht="15" customHeight="1">
      <c r="N38" s="23" t="inlineStr">
        <is>
          <t>Loaded Org Ce</t>
        </is>
      </c>
      <c r="O38" s="16">
        <f>IFERROR(INDEX(CK91:CK115,$B$6),0)</f>
        <v/>
      </c>
    </row>
    <row r="39" ht="15" customHeight="1">
      <c r="N39" s="23" t="inlineStr">
        <is>
          <t>Pregnant Ce</t>
        </is>
      </c>
      <c r="O39" s="16">
        <f>IFERROR(INDEX(HL91:HL115,$B$6+$B$7+$B$8),0)</f>
        <v/>
      </c>
    </row>
    <row r="40" ht="15" customHeight="1">
      <c r="N40" s="23" t="inlineStr">
        <is>
          <t>Raffinate Pr</t>
        </is>
      </c>
      <c r="O40" s="16">
        <f>HM91</f>
        <v/>
      </c>
    </row>
    <row r="41" ht="15" customHeight="1">
      <c r="N41" s="23" t="inlineStr">
        <is>
          <t>Loaded Org Pr</t>
        </is>
      </c>
      <c r="O41" s="16">
        <f>IFERROR(INDEX(CS91:CS115,$B$6),0)</f>
        <v/>
      </c>
    </row>
    <row r="42" ht="15" customHeight="1">
      <c r="N42" s="23" t="inlineStr">
        <is>
          <t>Pregnant Pr</t>
        </is>
      </c>
      <c r="O42" s="16">
        <f>IFERROR(INDEX(HM91:HM115,$B$6+$B$7+$B$8),0)</f>
        <v/>
      </c>
    </row>
    <row r="43" ht="15" customHeight="1">
      <c r="N43" s="23" t="inlineStr">
        <is>
          <t>Raffinate Nd</t>
        </is>
      </c>
      <c r="O43" s="16">
        <f>HN91</f>
        <v/>
      </c>
    </row>
    <row r="44" ht="15" customHeight="1">
      <c r="N44" s="23" t="inlineStr">
        <is>
          <t>Loaded Org Nd</t>
        </is>
      </c>
      <c r="O44" s="16">
        <f>IFERROR(INDEX(DA91:DA115,$B$6),0)</f>
        <v/>
      </c>
    </row>
    <row r="45" ht="15" customHeight="1">
      <c r="N45" s="23" t="inlineStr">
        <is>
          <t>Pregnant Nd</t>
        </is>
      </c>
      <c r="O45" s="16">
        <f>IFERROR(INDEX(HN91:HN115,$B$6+$B$7+$B$8),0)</f>
        <v/>
      </c>
    </row>
    <row r="46" ht="15" customHeight="1">
      <c r="N46" s="23" t="inlineStr">
        <is>
          <t>Raffinate Sm</t>
        </is>
      </c>
      <c r="O46" s="16">
        <f>HO91</f>
        <v/>
      </c>
    </row>
    <row r="47" ht="15" customHeight="1">
      <c r="N47" s="23" t="inlineStr">
        <is>
          <t>Loaded Org Sm</t>
        </is>
      </c>
      <c r="O47" s="16">
        <f>IFERROR(INDEX(DI91:DI115,$B$6),0)</f>
        <v/>
      </c>
    </row>
    <row r="48" ht="15" customHeight="1">
      <c r="N48" s="23" t="inlineStr">
        <is>
          <t>Pregnant Sm</t>
        </is>
      </c>
      <c r="O48" s="16">
        <f>IFERROR(INDEX(HO91:HO115,$B$6+$B$7+$B$8),0)</f>
        <v/>
      </c>
    </row>
    <row r="49" ht="15" customHeight="1">
      <c r="N49" s="23" t="inlineStr">
        <is>
          <t>Raffinate Eu</t>
        </is>
      </c>
      <c r="O49" s="16">
        <f>HP91</f>
        <v/>
      </c>
    </row>
    <row r="50" ht="15" customHeight="1">
      <c r="N50" s="23" t="inlineStr">
        <is>
          <t>Loaded Org Eu</t>
        </is>
      </c>
      <c r="O50" s="16">
        <f>IFERROR(INDEX(DQ91:DQ115,$B$6),0)</f>
        <v/>
      </c>
    </row>
    <row r="51" ht="15" customHeight="1">
      <c r="N51" s="23" t="inlineStr">
        <is>
          <t>Pregnant Eu</t>
        </is>
      </c>
      <c r="O51" s="16">
        <f>IFERROR(INDEX(HP91:HP115,$B$6+$B$7+$B$8),0)</f>
        <v/>
      </c>
    </row>
    <row r="52" ht="15" customHeight="1">
      <c r="N52" s="23" t="inlineStr">
        <is>
          <t>Raffinate Gd</t>
        </is>
      </c>
      <c r="O52" s="16">
        <f>HQ91</f>
        <v/>
      </c>
    </row>
    <row r="53" ht="15" customHeight="1">
      <c r="N53" s="23" t="inlineStr">
        <is>
          <t>Loaded Org Gd</t>
        </is>
      </c>
      <c r="O53" s="16">
        <f>IFERROR(INDEX(DY91:DY115,$B$6),0)</f>
        <v/>
      </c>
    </row>
    <row r="54" ht="15" customHeight="1">
      <c r="N54" s="23" t="inlineStr">
        <is>
          <t>Pregnant Gd</t>
        </is>
      </c>
      <c r="O54" s="16">
        <f>IFERROR(INDEX(HQ91:HQ115,$B$6+$B$7+$B$8),0)</f>
        <v/>
      </c>
    </row>
    <row r="55" ht="15" customHeight="1">
      <c r="N55" s="23" t="inlineStr">
        <is>
          <t>Raffinate Tb</t>
        </is>
      </c>
      <c r="O55" s="16">
        <f>HR91</f>
        <v/>
      </c>
    </row>
    <row r="56" ht="15" customHeight="1">
      <c r="N56" s="23" t="inlineStr">
        <is>
          <t>Loaded Org Tb</t>
        </is>
      </c>
      <c r="O56" s="16">
        <f>IFERROR(INDEX(EG91:EG115,$B$6),0)</f>
        <v/>
      </c>
    </row>
    <row r="57" ht="15" customHeight="1">
      <c r="N57" s="23" t="inlineStr">
        <is>
          <t>Pregnant Tb</t>
        </is>
      </c>
      <c r="O57" s="16">
        <f>IFERROR(INDEX(HR91:HR115,$B$6+$B$7+$B$8),0)</f>
        <v/>
      </c>
    </row>
    <row r="58" ht="15" customHeight="1">
      <c r="N58" s="23" t="inlineStr">
        <is>
          <t>Raffinate Dy</t>
        </is>
      </c>
      <c r="O58" s="16">
        <f>HS91</f>
        <v/>
      </c>
    </row>
    <row r="59" ht="15" customHeight="1">
      <c r="N59" s="23" t="inlineStr">
        <is>
          <t>Loaded Org Dy</t>
        </is>
      </c>
      <c r="O59" s="16">
        <f>IFERROR(INDEX(EO91:EO115,$B$6),0)</f>
        <v/>
      </c>
    </row>
    <row r="60" ht="15" customHeight="1">
      <c r="N60" s="23" t="inlineStr">
        <is>
          <t>Pregnant Dy</t>
        </is>
      </c>
      <c r="O60" s="16">
        <f>IFERROR(INDEX(HS91:HS115,$B$6+$B$7+$B$8),0)</f>
        <v/>
      </c>
    </row>
    <row r="61" ht="15" customHeight="1">
      <c r="N61" s="23" t="inlineStr">
        <is>
          <t>Raffinate Ho</t>
        </is>
      </c>
      <c r="O61" s="16">
        <f>HT91</f>
        <v/>
      </c>
    </row>
    <row r="62" ht="15" customHeight="1">
      <c r="N62" s="23" t="inlineStr">
        <is>
          <t>Loaded Org Ho</t>
        </is>
      </c>
      <c r="O62" s="16">
        <f>IFERROR(INDEX(EW91:EW115,$B$6),0)</f>
        <v/>
      </c>
    </row>
    <row r="63" ht="15" customHeight="1">
      <c r="N63" s="23" t="inlineStr">
        <is>
          <t>Pregnant Ho</t>
        </is>
      </c>
      <c r="O63" s="16">
        <f>IFERROR(INDEX(HT91:HT115,$B$6+$B$7+$B$8),0)</f>
        <v/>
      </c>
    </row>
    <row r="64" ht="15" customHeight="1">
      <c r="N64" s="23" t="inlineStr">
        <is>
          <t>Raffinate Er</t>
        </is>
      </c>
      <c r="O64" s="16">
        <f>HU91</f>
        <v/>
      </c>
    </row>
    <row r="65" ht="15" customHeight="1">
      <c r="N65" s="23" t="inlineStr">
        <is>
          <t>Loaded Org Er</t>
        </is>
      </c>
      <c r="O65" s="16">
        <f>IFERROR(INDEX(FE91:FE115,$B$6),0)</f>
        <v/>
      </c>
    </row>
    <row r="66" ht="15" customHeight="1">
      <c r="N66" s="23" t="inlineStr">
        <is>
          <t>Pregnant Er</t>
        </is>
      </c>
      <c r="O66" s="16">
        <f>IFERROR(INDEX(HU91:HU115,$B$6+$B$7+$B$8),0)</f>
        <v/>
      </c>
    </row>
    <row r="67" ht="15" customHeight="1">
      <c r="N67" s="23" t="inlineStr">
        <is>
          <t>Raffinate Tm</t>
        </is>
      </c>
      <c r="O67" s="16">
        <f>HV91</f>
        <v/>
      </c>
    </row>
    <row r="68" ht="15" customHeight="1">
      <c r="N68" s="23" t="inlineStr">
        <is>
          <t>Loaded Org Tm</t>
        </is>
      </c>
      <c r="O68" s="16">
        <f>IFERROR(INDEX(FM91:FM115,$B$6),0)</f>
        <v/>
      </c>
    </row>
    <row r="69" ht="15" customHeight="1">
      <c r="N69" s="23" t="inlineStr">
        <is>
          <t>Pregnant Tm</t>
        </is>
      </c>
      <c r="O69" s="16">
        <f>IFERROR(INDEX(HV91:HV115,$B$6+$B$7+$B$8),0)</f>
        <v/>
      </c>
    </row>
    <row r="70" ht="15" customHeight="1">
      <c r="N70" s="23" t="inlineStr">
        <is>
          <t>Raffinate Yb</t>
        </is>
      </c>
      <c r="O70" s="16">
        <f>HW91</f>
        <v/>
      </c>
    </row>
    <row r="71" ht="15" customHeight="1">
      <c r="N71" s="23" t="inlineStr">
        <is>
          <t>Loaded Org Yb</t>
        </is>
      </c>
      <c r="O71" s="16">
        <f>IFERROR(INDEX(FU91:FU115,$B$6),0)</f>
        <v/>
      </c>
    </row>
    <row r="72" ht="15" customHeight="1">
      <c r="N72" s="23" t="inlineStr">
        <is>
          <t>Pregnant Yb</t>
        </is>
      </c>
      <c r="O72" s="16">
        <f>IFERROR(INDEX(HW91:HW115,$B$6+$B$7+$B$8),0)</f>
        <v/>
      </c>
    </row>
    <row r="73" ht="15" customHeight="1">
      <c r="N73" s="23" t="inlineStr">
        <is>
          <t>Raffinate Lu</t>
        </is>
      </c>
      <c r="O73" s="16">
        <f>HX91</f>
        <v/>
      </c>
    </row>
    <row r="74" ht="15" customHeight="1">
      <c r="N74" s="23" t="inlineStr">
        <is>
          <t>Loaded Org Lu</t>
        </is>
      </c>
      <c r="O74" s="16">
        <f>IFERROR(INDEX(GC91:GC115,$B$6),0)</f>
        <v/>
      </c>
    </row>
    <row r="75" ht="15" customHeight="1">
      <c r="N75" s="23" t="inlineStr">
        <is>
          <t>Pregnant Lu</t>
        </is>
      </c>
      <c r="O75" s="16">
        <f>IFERROR(INDEX(HX91:HX115,$B$6+$B$7+$B$8),0)</f>
        <v/>
      </c>
    </row>
    <row r="76" ht="15" customHeight="1">
      <c r="N76" s="23" t="inlineStr">
        <is>
          <t>Raffinate Hf</t>
        </is>
      </c>
      <c r="O76" s="16">
        <f>HY91</f>
        <v/>
      </c>
    </row>
    <row r="77" ht="15" customHeight="1">
      <c r="N77" s="23" t="inlineStr">
        <is>
          <t>Loaded Org Hf</t>
        </is>
      </c>
      <c r="O77" s="16">
        <f>IFERROR(INDEX(GK91:GK115,$B$6),0)</f>
        <v/>
      </c>
    </row>
    <row r="78" ht="15" customHeight="1">
      <c r="N78" s="23" t="inlineStr">
        <is>
          <t>Pregnant Hf</t>
        </is>
      </c>
      <c r="O78" s="16">
        <f>IFERROR(INDEX(HY91:HY115,$B$6+$B$7+$B$8),0)</f>
        <v/>
      </c>
    </row>
    <row r="79" ht="15" customHeight="1">
      <c r="N79" s="23" t="inlineStr">
        <is>
          <t>Raffinate Th</t>
        </is>
      </c>
      <c r="O79" s="16">
        <f>HZ91</f>
        <v/>
      </c>
    </row>
    <row r="80" ht="15" customHeight="1">
      <c r="N80" s="23" t="inlineStr">
        <is>
          <t>Loaded Org Th</t>
        </is>
      </c>
      <c r="O80" s="16">
        <f>IFERROR(INDEX(GS91:GS115,$B$6),0)</f>
        <v/>
      </c>
    </row>
    <row r="81" ht="15" customHeight="1">
      <c r="N81" s="23" t="inlineStr">
        <is>
          <t>Pregnant Th</t>
        </is>
      </c>
      <c r="O81" s="16">
        <f>IFERROR(INDEX(HZ91:HZ115,$B$6+$B$7+$B$8),0)</f>
        <v/>
      </c>
    </row>
    <row r="82" ht="15" customHeight="1">
      <c r="N82" s="23" t="inlineStr">
        <is>
          <t>Raffinate U</t>
        </is>
      </c>
      <c r="O82" s="16">
        <f>IA91</f>
        <v/>
      </c>
    </row>
    <row r="83" ht="15" customHeight="1">
      <c r="N83" s="23" t="inlineStr">
        <is>
          <t>Loaded Org U</t>
        </is>
      </c>
      <c r="O83" s="16">
        <f>IFERROR(INDEX(HA91:HA115,$B$6),0)</f>
        <v/>
      </c>
    </row>
    <row r="84" ht="15" customHeight="1">
      <c r="N84" s="23" t="inlineStr">
        <is>
          <t>Pregnant U</t>
        </is>
      </c>
      <c r="O84" s="16">
        <f>IFERROR(INDEX(IA91:IA115,$B$6+$B$7+$B$8),0)</f>
        <v/>
      </c>
    </row>
    <row r="88" ht="20" customHeight="1">
      <c r="A88" s="21" t="inlineStr">
        <is>
          <t>TDMA SOLVER — 25 STAGES × 26 ELEMENTS</t>
        </is>
      </c>
    </row>
    <row r="89" ht="16" customHeight="1">
      <c r="A89" s="22" t="inlineStr">
        <is>
          <t>Stage</t>
        </is>
      </c>
      <c r="B89" s="7" t="inlineStr">
        <is>
          <t>Al</t>
        </is>
      </c>
      <c r="J89" s="7" t="inlineStr">
        <is>
          <t>Sc</t>
        </is>
      </c>
      <c r="R89" s="7" t="inlineStr">
        <is>
          <t>Fe</t>
        </is>
      </c>
      <c r="Z89" s="7" t="inlineStr">
        <is>
          <t>Co</t>
        </is>
      </c>
      <c r="AH89" s="7" t="inlineStr">
        <is>
          <t>Zn</t>
        </is>
      </c>
      <c r="AP89" s="7" t="inlineStr">
        <is>
          <t>Ga</t>
        </is>
      </c>
      <c r="AX89" s="7" t="inlineStr">
        <is>
          <t>Rb</t>
        </is>
      </c>
      <c r="BF89" s="7" t="inlineStr">
        <is>
          <t>Y</t>
        </is>
      </c>
      <c r="BN89" s="7" t="inlineStr">
        <is>
          <t>Zr</t>
        </is>
      </c>
      <c r="BV89" s="7" t="inlineStr">
        <is>
          <t>La</t>
        </is>
      </c>
      <c r="CD89" s="7" t="inlineStr">
        <is>
          <t>Ce</t>
        </is>
      </c>
      <c r="CL89" s="7" t="inlineStr">
        <is>
          <t>Pr</t>
        </is>
      </c>
      <c r="CT89" s="7" t="inlineStr">
        <is>
          <t>Nd</t>
        </is>
      </c>
      <c r="DB89" s="7" t="inlineStr">
        <is>
          <t>Sm</t>
        </is>
      </c>
      <c r="DJ89" s="7" t="inlineStr">
        <is>
          <t>Eu</t>
        </is>
      </c>
      <c r="DR89" s="7" t="inlineStr">
        <is>
          <t>Gd</t>
        </is>
      </c>
      <c r="DZ89" s="7" t="inlineStr">
        <is>
          <t>Tb</t>
        </is>
      </c>
      <c r="EH89" s="7" t="inlineStr">
        <is>
          <t>Dy</t>
        </is>
      </c>
      <c r="EP89" s="7" t="inlineStr">
        <is>
          <t>Ho</t>
        </is>
      </c>
      <c r="EX89" s="7" t="inlineStr">
        <is>
          <t>Er</t>
        </is>
      </c>
      <c r="FF89" s="7" t="inlineStr">
        <is>
          <t>Tm</t>
        </is>
      </c>
      <c r="FN89" s="7" t="inlineStr">
        <is>
          <t>Yb</t>
        </is>
      </c>
      <c r="FV89" s="7" t="inlineStr">
        <is>
          <t>Lu</t>
        </is>
      </c>
      <c r="GD89" s="7" t="inlineStr">
        <is>
          <t>Hf</t>
        </is>
      </c>
      <c r="GL89" s="7" t="inlineStr">
        <is>
          <t>Th</t>
        </is>
      </c>
      <c r="GT89" s="7" t="inlineStr">
        <is>
          <t>U</t>
        </is>
      </c>
      <c r="HB89" s="25" t="inlineStr">
        <is>
          <t>x_aq
Al</t>
        </is>
      </c>
      <c r="HC89" s="25" t="inlineStr">
        <is>
          <t>x_aq
Sc</t>
        </is>
      </c>
      <c r="HD89" s="25" t="inlineStr">
        <is>
          <t>x_aq
Fe</t>
        </is>
      </c>
      <c r="HE89" s="25" t="inlineStr">
        <is>
          <t>x_aq
Co</t>
        </is>
      </c>
      <c r="HF89" s="25" t="inlineStr">
        <is>
          <t>x_aq
Zn</t>
        </is>
      </c>
      <c r="HG89" s="25" t="inlineStr">
        <is>
          <t>x_aq
Ga</t>
        </is>
      </c>
      <c r="HH89" s="25" t="inlineStr">
        <is>
          <t>x_aq
Rb</t>
        </is>
      </c>
      <c r="HI89" s="25" t="inlineStr">
        <is>
          <t>x_aq
Y</t>
        </is>
      </c>
      <c r="HJ89" s="25" t="inlineStr">
        <is>
          <t>x_aq
Zr</t>
        </is>
      </c>
      <c r="HK89" s="25" t="inlineStr">
        <is>
          <t>x_aq
La</t>
        </is>
      </c>
      <c r="HL89" s="25" t="inlineStr">
        <is>
          <t>x_aq
Ce</t>
        </is>
      </c>
      <c r="HM89" s="25" t="inlineStr">
        <is>
          <t>x_aq
Pr</t>
        </is>
      </c>
      <c r="HN89" s="25" t="inlineStr">
        <is>
          <t>x_aq
Nd</t>
        </is>
      </c>
      <c r="HO89" s="25" t="inlineStr">
        <is>
          <t>x_aq
Sm</t>
        </is>
      </c>
      <c r="HP89" s="25" t="inlineStr">
        <is>
          <t>x_aq
Eu</t>
        </is>
      </c>
      <c r="HQ89" s="25" t="inlineStr">
        <is>
          <t>x_aq
Gd</t>
        </is>
      </c>
      <c r="HR89" s="25" t="inlineStr">
        <is>
          <t>x_aq
Tb</t>
        </is>
      </c>
      <c r="HS89" s="25" t="inlineStr">
        <is>
          <t>x_aq
Dy</t>
        </is>
      </c>
      <c r="HT89" s="25" t="inlineStr">
        <is>
          <t>x_aq
Ho</t>
        </is>
      </c>
      <c r="HU89" s="25" t="inlineStr">
        <is>
          <t>x_aq
Er</t>
        </is>
      </c>
      <c r="HV89" s="25" t="inlineStr">
        <is>
          <t>x_aq
Tm</t>
        </is>
      </c>
      <c r="HW89" s="25" t="inlineStr">
        <is>
          <t>x_aq
Yb</t>
        </is>
      </c>
      <c r="HX89" s="25" t="inlineStr">
        <is>
          <t>x_aq
Lu</t>
        </is>
      </c>
      <c r="HY89" s="25" t="inlineStr">
        <is>
          <t>x_aq
Hf</t>
        </is>
      </c>
      <c r="HZ89" s="25" t="inlineStr">
        <is>
          <t>x_aq
Th</t>
        </is>
      </c>
      <c r="IA89" s="25" t="inlineStr">
        <is>
          <t>x_aq
U</t>
        </is>
      </c>
      <c r="IB89" s="8" t="inlineStr">
        <is>
          <t>ΣOrg</t>
        </is>
      </c>
      <c r="IC89" s="8" t="inlineStr">
        <is>
          <t>ΣAq</t>
        </is>
      </c>
    </row>
    <row r="90" ht="28" customHeight="1">
      <c r="A90" s="26" t="n"/>
      <c r="B90" s="8" t="inlineStr">
        <is>
          <t>D_n</t>
        </is>
      </c>
      <c r="C90" s="8" t="inlineStr">
        <is>
          <t>a_n</t>
        </is>
      </c>
      <c r="D90" s="8" t="inlineStr">
        <is>
          <t>b_n</t>
        </is>
      </c>
      <c r="E90" s="8" t="inlineStr">
        <is>
          <t>c_n</t>
        </is>
      </c>
      <c r="F90" s="8" t="inlineStr">
        <is>
          <t>d_n</t>
        </is>
      </c>
      <c r="G90" s="8" t="inlineStr">
        <is>
          <t>c'_n</t>
        </is>
      </c>
      <c r="H90" s="8" t="inlineStr">
        <is>
          <t>d'_n</t>
        </is>
      </c>
      <c r="I90" s="8" t="inlineStr">
        <is>
          <t>y_org</t>
        </is>
      </c>
      <c r="J90" s="8" t="inlineStr">
        <is>
          <t>D_n</t>
        </is>
      </c>
      <c r="K90" s="8" t="inlineStr">
        <is>
          <t>a_n</t>
        </is>
      </c>
      <c r="L90" s="8" t="inlineStr">
        <is>
          <t>b_n</t>
        </is>
      </c>
      <c r="M90" s="8" t="inlineStr">
        <is>
          <t>c_n</t>
        </is>
      </c>
      <c r="N90" s="8" t="inlineStr">
        <is>
          <t>d_n</t>
        </is>
      </c>
      <c r="O90" s="8" t="inlineStr">
        <is>
          <t>c'_n</t>
        </is>
      </c>
      <c r="P90" s="8" t="inlineStr">
        <is>
          <t>d'_n</t>
        </is>
      </c>
      <c r="Q90" s="8" t="inlineStr">
        <is>
          <t>y_org</t>
        </is>
      </c>
      <c r="R90" s="8" t="inlineStr">
        <is>
          <t>D_n</t>
        </is>
      </c>
      <c r="S90" s="8" t="inlineStr">
        <is>
          <t>a_n</t>
        </is>
      </c>
      <c r="T90" s="8" t="inlineStr">
        <is>
          <t>b_n</t>
        </is>
      </c>
      <c r="U90" s="8" t="inlineStr">
        <is>
          <t>c_n</t>
        </is>
      </c>
      <c r="V90" s="8" t="inlineStr">
        <is>
          <t>d_n</t>
        </is>
      </c>
      <c r="W90" s="8" t="inlineStr">
        <is>
          <t>c'_n</t>
        </is>
      </c>
      <c r="X90" s="8" t="inlineStr">
        <is>
          <t>d'_n</t>
        </is>
      </c>
      <c r="Y90" s="8" t="inlineStr">
        <is>
          <t>y_org</t>
        </is>
      </c>
      <c r="Z90" s="8" t="inlineStr">
        <is>
          <t>D_n</t>
        </is>
      </c>
      <c r="AA90" s="8" t="inlineStr">
        <is>
          <t>a_n</t>
        </is>
      </c>
      <c r="AB90" s="8" t="inlineStr">
        <is>
          <t>b_n</t>
        </is>
      </c>
      <c r="AC90" s="8" t="inlineStr">
        <is>
          <t>c_n</t>
        </is>
      </c>
      <c r="AD90" s="8" t="inlineStr">
        <is>
          <t>d_n</t>
        </is>
      </c>
      <c r="AE90" s="8" t="inlineStr">
        <is>
          <t>c'_n</t>
        </is>
      </c>
      <c r="AF90" s="8" t="inlineStr">
        <is>
          <t>d'_n</t>
        </is>
      </c>
      <c r="AG90" s="8" t="inlineStr">
        <is>
          <t>y_org</t>
        </is>
      </c>
      <c r="AH90" s="8" t="inlineStr">
        <is>
          <t>D_n</t>
        </is>
      </c>
      <c r="AI90" s="8" t="inlineStr">
        <is>
          <t>a_n</t>
        </is>
      </c>
      <c r="AJ90" s="8" t="inlineStr">
        <is>
          <t>b_n</t>
        </is>
      </c>
      <c r="AK90" s="8" t="inlineStr">
        <is>
          <t>c_n</t>
        </is>
      </c>
      <c r="AL90" s="8" t="inlineStr">
        <is>
          <t>d_n</t>
        </is>
      </c>
      <c r="AM90" s="8" t="inlineStr">
        <is>
          <t>c'_n</t>
        </is>
      </c>
      <c r="AN90" s="8" t="inlineStr">
        <is>
          <t>d'_n</t>
        </is>
      </c>
      <c r="AO90" s="8" t="inlineStr">
        <is>
          <t>y_org</t>
        </is>
      </c>
      <c r="AP90" s="8" t="inlineStr">
        <is>
          <t>D_n</t>
        </is>
      </c>
      <c r="AQ90" s="8" t="inlineStr">
        <is>
          <t>a_n</t>
        </is>
      </c>
      <c r="AR90" s="8" t="inlineStr">
        <is>
          <t>b_n</t>
        </is>
      </c>
      <c r="AS90" s="8" t="inlineStr">
        <is>
          <t>c_n</t>
        </is>
      </c>
      <c r="AT90" s="8" t="inlineStr">
        <is>
          <t>d_n</t>
        </is>
      </c>
      <c r="AU90" s="8" t="inlineStr">
        <is>
          <t>c'_n</t>
        </is>
      </c>
      <c r="AV90" s="8" t="inlineStr">
        <is>
          <t>d'_n</t>
        </is>
      </c>
      <c r="AW90" s="8" t="inlineStr">
        <is>
          <t>y_org</t>
        </is>
      </c>
      <c r="AX90" s="8" t="inlineStr">
        <is>
          <t>D_n</t>
        </is>
      </c>
      <c r="AY90" s="8" t="inlineStr">
        <is>
          <t>a_n</t>
        </is>
      </c>
      <c r="AZ90" s="8" t="inlineStr">
        <is>
          <t>b_n</t>
        </is>
      </c>
      <c r="BA90" s="8" t="inlineStr">
        <is>
          <t>c_n</t>
        </is>
      </c>
      <c r="BB90" s="8" t="inlineStr">
        <is>
          <t>d_n</t>
        </is>
      </c>
      <c r="BC90" s="8" t="inlineStr">
        <is>
          <t>c'_n</t>
        </is>
      </c>
      <c r="BD90" s="8" t="inlineStr">
        <is>
          <t>d'_n</t>
        </is>
      </c>
      <c r="BE90" s="8" t="inlineStr">
        <is>
          <t>y_org</t>
        </is>
      </c>
      <c r="BF90" s="8" t="inlineStr">
        <is>
          <t>D_n</t>
        </is>
      </c>
      <c r="BG90" s="8" t="inlineStr">
        <is>
          <t>a_n</t>
        </is>
      </c>
      <c r="BH90" s="8" t="inlineStr">
        <is>
          <t>b_n</t>
        </is>
      </c>
      <c r="BI90" s="8" t="inlineStr">
        <is>
          <t>c_n</t>
        </is>
      </c>
      <c r="BJ90" s="8" t="inlineStr">
        <is>
          <t>d_n</t>
        </is>
      </c>
      <c r="BK90" s="8" t="inlineStr">
        <is>
          <t>c'_n</t>
        </is>
      </c>
      <c r="BL90" s="8" t="inlineStr">
        <is>
          <t>d'_n</t>
        </is>
      </c>
      <c r="BM90" s="8" t="inlineStr">
        <is>
          <t>y_org</t>
        </is>
      </c>
      <c r="BN90" s="8" t="inlineStr">
        <is>
          <t>D_n</t>
        </is>
      </c>
      <c r="BO90" s="8" t="inlineStr">
        <is>
          <t>a_n</t>
        </is>
      </c>
      <c r="BP90" s="8" t="inlineStr">
        <is>
          <t>b_n</t>
        </is>
      </c>
      <c r="BQ90" s="8" t="inlineStr">
        <is>
          <t>c_n</t>
        </is>
      </c>
      <c r="BR90" s="8" t="inlineStr">
        <is>
          <t>d_n</t>
        </is>
      </c>
      <c r="BS90" s="8" t="inlineStr">
        <is>
          <t>c'_n</t>
        </is>
      </c>
      <c r="BT90" s="8" t="inlineStr">
        <is>
          <t>d'_n</t>
        </is>
      </c>
      <c r="BU90" s="8" t="inlineStr">
        <is>
          <t>y_org</t>
        </is>
      </c>
      <c r="BV90" s="8" t="inlineStr">
        <is>
          <t>D_n</t>
        </is>
      </c>
      <c r="BW90" s="8" t="inlineStr">
        <is>
          <t>a_n</t>
        </is>
      </c>
      <c r="BX90" s="8" t="inlineStr">
        <is>
          <t>b_n</t>
        </is>
      </c>
      <c r="BY90" s="8" t="inlineStr">
        <is>
          <t>c_n</t>
        </is>
      </c>
      <c r="BZ90" s="8" t="inlineStr">
        <is>
          <t>d_n</t>
        </is>
      </c>
      <c r="CA90" s="8" t="inlineStr">
        <is>
          <t>c'_n</t>
        </is>
      </c>
      <c r="CB90" s="8" t="inlineStr">
        <is>
          <t>d'_n</t>
        </is>
      </c>
      <c r="CC90" s="8" t="inlineStr">
        <is>
          <t>y_org</t>
        </is>
      </c>
      <c r="CD90" s="8" t="inlineStr">
        <is>
          <t>D_n</t>
        </is>
      </c>
      <c r="CE90" s="8" t="inlineStr">
        <is>
          <t>a_n</t>
        </is>
      </c>
      <c r="CF90" s="8" t="inlineStr">
        <is>
          <t>b_n</t>
        </is>
      </c>
      <c r="CG90" s="8" t="inlineStr">
        <is>
          <t>c_n</t>
        </is>
      </c>
      <c r="CH90" s="8" t="inlineStr">
        <is>
          <t>d_n</t>
        </is>
      </c>
      <c r="CI90" s="8" t="inlineStr">
        <is>
          <t>c'_n</t>
        </is>
      </c>
      <c r="CJ90" s="8" t="inlineStr">
        <is>
          <t>d'_n</t>
        </is>
      </c>
      <c r="CK90" s="8" t="inlineStr">
        <is>
          <t>y_org</t>
        </is>
      </c>
      <c r="CL90" s="8" t="inlineStr">
        <is>
          <t>D_n</t>
        </is>
      </c>
      <c r="CM90" s="8" t="inlineStr">
        <is>
          <t>a_n</t>
        </is>
      </c>
      <c r="CN90" s="8" t="inlineStr">
        <is>
          <t>b_n</t>
        </is>
      </c>
      <c r="CO90" s="8" t="inlineStr">
        <is>
          <t>c_n</t>
        </is>
      </c>
      <c r="CP90" s="8" t="inlineStr">
        <is>
          <t>d_n</t>
        </is>
      </c>
      <c r="CQ90" s="8" t="inlineStr">
        <is>
          <t>c'_n</t>
        </is>
      </c>
      <c r="CR90" s="8" t="inlineStr">
        <is>
          <t>d'_n</t>
        </is>
      </c>
      <c r="CS90" s="8" t="inlineStr">
        <is>
          <t>y_org</t>
        </is>
      </c>
      <c r="CT90" s="8" t="inlineStr">
        <is>
          <t>D_n</t>
        </is>
      </c>
      <c r="CU90" s="8" t="inlineStr">
        <is>
          <t>a_n</t>
        </is>
      </c>
      <c r="CV90" s="8" t="inlineStr">
        <is>
          <t>b_n</t>
        </is>
      </c>
      <c r="CW90" s="8" t="inlineStr">
        <is>
          <t>c_n</t>
        </is>
      </c>
      <c r="CX90" s="8" t="inlineStr">
        <is>
          <t>d_n</t>
        </is>
      </c>
      <c r="CY90" s="8" t="inlineStr">
        <is>
          <t>c'_n</t>
        </is>
      </c>
      <c r="CZ90" s="8" t="inlineStr">
        <is>
          <t>d'_n</t>
        </is>
      </c>
      <c r="DA90" s="8" t="inlineStr">
        <is>
          <t>y_org</t>
        </is>
      </c>
      <c r="DB90" s="8" t="inlineStr">
        <is>
          <t>D_n</t>
        </is>
      </c>
      <c r="DC90" s="8" t="inlineStr">
        <is>
          <t>a_n</t>
        </is>
      </c>
      <c r="DD90" s="8" t="inlineStr">
        <is>
          <t>b_n</t>
        </is>
      </c>
      <c r="DE90" s="8" t="inlineStr">
        <is>
          <t>c_n</t>
        </is>
      </c>
      <c r="DF90" s="8" t="inlineStr">
        <is>
          <t>d_n</t>
        </is>
      </c>
      <c r="DG90" s="8" t="inlineStr">
        <is>
          <t>c'_n</t>
        </is>
      </c>
      <c r="DH90" s="8" t="inlineStr">
        <is>
          <t>d'_n</t>
        </is>
      </c>
      <c r="DI90" s="8" t="inlineStr">
        <is>
          <t>y_org</t>
        </is>
      </c>
      <c r="DJ90" s="8" t="inlineStr">
        <is>
          <t>D_n</t>
        </is>
      </c>
      <c r="DK90" s="8" t="inlineStr">
        <is>
          <t>a_n</t>
        </is>
      </c>
      <c r="DL90" s="8" t="inlineStr">
        <is>
          <t>b_n</t>
        </is>
      </c>
      <c r="DM90" s="8" t="inlineStr">
        <is>
          <t>c_n</t>
        </is>
      </c>
      <c r="DN90" s="8" t="inlineStr">
        <is>
          <t>d_n</t>
        </is>
      </c>
      <c r="DO90" s="8" t="inlineStr">
        <is>
          <t>c'_n</t>
        </is>
      </c>
      <c r="DP90" s="8" t="inlineStr">
        <is>
          <t>d'_n</t>
        </is>
      </c>
      <c r="DQ90" s="8" t="inlineStr">
        <is>
          <t>y_org</t>
        </is>
      </c>
      <c r="DR90" s="8" t="inlineStr">
        <is>
          <t>D_n</t>
        </is>
      </c>
      <c r="DS90" s="8" t="inlineStr">
        <is>
          <t>a_n</t>
        </is>
      </c>
      <c r="DT90" s="8" t="inlineStr">
        <is>
          <t>b_n</t>
        </is>
      </c>
      <c r="DU90" s="8" t="inlineStr">
        <is>
          <t>c_n</t>
        </is>
      </c>
      <c r="DV90" s="8" t="inlineStr">
        <is>
          <t>d_n</t>
        </is>
      </c>
      <c r="DW90" s="8" t="inlineStr">
        <is>
          <t>c'_n</t>
        </is>
      </c>
      <c r="DX90" s="8" t="inlineStr">
        <is>
          <t>d'_n</t>
        </is>
      </c>
      <c r="DY90" s="8" t="inlineStr">
        <is>
          <t>y_org</t>
        </is>
      </c>
      <c r="DZ90" s="8" t="inlineStr">
        <is>
          <t>D_n</t>
        </is>
      </c>
      <c r="EA90" s="8" t="inlineStr">
        <is>
          <t>a_n</t>
        </is>
      </c>
      <c r="EB90" s="8" t="inlineStr">
        <is>
          <t>b_n</t>
        </is>
      </c>
      <c r="EC90" s="8" t="inlineStr">
        <is>
          <t>c_n</t>
        </is>
      </c>
      <c r="ED90" s="8" t="inlineStr">
        <is>
          <t>d_n</t>
        </is>
      </c>
      <c r="EE90" s="8" t="inlineStr">
        <is>
          <t>c'_n</t>
        </is>
      </c>
      <c r="EF90" s="8" t="inlineStr">
        <is>
          <t>d'_n</t>
        </is>
      </c>
      <c r="EG90" s="8" t="inlineStr">
        <is>
          <t>y_org</t>
        </is>
      </c>
      <c r="EH90" s="8" t="inlineStr">
        <is>
          <t>D_n</t>
        </is>
      </c>
      <c r="EI90" s="8" t="inlineStr">
        <is>
          <t>a_n</t>
        </is>
      </c>
      <c r="EJ90" s="8" t="inlineStr">
        <is>
          <t>b_n</t>
        </is>
      </c>
      <c r="EK90" s="8" t="inlineStr">
        <is>
          <t>c_n</t>
        </is>
      </c>
      <c r="EL90" s="8" t="inlineStr">
        <is>
          <t>d_n</t>
        </is>
      </c>
      <c r="EM90" s="8" t="inlineStr">
        <is>
          <t>c'_n</t>
        </is>
      </c>
      <c r="EN90" s="8" t="inlineStr">
        <is>
          <t>d'_n</t>
        </is>
      </c>
      <c r="EO90" s="8" t="inlineStr">
        <is>
          <t>y_org</t>
        </is>
      </c>
      <c r="EP90" s="8" t="inlineStr">
        <is>
          <t>D_n</t>
        </is>
      </c>
      <c r="EQ90" s="8" t="inlineStr">
        <is>
          <t>a_n</t>
        </is>
      </c>
      <c r="ER90" s="8" t="inlineStr">
        <is>
          <t>b_n</t>
        </is>
      </c>
      <c r="ES90" s="8" t="inlineStr">
        <is>
          <t>c_n</t>
        </is>
      </c>
      <c r="ET90" s="8" t="inlineStr">
        <is>
          <t>d_n</t>
        </is>
      </c>
      <c r="EU90" s="8" t="inlineStr">
        <is>
          <t>c'_n</t>
        </is>
      </c>
      <c r="EV90" s="8" t="inlineStr">
        <is>
          <t>d'_n</t>
        </is>
      </c>
      <c r="EW90" s="8" t="inlineStr">
        <is>
          <t>y_org</t>
        </is>
      </c>
      <c r="EX90" s="8" t="inlineStr">
        <is>
          <t>D_n</t>
        </is>
      </c>
      <c r="EY90" s="8" t="inlineStr">
        <is>
          <t>a_n</t>
        </is>
      </c>
      <c r="EZ90" s="8" t="inlineStr">
        <is>
          <t>b_n</t>
        </is>
      </c>
      <c r="FA90" s="8" t="inlineStr">
        <is>
          <t>c_n</t>
        </is>
      </c>
      <c r="FB90" s="8" t="inlineStr">
        <is>
          <t>d_n</t>
        </is>
      </c>
      <c r="FC90" s="8" t="inlineStr">
        <is>
          <t>c'_n</t>
        </is>
      </c>
      <c r="FD90" s="8" t="inlineStr">
        <is>
          <t>d'_n</t>
        </is>
      </c>
      <c r="FE90" s="8" t="inlineStr">
        <is>
          <t>y_org</t>
        </is>
      </c>
      <c r="FF90" s="8" t="inlineStr">
        <is>
          <t>D_n</t>
        </is>
      </c>
      <c r="FG90" s="8" t="inlineStr">
        <is>
          <t>a_n</t>
        </is>
      </c>
      <c r="FH90" s="8" t="inlineStr">
        <is>
          <t>b_n</t>
        </is>
      </c>
      <c r="FI90" s="8" t="inlineStr">
        <is>
          <t>c_n</t>
        </is>
      </c>
      <c r="FJ90" s="8" t="inlineStr">
        <is>
          <t>d_n</t>
        </is>
      </c>
      <c r="FK90" s="8" t="inlineStr">
        <is>
          <t>c'_n</t>
        </is>
      </c>
      <c r="FL90" s="8" t="inlineStr">
        <is>
          <t>d'_n</t>
        </is>
      </c>
      <c r="FM90" s="8" t="inlineStr">
        <is>
          <t>y_org</t>
        </is>
      </c>
      <c r="FN90" s="8" t="inlineStr">
        <is>
          <t>D_n</t>
        </is>
      </c>
      <c r="FO90" s="8" t="inlineStr">
        <is>
          <t>a_n</t>
        </is>
      </c>
      <c r="FP90" s="8" t="inlineStr">
        <is>
          <t>b_n</t>
        </is>
      </c>
      <c r="FQ90" s="8" t="inlineStr">
        <is>
          <t>c_n</t>
        </is>
      </c>
      <c r="FR90" s="8" t="inlineStr">
        <is>
          <t>d_n</t>
        </is>
      </c>
      <c r="FS90" s="8" t="inlineStr">
        <is>
          <t>c'_n</t>
        </is>
      </c>
      <c r="FT90" s="8" t="inlineStr">
        <is>
          <t>d'_n</t>
        </is>
      </c>
      <c r="FU90" s="8" t="inlineStr">
        <is>
          <t>y_org</t>
        </is>
      </c>
      <c r="FV90" s="8" t="inlineStr">
        <is>
          <t>D_n</t>
        </is>
      </c>
      <c r="FW90" s="8" t="inlineStr">
        <is>
          <t>a_n</t>
        </is>
      </c>
      <c r="FX90" s="8" t="inlineStr">
        <is>
          <t>b_n</t>
        </is>
      </c>
      <c r="FY90" s="8" t="inlineStr">
        <is>
          <t>c_n</t>
        </is>
      </c>
      <c r="FZ90" s="8" t="inlineStr">
        <is>
          <t>d_n</t>
        </is>
      </c>
      <c r="GA90" s="8" t="inlineStr">
        <is>
          <t>c'_n</t>
        </is>
      </c>
      <c r="GB90" s="8" t="inlineStr">
        <is>
          <t>d'_n</t>
        </is>
      </c>
      <c r="GC90" s="8" t="inlineStr">
        <is>
          <t>y_org</t>
        </is>
      </c>
      <c r="GD90" s="8" t="inlineStr">
        <is>
          <t>D_n</t>
        </is>
      </c>
      <c r="GE90" s="8" t="inlineStr">
        <is>
          <t>a_n</t>
        </is>
      </c>
      <c r="GF90" s="8" t="inlineStr">
        <is>
          <t>b_n</t>
        </is>
      </c>
      <c r="GG90" s="8" t="inlineStr">
        <is>
          <t>c_n</t>
        </is>
      </c>
      <c r="GH90" s="8" t="inlineStr">
        <is>
          <t>d_n</t>
        </is>
      </c>
      <c r="GI90" s="8" t="inlineStr">
        <is>
          <t>c'_n</t>
        </is>
      </c>
      <c r="GJ90" s="8" t="inlineStr">
        <is>
          <t>d'_n</t>
        </is>
      </c>
      <c r="GK90" s="8" t="inlineStr">
        <is>
          <t>y_org</t>
        </is>
      </c>
      <c r="GL90" s="8" t="inlineStr">
        <is>
          <t>D_n</t>
        </is>
      </c>
      <c r="GM90" s="8" t="inlineStr">
        <is>
          <t>a_n</t>
        </is>
      </c>
      <c r="GN90" s="8" t="inlineStr">
        <is>
          <t>b_n</t>
        </is>
      </c>
      <c r="GO90" s="8" t="inlineStr">
        <is>
          <t>c_n</t>
        </is>
      </c>
      <c r="GP90" s="8" t="inlineStr">
        <is>
          <t>d_n</t>
        </is>
      </c>
      <c r="GQ90" s="8" t="inlineStr">
        <is>
          <t>c'_n</t>
        </is>
      </c>
      <c r="GR90" s="8" t="inlineStr">
        <is>
          <t>d'_n</t>
        </is>
      </c>
      <c r="GS90" s="8" t="inlineStr">
        <is>
          <t>y_org</t>
        </is>
      </c>
      <c r="GT90" s="8" t="inlineStr">
        <is>
          <t>D_n</t>
        </is>
      </c>
      <c r="GU90" s="8" t="inlineStr">
        <is>
          <t>a_n</t>
        </is>
      </c>
      <c r="GV90" s="8" t="inlineStr">
        <is>
          <t>b_n</t>
        </is>
      </c>
      <c r="GW90" s="8" t="inlineStr">
        <is>
          <t>c_n</t>
        </is>
      </c>
      <c r="GX90" s="8" t="inlineStr">
        <is>
          <t>d_n</t>
        </is>
      </c>
      <c r="GY90" s="8" t="inlineStr">
        <is>
          <t>c'_n</t>
        </is>
      </c>
      <c r="GZ90" s="8" t="inlineStr">
        <is>
          <t>d'_n</t>
        </is>
      </c>
      <c r="HA90" s="8" t="inlineStr">
        <is>
          <t>y_org</t>
        </is>
      </c>
    </row>
    <row r="91" ht="14" customHeight="1">
      <c r="A91" s="27" t="n">
        <v>1</v>
      </c>
      <c r="B91" s="9">
        <f>IF(1&gt;$B$6+$B$7,$G$7*$B$11^$H$7,$E$7*$B$9^$F$7)</f>
        <v/>
      </c>
      <c r="C91" s="9">
        <f>IF(1=1,0,$B$14)</f>
        <v/>
      </c>
      <c r="D91" s="9">
        <f>-($B$14+(IF(1&lt;=$B$6,$B$13*$B$15+$B$12,IF(1&lt;=$B$6+$B$7,$B$13*$B$15,$B$13)))/B91)</f>
        <v/>
      </c>
      <c r="E91" s="9">
        <f>IF(1=$B$6+$B$7,0,IF(1&gt;$B$6+$B$7,$B$13/B92,IF(1&gt;=$B$6,$B$13*$B$15/B92,($B$13*$B$15+$B$12)/B92)))</f>
        <v/>
      </c>
      <c r="F91" s="9">
        <f>IF(1=$B$6,-$K$7*$B$12,0)</f>
        <v/>
      </c>
      <c r="G91" s="9">
        <f>E91/D91</f>
        <v/>
      </c>
      <c r="H91" s="9">
        <f>F91/D91</f>
        <v/>
      </c>
      <c r="I91" s="16">
        <f>H91-G91*I92</f>
        <v/>
      </c>
      <c r="J91" s="9">
        <f>IF(1&gt;$B$6+$B$7,$G$8*$B$11^$H$8,$E$8*$B$9^$F$8)</f>
        <v/>
      </c>
      <c r="K91" s="9">
        <f>IF(1=1,0,$B$14)</f>
        <v/>
      </c>
      <c r="L91" s="9">
        <f>-($B$14+(IF(1&lt;=$B$6,$B$13*$B$15+$B$12,IF(1&lt;=$B$6+$B$7,$B$13*$B$15,$B$13)))/J91)</f>
        <v/>
      </c>
      <c r="M91" s="9">
        <f>IF(1=$B$6+$B$7,0,IF(1&gt;$B$6+$B$7,$B$13/J92,IF(1&gt;=$B$6,$B$13*$B$15/J92,($B$13*$B$15+$B$12)/J92)))</f>
        <v/>
      </c>
      <c r="N91" s="9">
        <f>IF(1=$B$6,-$K$8*$B$12,0)</f>
        <v/>
      </c>
      <c r="O91" s="9">
        <f>M91/L91</f>
        <v/>
      </c>
      <c r="P91" s="9">
        <f>N91/L91</f>
        <v/>
      </c>
      <c r="Q91" s="16">
        <f>P91-O91*Q92</f>
        <v/>
      </c>
      <c r="R91" s="9">
        <f>IF(1&gt;$B$6+$B$7,$G$9*$B$11^$H$9,$E$9*$B$9^$F$9)</f>
        <v/>
      </c>
      <c r="S91" s="9">
        <f>IF(1=1,0,$B$14)</f>
        <v/>
      </c>
      <c r="T91" s="9">
        <f>-($B$14+(IF(1&lt;=$B$6,$B$13*$B$15+$B$12,IF(1&lt;=$B$6+$B$7,$B$13*$B$15,$B$13)))/R91)</f>
        <v/>
      </c>
      <c r="U91" s="9">
        <f>IF(1=$B$6+$B$7,0,IF(1&gt;$B$6+$B$7,$B$13/R92,IF(1&gt;=$B$6,$B$13*$B$15/R92,($B$13*$B$15+$B$12)/R92)))</f>
        <v/>
      </c>
      <c r="V91" s="9">
        <f>IF(1=$B$6,-$K$9*$B$12,0)</f>
        <v/>
      </c>
      <c r="W91" s="9">
        <f>U91/T91</f>
        <v/>
      </c>
      <c r="X91" s="9">
        <f>V91/T91</f>
        <v/>
      </c>
      <c r="Y91" s="16">
        <f>X91-W91*Y92</f>
        <v/>
      </c>
      <c r="Z91" s="9">
        <f>IF(1&gt;$B$6+$B$7,$G$10*$B$11^$H$10,$E$10*$B$9^$F$10)</f>
        <v/>
      </c>
      <c r="AA91" s="9">
        <f>IF(1=1,0,$B$14)</f>
        <v/>
      </c>
      <c r="AB91" s="9">
        <f>-($B$14+(IF(1&lt;=$B$6,$B$13*$B$15+$B$12,IF(1&lt;=$B$6+$B$7,$B$13*$B$15,$B$13)))/Z91)</f>
        <v/>
      </c>
      <c r="AC91" s="9">
        <f>IF(1=$B$6+$B$7,0,IF(1&gt;$B$6+$B$7,$B$13/Z92,IF(1&gt;=$B$6,$B$13*$B$15/Z92,($B$13*$B$15+$B$12)/Z92)))</f>
        <v/>
      </c>
      <c r="AD91" s="9">
        <f>IF(1=$B$6,-$K$10*$B$12,0)</f>
        <v/>
      </c>
      <c r="AE91" s="9">
        <f>AC91/AB91</f>
        <v/>
      </c>
      <c r="AF91" s="9">
        <f>AD91/AB91</f>
        <v/>
      </c>
      <c r="AG91" s="16">
        <f>AF91-AE91*AG92</f>
        <v/>
      </c>
      <c r="AH91" s="9">
        <f>IF(1&gt;$B$6+$B$7,$G$11*$B$11^$H$11,$E$11*$B$9^$F$11)</f>
        <v/>
      </c>
      <c r="AI91" s="9">
        <f>IF(1=1,0,$B$14)</f>
        <v/>
      </c>
      <c r="AJ91" s="9">
        <f>-($B$14+(IF(1&lt;=$B$6,$B$13*$B$15+$B$12,IF(1&lt;=$B$6+$B$7,$B$13*$B$15,$B$13)))/AH91)</f>
        <v/>
      </c>
      <c r="AK91" s="9">
        <f>IF(1=$B$6+$B$7,0,IF(1&gt;$B$6+$B$7,$B$13/AH92,IF(1&gt;=$B$6,$B$13*$B$15/AH92,($B$13*$B$15+$B$12)/AH92)))</f>
        <v/>
      </c>
      <c r="AL91" s="9">
        <f>IF(1=$B$6,-$K$11*$B$12,0)</f>
        <v/>
      </c>
      <c r="AM91" s="9">
        <f>AK91/AJ91</f>
        <v/>
      </c>
      <c r="AN91" s="9">
        <f>AL91/AJ91</f>
        <v/>
      </c>
      <c r="AO91" s="16">
        <f>AN91-AM91*AO92</f>
        <v/>
      </c>
      <c r="AP91" s="9">
        <f>IF(1&gt;$B$6+$B$7,$G$12*$B$11^$H$12,$E$12*$B$9^$F$12)</f>
        <v/>
      </c>
      <c r="AQ91" s="9">
        <f>IF(1=1,0,$B$14)</f>
        <v/>
      </c>
      <c r="AR91" s="9">
        <f>-($B$14+(IF(1&lt;=$B$6,$B$13*$B$15+$B$12,IF(1&lt;=$B$6+$B$7,$B$13*$B$15,$B$13)))/AP91)</f>
        <v/>
      </c>
      <c r="AS91" s="9">
        <f>IF(1=$B$6+$B$7,0,IF(1&gt;$B$6+$B$7,$B$13/AP92,IF(1&gt;=$B$6,$B$13*$B$15/AP92,($B$13*$B$15+$B$12)/AP92)))</f>
        <v/>
      </c>
      <c r="AT91" s="9">
        <f>IF(1=$B$6,-$K$12*$B$12,0)</f>
        <v/>
      </c>
      <c r="AU91" s="9">
        <f>AS91/AR91</f>
        <v/>
      </c>
      <c r="AV91" s="9">
        <f>AT91/AR91</f>
        <v/>
      </c>
      <c r="AW91" s="16">
        <f>AV91-AU91*AW92</f>
        <v/>
      </c>
      <c r="AX91" s="9">
        <f>IF(1&gt;$B$6+$B$7,$G$13*$B$11^$H$13,$E$13*$B$9^$F$13)</f>
        <v/>
      </c>
      <c r="AY91" s="9">
        <f>IF(1=1,0,$B$14)</f>
        <v/>
      </c>
      <c r="AZ91" s="9">
        <f>-($B$14+(IF(1&lt;=$B$6,$B$13*$B$15+$B$12,IF(1&lt;=$B$6+$B$7,$B$13*$B$15,$B$13)))/AX91)</f>
        <v/>
      </c>
      <c r="BA91" s="9">
        <f>IF(1=$B$6+$B$7,0,IF(1&gt;$B$6+$B$7,$B$13/AX92,IF(1&gt;=$B$6,$B$13*$B$15/AX92,($B$13*$B$15+$B$12)/AX92)))</f>
        <v/>
      </c>
      <c r="BB91" s="9">
        <f>IF(1=$B$6,-$K$13*$B$12,0)</f>
        <v/>
      </c>
      <c r="BC91" s="9">
        <f>BA91/AZ91</f>
        <v/>
      </c>
      <c r="BD91" s="9">
        <f>BB91/AZ91</f>
        <v/>
      </c>
      <c r="BE91" s="16">
        <f>BD91-BC91*BE92</f>
        <v/>
      </c>
      <c r="BF91" s="9">
        <f>IF(1&gt;$B$6+$B$7,$G$14*$B$11^$H$14,$E$14*$B$9^$F$14)</f>
        <v/>
      </c>
      <c r="BG91" s="9">
        <f>IF(1=1,0,$B$14)</f>
        <v/>
      </c>
      <c r="BH91" s="9">
        <f>-($B$14+(IF(1&lt;=$B$6,$B$13*$B$15+$B$12,IF(1&lt;=$B$6+$B$7,$B$13*$B$15,$B$13)))/BF91)</f>
        <v/>
      </c>
      <c r="BI91" s="9">
        <f>IF(1=$B$6+$B$7,0,IF(1&gt;$B$6+$B$7,$B$13/BF92,IF(1&gt;=$B$6,$B$13*$B$15/BF92,($B$13*$B$15+$B$12)/BF92)))</f>
        <v/>
      </c>
      <c r="BJ91" s="9">
        <f>IF(1=$B$6,-$K$14*$B$12,0)</f>
        <v/>
      </c>
      <c r="BK91" s="9">
        <f>BI91/BH91</f>
        <v/>
      </c>
      <c r="BL91" s="9">
        <f>BJ91/BH91</f>
        <v/>
      </c>
      <c r="BM91" s="16">
        <f>BL91-BK91*BM92</f>
        <v/>
      </c>
      <c r="BN91" s="9">
        <f>IF(1&gt;$B$6+$B$7,$G$15*$B$11^$H$15,$E$15*$B$9^$F$15)</f>
        <v/>
      </c>
      <c r="BO91" s="9">
        <f>IF(1=1,0,$B$14)</f>
        <v/>
      </c>
      <c r="BP91" s="9">
        <f>-($B$14+(IF(1&lt;=$B$6,$B$13*$B$15+$B$12,IF(1&lt;=$B$6+$B$7,$B$13*$B$15,$B$13)))/BN91)</f>
        <v/>
      </c>
      <c r="BQ91" s="9">
        <f>IF(1=$B$6+$B$7,0,IF(1&gt;$B$6+$B$7,$B$13/BN92,IF(1&gt;=$B$6,$B$13*$B$15/BN92,($B$13*$B$15+$B$12)/BN92)))</f>
        <v/>
      </c>
      <c r="BR91" s="9">
        <f>IF(1=$B$6,-$K$15*$B$12,0)</f>
        <v/>
      </c>
      <c r="BS91" s="9">
        <f>BQ91/BP91</f>
        <v/>
      </c>
      <c r="BT91" s="9">
        <f>BR91/BP91</f>
        <v/>
      </c>
      <c r="BU91" s="16">
        <f>BT91-BS91*BU92</f>
        <v/>
      </c>
      <c r="BV91" s="9">
        <f>IF(1&gt;$B$6+$B$7,$G$16*$B$11^$H$16,$E$16*$B$9^$F$16)</f>
        <v/>
      </c>
      <c r="BW91" s="9">
        <f>IF(1=1,0,$B$14)</f>
        <v/>
      </c>
      <c r="BX91" s="9">
        <f>-($B$14+(IF(1&lt;=$B$6,$B$13*$B$15+$B$12,IF(1&lt;=$B$6+$B$7,$B$13*$B$15,$B$13)))/BV91)</f>
        <v/>
      </c>
      <c r="BY91" s="9">
        <f>IF(1=$B$6+$B$7,0,IF(1&gt;$B$6+$B$7,$B$13/BV92,IF(1&gt;=$B$6,$B$13*$B$15/BV92,($B$13*$B$15+$B$12)/BV92)))</f>
        <v/>
      </c>
      <c r="BZ91" s="9">
        <f>IF(1=$B$6,-$K$16*$B$12,0)</f>
        <v/>
      </c>
      <c r="CA91" s="9">
        <f>BY91/BX91</f>
        <v/>
      </c>
      <c r="CB91" s="9">
        <f>BZ91/BX91</f>
        <v/>
      </c>
      <c r="CC91" s="16">
        <f>CB91-CA91*CC92</f>
        <v/>
      </c>
      <c r="CD91" s="9">
        <f>IF(1&gt;$B$6+$B$7,$G$17*$B$11^$H$17,$E$17*$B$9^$F$17)</f>
        <v/>
      </c>
      <c r="CE91" s="9">
        <f>IF(1=1,0,$B$14)</f>
        <v/>
      </c>
      <c r="CF91" s="9">
        <f>-($B$14+(IF(1&lt;=$B$6,$B$13*$B$15+$B$12,IF(1&lt;=$B$6+$B$7,$B$13*$B$15,$B$13)))/CD91)</f>
        <v/>
      </c>
      <c r="CG91" s="9">
        <f>IF(1=$B$6+$B$7,0,IF(1&gt;$B$6+$B$7,$B$13/CD92,IF(1&gt;=$B$6,$B$13*$B$15/CD92,($B$13*$B$15+$B$12)/CD92)))</f>
        <v/>
      </c>
      <c r="CH91" s="9">
        <f>IF(1=$B$6,-$K$17*$B$12,0)</f>
        <v/>
      </c>
      <c r="CI91" s="9">
        <f>CG91/CF91</f>
        <v/>
      </c>
      <c r="CJ91" s="9">
        <f>CH91/CF91</f>
        <v/>
      </c>
      <c r="CK91" s="16">
        <f>CJ91-CI91*CK92</f>
        <v/>
      </c>
      <c r="CL91" s="9">
        <f>IF(1&gt;$B$6+$B$7,$G$18*$B$11^$H$18,$E$18*$B$9^$F$18)</f>
        <v/>
      </c>
      <c r="CM91" s="9">
        <f>IF(1=1,0,$B$14)</f>
        <v/>
      </c>
      <c r="CN91" s="9">
        <f>-($B$14+(IF(1&lt;=$B$6,$B$13*$B$15+$B$12,IF(1&lt;=$B$6+$B$7,$B$13*$B$15,$B$13)))/CL91)</f>
        <v/>
      </c>
      <c r="CO91" s="9">
        <f>IF(1=$B$6+$B$7,0,IF(1&gt;$B$6+$B$7,$B$13/CL92,IF(1&gt;=$B$6,$B$13*$B$15/CL92,($B$13*$B$15+$B$12)/CL92)))</f>
        <v/>
      </c>
      <c r="CP91" s="9">
        <f>IF(1=$B$6,-$K$18*$B$12,0)</f>
        <v/>
      </c>
      <c r="CQ91" s="9">
        <f>CO91/CN91</f>
        <v/>
      </c>
      <c r="CR91" s="9">
        <f>CP91/CN91</f>
        <v/>
      </c>
      <c r="CS91" s="16">
        <f>CR91-CQ91*CS92</f>
        <v/>
      </c>
      <c r="CT91" s="9">
        <f>IF(1&gt;$B$6+$B$7,$G$19*$B$11^$H$19,$E$19*$B$9^$F$19)</f>
        <v/>
      </c>
      <c r="CU91" s="9">
        <f>IF(1=1,0,$B$14)</f>
        <v/>
      </c>
      <c r="CV91" s="9">
        <f>-($B$14+(IF(1&lt;=$B$6,$B$13*$B$15+$B$12,IF(1&lt;=$B$6+$B$7,$B$13*$B$15,$B$13)))/CT91)</f>
        <v/>
      </c>
      <c r="CW91" s="9">
        <f>IF(1=$B$6+$B$7,0,IF(1&gt;$B$6+$B$7,$B$13/CT92,IF(1&gt;=$B$6,$B$13*$B$15/CT92,($B$13*$B$15+$B$12)/CT92)))</f>
        <v/>
      </c>
      <c r="CX91" s="9">
        <f>IF(1=$B$6,-$K$19*$B$12,0)</f>
        <v/>
      </c>
      <c r="CY91" s="9">
        <f>CW91/CV91</f>
        <v/>
      </c>
      <c r="CZ91" s="9">
        <f>CX91/CV91</f>
        <v/>
      </c>
      <c r="DA91" s="16">
        <f>CZ91-CY91*DA92</f>
        <v/>
      </c>
      <c r="DB91" s="9">
        <f>IF(1&gt;$B$6+$B$7,$G$20*$B$11^$H$20,$E$20*$B$9^$F$20)</f>
        <v/>
      </c>
      <c r="DC91" s="9">
        <f>IF(1=1,0,$B$14)</f>
        <v/>
      </c>
      <c r="DD91" s="9">
        <f>-($B$14+(IF(1&lt;=$B$6,$B$13*$B$15+$B$12,IF(1&lt;=$B$6+$B$7,$B$13*$B$15,$B$13)))/DB91)</f>
        <v/>
      </c>
      <c r="DE91" s="9">
        <f>IF(1=$B$6+$B$7,0,IF(1&gt;$B$6+$B$7,$B$13/DB92,IF(1&gt;=$B$6,$B$13*$B$15/DB92,($B$13*$B$15+$B$12)/DB92)))</f>
        <v/>
      </c>
      <c r="DF91" s="9">
        <f>IF(1=$B$6,-$K$20*$B$12,0)</f>
        <v/>
      </c>
      <c r="DG91" s="9">
        <f>DE91/DD91</f>
        <v/>
      </c>
      <c r="DH91" s="9">
        <f>DF91/DD91</f>
        <v/>
      </c>
      <c r="DI91" s="16">
        <f>DH91-DG91*DI92</f>
        <v/>
      </c>
      <c r="DJ91" s="9">
        <f>IF(1&gt;$B$6+$B$7,$G$21*$B$11^$H$21,$E$21*$B$9^$F$21)</f>
        <v/>
      </c>
      <c r="DK91" s="9">
        <f>IF(1=1,0,$B$14)</f>
        <v/>
      </c>
      <c r="DL91" s="9">
        <f>-($B$14+(IF(1&lt;=$B$6,$B$13*$B$15+$B$12,IF(1&lt;=$B$6+$B$7,$B$13*$B$15,$B$13)))/DJ91)</f>
        <v/>
      </c>
      <c r="DM91" s="9">
        <f>IF(1=$B$6+$B$7,0,IF(1&gt;$B$6+$B$7,$B$13/DJ92,IF(1&gt;=$B$6,$B$13*$B$15/DJ92,($B$13*$B$15+$B$12)/DJ92)))</f>
        <v/>
      </c>
      <c r="DN91" s="9">
        <f>IF(1=$B$6,-$K$21*$B$12,0)</f>
        <v/>
      </c>
      <c r="DO91" s="9">
        <f>DM91/DL91</f>
        <v/>
      </c>
      <c r="DP91" s="9">
        <f>DN91/DL91</f>
        <v/>
      </c>
      <c r="DQ91" s="16">
        <f>DP91-DO91*DQ92</f>
        <v/>
      </c>
      <c r="DR91" s="9">
        <f>IF(1&gt;$B$6+$B$7,$G$22*$B$11^$H$22,$E$22*$B$9^$F$22)</f>
        <v/>
      </c>
      <c r="DS91" s="9">
        <f>IF(1=1,0,$B$14)</f>
        <v/>
      </c>
      <c r="DT91" s="9">
        <f>-($B$14+(IF(1&lt;=$B$6,$B$13*$B$15+$B$12,IF(1&lt;=$B$6+$B$7,$B$13*$B$15,$B$13)))/DR91)</f>
        <v/>
      </c>
      <c r="DU91" s="9">
        <f>IF(1=$B$6+$B$7,0,IF(1&gt;$B$6+$B$7,$B$13/DR92,IF(1&gt;=$B$6,$B$13*$B$15/DR92,($B$13*$B$15+$B$12)/DR92)))</f>
        <v/>
      </c>
      <c r="DV91" s="9">
        <f>IF(1=$B$6,-$K$22*$B$12,0)</f>
        <v/>
      </c>
      <c r="DW91" s="9">
        <f>DU91/DT91</f>
        <v/>
      </c>
      <c r="DX91" s="9">
        <f>DV91/DT91</f>
        <v/>
      </c>
      <c r="DY91" s="16">
        <f>DX91-DW91*DY92</f>
        <v/>
      </c>
      <c r="DZ91" s="9">
        <f>IF(1&gt;$B$6+$B$7,$G$23*$B$11^$H$23,$E$23*$B$9^$F$23)</f>
        <v/>
      </c>
      <c r="EA91" s="9">
        <f>IF(1=1,0,$B$14)</f>
        <v/>
      </c>
      <c r="EB91" s="9">
        <f>-($B$14+(IF(1&lt;=$B$6,$B$13*$B$15+$B$12,IF(1&lt;=$B$6+$B$7,$B$13*$B$15,$B$13)))/DZ91)</f>
        <v/>
      </c>
      <c r="EC91" s="9">
        <f>IF(1=$B$6+$B$7,0,IF(1&gt;$B$6+$B$7,$B$13/DZ92,IF(1&gt;=$B$6,$B$13*$B$15/DZ92,($B$13*$B$15+$B$12)/DZ92)))</f>
        <v/>
      </c>
      <c r="ED91" s="9">
        <f>IF(1=$B$6,-$K$23*$B$12,0)</f>
        <v/>
      </c>
      <c r="EE91" s="9">
        <f>EC91/EB91</f>
        <v/>
      </c>
      <c r="EF91" s="9">
        <f>ED91/EB91</f>
        <v/>
      </c>
      <c r="EG91" s="16">
        <f>EF91-EE91*EG92</f>
        <v/>
      </c>
      <c r="EH91" s="9">
        <f>IF(1&gt;$B$6+$B$7,$G$24*$B$11^$H$24,$E$24*$B$9^$F$24)</f>
        <v/>
      </c>
      <c r="EI91" s="9">
        <f>IF(1=1,0,$B$14)</f>
        <v/>
      </c>
      <c r="EJ91" s="9">
        <f>-($B$14+(IF(1&lt;=$B$6,$B$13*$B$15+$B$12,IF(1&lt;=$B$6+$B$7,$B$13*$B$15,$B$13)))/EH91)</f>
        <v/>
      </c>
      <c r="EK91" s="9">
        <f>IF(1=$B$6+$B$7,0,IF(1&gt;$B$6+$B$7,$B$13/EH92,IF(1&gt;=$B$6,$B$13*$B$15/EH92,($B$13*$B$15+$B$12)/EH92)))</f>
        <v/>
      </c>
      <c r="EL91" s="9">
        <f>IF(1=$B$6,-$K$24*$B$12,0)</f>
        <v/>
      </c>
      <c r="EM91" s="9">
        <f>EK91/EJ91</f>
        <v/>
      </c>
      <c r="EN91" s="9">
        <f>EL91/EJ91</f>
        <v/>
      </c>
      <c r="EO91" s="16">
        <f>EN91-EM91*EO92</f>
        <v/>
      </c>
      <c r="EP91" s="9">
        <f>IF(1&gt;$B$6+$B$7,$G$25*$B$11^$H$25,$E$25*$B$9^$F$25)</f>
        <v/>
      </c>
      <c r="EQ91" s="9">
        <f>IF(1=1,0,$B$14)</f>
        <v/>
      </c>
      <c r="ER91" s="9">
        <f>-($B$14+(IF(1&lt;=$B$6,$B$13*$B$15+$B$12,IF(1&lt;=$B$6+$B$7,$B$13*$B$15,$B$13)))/EP91)</f>
        <v/>
      </c>
      <c r="ES91" s="9">
        <f>IF(1=$B$6+$B$7,0,IF(1&gt;$B$6+$B$7,$B$13/EP92,IF(1&gt;=$B$6,$B$13*$B$15/EP92,($B$13*$B$15+$B$12)/EP92)))</f>
        <v/>
      </c>
      <c r="ET91" s="9">
        <f>IF(1=$B$6,-$K$25*$B$12,0)</f>
        <v/>
      </c>
      <c r="EU91" s="9">
        <f>ES91/ER91</f>
        <v/>
      </c>
      <c r="EV91" s="9">
        <f>ET91/ER91</f>
        <v/>
      </c>
      <c r="EW91" s="16">
        <f>EV91-EU91*EW92</f>
        <v/>
      </c>
      <c r="EX91" s="9">
        <f>IF(1&gt;$B$6+$B$7,$G$26*$B$11^$H$26,$E$26*$B$9^$F$26)</f>
        <v/>
      </c>
      <c r="EY91" s="9">
        <f>IF(1=1,0,$B$14)</f>
        <v/>
      </c>
      <c r="EZ91" s="9">
        <f>-($B$14+(IF(1&lt;=$B$6,$B$13*$B$15+$B$12,IF(1&lt;=$B$6+$B$7,$B$13*$B$15,$B$13)))/EX91)</f>
        <v/>
      </c>
      <c r="FA91" s="9">
        <f>IF(1=$B$6+$B$7,0,IF(1&gt;$B$6+$B$7,$B$13/EX92,IF(1&gt;=$B$6,$B$13*$B$15/EX92,($B$13*$B$15+$B$12)/EX92)))</f>
        <v/>
      </c>
      <c r="FB91" s="9">
        <f>IF(1=$B$6,-$K$26*$B$12,0)</f>
        <v/>
      </c>
      <c r="FC91" s="9">
        <f>FA91/EZ91</f>
        <v/>
      </c>
      <c r="FD91" s="9">
        <f>FB91/EZ91</f>
        <v/>
      </c>
      <c r="FE91" s="16">
        <f>FD91-FC91*FE92</f>
        <v/>
      </c>
      <c r="FF91" s="9">
        <f>IF(1&gt;$B$6+$B$7,$G$27*$B$11^$H$27,$E$27*$B$9^$F$27)</f>
        <v/>
      </c>
      <c r="FG91" s="9">
        <f>IF(1=1,0,$B$14)</f>
        <v/>
      </c>
      <c r="FH91" s="9">
        <f>-($B$14+(IF(1&lt;=$B$6,$B$13*$B$15+$B$12,IF(1&lt;=$B$6+$B$7,$B$13*$B$15,$B$13)))/FF91)</f>
        <v/>
      </c>
      <c r="FI91" s="9">
        <f>IF(1=$B$6+$B$7,0,IF(1&gt;$B$6+$B$7,$B$13/FF92,IF(1&gt;=$B$6,$B$13*$B$15/FF92,($B$13*$B$15+$B$12)/FF92)))</f>
        <v/>
      </c>
      <c r="FJ91" s="9">
        <f>IF(1=$B$6,-$K$27*$B$12,0)</f>
        <v/>
      </c>
      <c r="FK91" s="9">
        <f>FI91/FH91</f>
        <v/>
      </c>
      <c r="FL91" s="9">
        <f>FJ91/FH91</f>
        <v/>
      </c>
      <c r="FM91" s="16">
        <f>FL91-FK91*FM92</f>
        <v/>
      </c>
      <c r="FN91" s="9">
        <f>IF(1&gt;$B$6+$B$7,$G$28*$B$11^$H$28,$E$28*$B$9^$F$28)</f>
        <v/>
      </c>
      <c r="FO91" s="9">
        <f>IF(1=1,0,$B$14)</f>
        <v/>
      </c>
      <c r="FP91" s="9">
        <f>-($B$14+(IF(1&lt;=$B$6,$B$13*$B$15+$B$12,IF(1&lt;=$B$6+$B$7,$B$13*$B$15,$B$13)))/FN91)</f>
        <v/>
      </c>
      <c r="FQ91" s="9">
        <f>IF(1=$B$6+$B$7,0,IF(1&gt;$B$6+$B$7,$B$13/FN92,IF(1&gt;=$B$6,$B$13*$B$15/FN92,($B$13*$B$15+$B$12)/FN92)))</f>
        <v/>
      </c>
      <c r="FR91" s="9">
        <f>IF(1=$B$6,-$K$28*$B$12,0)</f>
        <v/>
      </c>
      <c r="FS91" s="9">
        <f>FQ91/FP91</f>
        <v/>
      </c>
      <c r="FT91" s="9">
        <f>FR91/FP91</f>
        <v/>
      </c>
      <c r="FU91" s="16">
        <f>FT91-FS91*FU92</f>
        <v/>
      </c>
      <c r="FV91" s="9">
        <f>IF(1&gt;$B$6+$B$7,$G$29*$B$11^$H$29,$E$29*$B$9^$F$29)</f>
        <v/>
      </c>
      <c r="FW91" s="9">
        <f>IF(1=1,0,$B$14)</f>
        <v/>
      </c>
      <c r="FX91" s="9">
        <f>-($B$14+(IF(1&lt;=$B$6,$B$13*$B$15+$B$12,IF(1&lt;=$B$6+$B$7,$B$13*$B$15,$B$13)))/FV91)</f>
        <v/>
      </c>
      <c r="FY91" s="9">
        <f>IF(1=$B$6+$B$7,0,IF(1&gt;$B$6+$B$7,$B$13/FV92,IF(1&gt;=$B$6,$B$13*$B$15/FV92,($B$13*$B$15+$B$12)/FV92)))</f>
        <v/>
      </c>
      <c r="FZ91" s="9">
        <f>IF(1=$B$6,-$K$29*$B$12,0)</f>
        <v/>
      </c>
      <c r="GA91" s="9">
        <f>FY91/FX91</f>
        <v/>
      </c>
      <c r="GB91" s="9">
        <f>FZ91/FX91</f>
        <v/>
      </c>
      <c r="GC91" s="16">
        <f>GB91-GA91*GC92</f>
        <v/>
      </c>
      <c r="GD91" s="9">
        <f>IF(1&gt;$B$6+$B$7,$G$30*$B$11^$H$30,$E$30*$B$9^$F$30)</f>
        <v/>
      </c>
      <c r="GE91" s="9">
        <f>IF(1=1,0,$B$14)</f>
        <v/>
      </c>
      <c r="GF91" s="9">
        <f>-($B$14+(IF(1&lt;=$B$6,$B$13*$B$15+$B$12,IF(1&lt;=$B$6+$B$7,$B$13*$B$15,$B$13)))/GD91)</f>
        <v/>
      </c>
      <c r="GG91" s="9">
        <f>IF(1=$B$6+$B$7,0,IF(1&gt;$B$6+$B$7,$B$13/GD92,IF(1&gt;=$B$6,$B$13*$B$15/GD92,($B$13*$B$15+$B$12)/GD92)))</f>
        <v/>
      </c>
      <c r="GH91" s="9">
        <f>IF(1=$B$6,-$K$30*$B$12,0)</f>
        <v/>
      </c>
      <c r="GI91" s="9">
        <f>GG91/GF91</f>
        <v/>
      </c>
      <c r="GJ91" s="9">
        <f>GH91/GF91</f>
        <v/>
      </c>
      <c r="GK91" s="16">
        <f>GJ91-GI91*GK92</f>
        <v/>
      </c>
      <c r="GL91" s="9">
        <f>IF(1&gt;$B$6+$B$7,$G$31*$B$11^$H$31,$E$31*$B$9^$F$31)</f>
        <v/>
      </c>
      <c r="GM91" s="9">
        <f>IF(1=1,0,$B$14)</f>
        <v/>
      </c>
      <c r="GN91" s="9">
        <f>-($B$14+(IF(1&lt;=$B$6,$B$13*$B$15+$B$12,IF(1&lt;=$B$6+$B$7,$B$13*$B$15,$B$13)))/GL91)</f>
        <v/>
      </c>
      <c r="GO91" s="9">
        <f>IF(1=$B$6+$B$7,0,IF(1&gt;$B$6+$B$7,$B$13/GL92,IF(1&gt;=$B$6,$B$13*$B$15/GL92,($B$13*$B$15+$B$12)/GL92)))</f>
        <v/>
      </c>
      <c r="GP91" s="9">
        <f>IF(1=$B$6,-$K$31*$B$12,0)</f>
        <v/>
      </c>
      <c r="GQ91" s="9">
        <f>GO91/GN91</f>
        <v/>
      </c>
      <c r="GR91" s="9">
        <f>GP91/GN91</f>
        <v/>
      </c>
      <c r="GS91" s="16">
        <f>GR91-GQ91*GS92</f>
        <v/>
      </c>
      <c r="GT91" s="9">
        <f>IF(1&gt;$B$6+$B$7,$G$32*$B$11^$H$32,$E$32*$B$9^$F$32)</f>
        <v/>
      </c>
      <c r="GU91" s="9">
        <f>IF(1=1,0,$B$14)</f>
        <v/>
      </c>
      <c r="GV91" s="9">
        <f>-($B$14+(IF(1&lt;=$B$6,$B$13*$B$15+$B$12,IF(1&lt;=$B$6+$B$7,$B$13*$B$15,$B$13)))/GT91)</f>
        <v/>
      </c>
      <c r="GW91" s="9">
        <f>IF(1=$B$6+$B$7,0,IF(1&gt;$B$6+$B$7,$B$13/GT92,IF(1&gt;=$B$6,$B$13*$B$15/GT92,($B$13*$B$15+$B$12)/GT92)))</f>
        <v/>
      </c>
      <c r="GX91" s="9">
        <f>IF(1=$B$6,-$K$32*$B$12,0)</f>
        <v/>
      </c>
      <c r="GY91" s="9">
        <f>GW91/GV91</f>
        <v/>
      </c>
      <c r="GZ91" s="9">
        <f>GX91/GV91</f>
        <v/>
      </c>
      <c r="HA91" s="16">
        <f>GZ91-GY91*HA92</f>
        <v/>
      </c>
      <c r="HB91" s="12">
        <f>IFERROR(I91/B91,0)</f>
        <v/>
      </c>
      <c r="HC91" s="12">
        <f>IFERROR(Q91/J91,0)</f>
        <v/>
      </c>
      <c r="HD91" s="12">
        <f>IFERROR(Y91/R91,0)</f>
        <v/>
      </c>
      <c r="HE91" s="12">
        <f>IFERROR(AG91/Z91,0)</f>
        <v/>
      </c>
      <c r="HF91" s="12">
        <f>IFERROR(AO91/AH91,0)</f>
        <v/>
      </c>
      <c r="HG91" s="12">
        <f>IFERROR(AW91/AP91,0)</f>
        <v/>
      </c>
      <c r="HH91" s="12">
        <f>IFERROR(BE91/AX91,0)</f>
        <v/>
      </c>
      <c r="HI91" s="12">
        <f>IFERROR(BM91/BF91,0)</f>
        <v/>
      </c>
      <c r="HJ91" s="12">
        <f>IFERROR(BU91/BN91,0)</f>
        <v/>
      </c>
      <c r="HK91" s="12">
        <f>IFERROR(CC91/BV91,0)</f>
        <v/>
      </c>
      <c r="HL91" s="12">
        <f>IFERROR(CK91/CD91,0)</f>
        <v/>
      </c>
      <c r="HM91" s="12">
        <f>IFERROR(CS91/CL91,0)</f>
        <v/>
      </c>
      <c r="HN91" s="12">
        <f>IFERROR(DA91/CT91,0)</f>
        <v/>
      </c>
      <c r="HO91" s="12">
        <f>IFERROR(DI91/DB91,0)</f>
        <v/>
      </c>
      <c r="HP91" s="12">
        <f>IFERROR(DQ91/DJ91,0)</f>
        <v/>
      </c>
      <c r="HQ91" s="12">
        <f>IFERROR(DY91/DR91,0)</f>
        <v/>
      </c>
      <c r="HR91" s="12">
        <f>IFERROR(EG91/DZ91,0)</f>
        <v/>
      </c>
      <c r="HS91" s="12">
        <f>IFERROR(EO91/EH91,0)</f>
        <v/>
      </c>
      <c r="HT91" s="12">
        <f>IFERROR(EW91/EP91,0)</f>
        <v/>
      </c>
      <c r="HU91" s="12">
        <f>IFERROR(FE91/EX91,0)</f>
        <v/>
      </c>
      <c r="HV91" s="12">
        <f>IFERROR(FM91/FF91,0)</f>
        <v/>
      </c>
      <c r="HW91" s="12">
        <f>IFERROR(FU91/FN91,0)</f>
        <v/>
      </c>
      <c r="HX91" s="12">
        <f>IFERROR(GC91/FV91,0)</f>
        <v/>
      </c>
      <c r="HY91" s="12">
        <f>IFERROR(GK91/GD91,0)</f>
        <v/>
      </c>
      <c r="HZ91" s="12">
        <f>IFERROR(GS91/GL91,0)</f>
        <v/>
      </c>
      <c r="IA91" s="12">
        <f>IFERROR(HA91/GT91,0)</f>
        <v/>
      </c>
      <c r="IB91" s="12">
        <f>I91+Q91+Y91+AG91+AO91+AW91+BE91+BM91+BU91+CC91+CK91+CS91+DA91+DI91+DQ91+DY91+EG91+EO91+EW91+FE91+FM91+FU91+GC91+GK91+GS91+HA91</f>
        <v/>
      </c>
      <c r="IC91" s="12">
        <f>HB91+HC91+HD91+HE91+HF91+HG91+HH91+HI91+HJ91+HK91+HL91+HM91+HN91+HO91+HP91+HQ91+HR91+HS91+HT91+HU91+HV91+HW91+HX91+HY91+HZ91+IA91</f>
        <v/>
      </c>
    </row>
    <row r="92" ht="14" customHeight="1">
      <c r="A92" s="27" t="n">
        <v>2</v>
      </c>
      <c r="B92" s="9">
        <f>IF(2&gt;$B$6+$B$7,$G$7*$B$11^$H$7,$E$7*$B$9^$F$7)</f>
        <v/>
      </c>
      <c r="C92" s="9">
        <f>IF(2=1,0,$B$14)</f>
        <v/>
      </c>
      <c r="D92" s="9">
        <f>-($B$14+(IF(2&lt;=$B$6,$B$13*$B$15+$B$12,IF(2&lt;=$B$6+$B$7,$B$13*$B$15,$B$13)))/B92)</f>
        <v/>
      </c>
      <c r="E92" s="9">
        <f>IF(2=$B$6+$B$7,0,IF(2&gt;$B$6+$B$7,$B$13/B93,IF(2&gt;=$B$6,$B$13*$B$15/B93,($B$13*$B$15+$B$12)/B93)))</f>
        <v/>
      </c>
      <c r="F92" s="9">
        <f>IF(2=$B$6,-$K$7*$B$12,0)</f>
        <v/>
      </c>
      <c r="G92" s="9">
        <f>E92/(D92-C92*G91)</f>
        <v/>
      </c>
      <c r="H92" s="9">
        <f>(F92-C92*H91)/(D92-C92*G91)</f>
        <v/>
      </c>
      <c r="I92" s="16">
        <f>H92-G92*I93</f>
        <v/>
      </c>
      <c r="J92" s="9">
        <f>IF(2&gt;$B$6+$B$7,$G$8*$B$11^$H$8,$E$8*$B$9^$F$8)</f>
        <v/>
      </c>
      <c r="K92" s="9">
        <f>IF(2=1,0,$B$14)</f>
        <v/>
      </c>
      <c r="L92" s="9">
        <f>-($B$14+(IF(2&lt;=$B$6,$B$13*$B$15+$B$12,IF(2&lt;=$B$6+$B$7,$B$13*$B$15,$B$13)))/J92)</f>
        <v/>
      </c>
      <c r="M92" s="9">
        <f>IF(2=$B$6+$B$7,0,IF(2&gt;$B$6+$B$7,$B$13/J93,IF(2&gt;=$B$6,$B$13*$B$15/J93,($B$13*$B$15+$B$12)/J93)))</f>
        <v/>
      </c>
      <c r="N92" s="9">
        <f>IF(2=$B$6,-$K$8*$B$12,0)</f>
        <v/>
      </c>
      <c r="O92" s="9">
        <f>M92/(L92-K92*O91)</f>
        <v/>
      </c>
      <c r="P92" s="9">
        <f>(N92-K92*P91)/(L92-K92*O91)</f>
        <v/>
      </c>
      <c r="Q92" s="16">
        <f>P92-O92*Q93</f>
        <v/>
      </c>
      <c r="R92" s="9">
        <f>IF(2&gt;$B$6+$B$7,$G$9*$B$11^$H$9,$E$9*$B$9^$F$9)</f>
        <v/>
      </c>
      <c r="S92" s="9">
        <f>IF(2=1,0,$B$14)</f>
        <v/>
      </c>
      <c r="T92" s="9">
        <f>-($B$14+(IF(2&lt;=$B$6,$B$13*$B$15+$B$12,IF(2&lt;=$B$6+$B$7,$B$13*$B$15,$B$13)))/R92)</f>
        <v/>
      </c>
      <c r="U92" s="9">
        <f>IF(2=$B$6+$B$7,0,IF(2&gt;$B$6+$B$7,$B$13/R93,IF(2&gt;=$B$6,$B$13*$B$15/R93,($B$13*$B$15+$B$12)/R93)))</f>
        <v/>
      </c>
      <c r="V92" s="9">
        <f>IF(2=$B$6,-$K$9*$B$12,0)</f>
        <v/>
      </c>
      <c r="W92" s="9">
        <f>U92/(T92-S92*W91)</f>
        <v/>
      </c>
      <c r="X92" s="9">
        <f>(V92-S92*X91)/(T92-S92*W91)</f>
        <v/>
      </c>
      <c r="Y92" s="16">
        <f>X92-W92*Y93</f>
        <v/>
      </c>
      <c r="Z92" s="9">
        <f>IF(2&gt;$B$6+$B$7,$G$10*$B$11^$H$10,$E$10*$B$9^$F$10)</f>
        <v/>
      </c>
      <c r="AA92" s="9">
        <f>IF(2=1,0,$B$14)</f>
        <v/>
      </c>
      <c r="AB92" s="9">
        <f>-($B$14+(IF(2&lt;=$B$6,$B$13*$B$15+$B$12,IF(2&lt;=$B$6+$B$7,$B$13*$B$15,$B$13)))/Z92)</f>
        <v/>
      </c>
      <c r="AC92" s="9">
        <f>IF(2=$B$6+$B$7,0,IF(2&gt;$B$6+$B$7,$B$13/Z93,IF(2&gt;=$B$6,$B$13*$B$15/Z93,($B$13*$B$15+$B$12)/Z93)))</f>
        <v/>
      </c>
      <c r="AD92" s="9">
        <f>IF(2=$B$6,-$K$10*$B$12,0)</f>
        <v/>
      </c>
      <c r="AE92" s="9">
        <f>AC92/(AB92-AA92*AE91)</f>
        <v/>
      </c>
      <c r="AF92" s="9">
        <f>(AD92-AA92*AF91)/(AB92-AA92*AE91)</f>
        <v/>
      </c>
      <c r="AG92" s="16">
        <f>AF92-AE92*AG93</f>
        <v/>
      </c>
      <c r="AH92" s="9">
        <f>IF(2&gt;$B$6+$B$7,$G$11*$B$11^$H$11,$E$11*$B$9^$F$11)</f>
        <v/>
      </c>
      <c r="AI92" s="9">
        <f>IF(2=1,0,$B$14)</f>
        <v/>
      </c>
      <c r="AJ92" s="9">
        <f>-($B$14+(IF(2&lt;=$B$6,$B$13*$B$15+$B$12,IF(2&lt;=$B$6+$B$7,$B$13*$B$15,$B$13)))/AH92)</f>
        <v/>
      </c>
      <c r="AK92" s="9">
        <f>IF(2=$B$6+$B$7,0,IF(2&gt;$B$6+$B$7,$B$13/AH93,IF(2&gt;=$B$6,$B$13*$B$15/AH93,($B$13*$B$15+$B$12)/AH93)))</f>
        <v/>
      </c>
      <c r="AL92" s="9">
        <f>IF(2=$B$6,-$K$11*$B$12,0)</f>
        <v/>
      </c>
      <c r="AM92" s="9">
        <f>AK92/(AJ92-AI92*AM91)</f>
        <v/>
      </c>
      <c r="AN92" s="9">
        <f>(AL92-AI92*AN91)/(AJ92-AI92*AM91)</f>
        <v/>
      </c>
      <c r="AO92" s="16">
        <f>AN92-AM92*AO93</f>
        <v/>
      </c>
      <c r="AP92" s="9">
        <f>IF(2&gt;$B$6+$B$7,$G$12*$B$11^$H$12,$E$12*$B$9^$F$12)</f>
        <v/>
      </c>
      <c r="AQ92" s="9">
        <f>IF(2=1,0,$B$14)</f>
        <v/>
      </c>
      <c r="AR92" s="9">
        <f>-($B$14+(IF(2&lt;=$B$6,$B$13*$B$15+$B$12,IF(2&lt;=$B$6+$B$7,$B$13*$B$15,$B$13)))/AP92)</f>
        <v/>
      </c>
      <c r="AS92" s="9">
        <f>IF(2=$B$6+$B$7,0,IF(2&gt;$B$6+$B$7,$B$13/AP93,IF(2&gt;=$B$6,$B$13*$B$15/AP93,($B$13*$B$15+$B$12)/AP93)))</f>
        <v/>
      </c>
      <c r="AT92" s="9">
        <f>IF(2=$B$6,-$K$12*$B$12,0)</f>
        <v/>
      </c>
      <c r="AU92" s="9">
        <f>AS92/(AR92-AQ92*AU91)</f>
        <v/>
      </c>
      <c r="AV92" s="9">
        <f>(AT92-AQ92*AV91)/(AR92-AQ92*AU91)</f>
        <v/>
      </c>
      <c r="AW92" s="16">
        <f>AV92-AU92*AW93</f>
        <v/>
      </c>
      <c r="AX92" s="9">
        <f>IF(2&gt;$B$6+$B$7,$G$13*$B$11^$H$13,$E$13*$B$9^$F$13)</f>
        <v/>
      </c>
      <c r="AY92" s="9">
        <f>IF(2=1,0,$B$14)</f>
        <v/>
      </c>
      <c r="AZ92" s="9">
        <f>-($B$14+(IF(2&lt;=$B$6,$B$13*$B$15+$B$12,IF(2&lt;=$B$6+$B$7,$B$13*$B$15,$B$13)))/AX92)</f>
        <v/>
      </c>
      <c r="BA92" s="9">
        <f>IF(2=$B$6+$B$7,0,IF(2&gt;$B$6+$B$7,$B$13/AX93,IF(2&gt;=$B$6,$B$13*$B$15/AX93,($B$13*$B$15+$B$12)/AX93)))</f>
        <v/>
      </c>
      <c r="BB92" s="9">
        <f>IF(2=$B$6,-$K$13*$B$12,0)</f>
        <v/>
      </c>
      <c r="BC92" s="9">
        <f>BA92/(AZ92-AY92*BC91)</f>
        <v/>
      </c>
      <c r="BD92" s="9">
        <f>(BB92-AY92*BD91)/(AZ92-AY92*BC91)</f>
        <v/>
      </c>
      <c r="BE92" s="16">
        <f>BD92-BC92*BE93</f>
        <v/>
      </c>
      <c r="BF92" s="9">
        <f>IF(2&gt;$B$6+$B$7,$G$14*$B$11^$H$14,$E$14*$B$9^$F$14)</f>
        <v/>
      </c>
      <c r="BG92" s="9">
        <f>IF(2=1,0,$B$14)</f>
        <v/>
      </c>
      <c r="BH92" s="9">
        <f>-($B$14+(IF(2&lt;=$B$6,$B$13*$B$15+$B$12,IF(2&lt;=$B$6+$B$7,$B$13*$B$15,$B$13)))/BF92)</f>
        <v/>
      </c>
      <c r="BI92" s="9">
        <f>IF(2=$B$6+$B$7,0,IF(2&gt;$B$6+$B$7,$B$13/BF93,IF(2&gt;=$B$6,$B$13*$B$15/BF93,($B$13*$B$15+$B$12)/BF93)))</f>
        <v/>
      </c>
      <c r="BJ92" s="9">
        <f>IF(2=$B$6,-$K$14*$B$12,0)</f>
        <v/>
      </c>
      <c r="BK92" s="9">
        <f>BI92/(BH92-BG92*BK91)</f>
        <v/>
      </c>
      <c r="BL92" s="9">
        <f>(BJ92-BG92*BL91)/(BH92-BG92*BK91)</f>
        <v/>
      </c>
      <c r="BM92" s="16">
        <f>BL92-BK92*BM93</f>
        <v/>
      </c>
      <c r="BN92" s="9">
        <f>IF(2&gt;$B$6+$B$7,$G$15*$B$11^$H$15,$E$15*$B$9^$F$15)</f>
        <v/>
      </c>
      <c r="BO92" s="9">
        <f>IF(2=1,0,$B$14)</f>
        <v/>
      </c>
      <c r="BP92" s="9">
        <f>-($B$14+(IF(2&lt;=$B$6,$B$13*$B$15+$B$12,IF(2&lt;=$B$6+$B$7,$B$13*$B$15,$B$13)))/BN92)</f>
        <v/>
      </c>
      <c r="BQ92" s="9">
        <f>IF(2=$B$6+$B$7,0,IF(2&gt;$B$6+$B$7,$B$13/BN93,IF(2&gt;=$B$6,$B$13*$B$15/BN93,($B$13*$B$15+$B$12)/BN93)))</f>
        <v/>
      </c>
      <c r="BR92" s="9">
        <f>IF(2=$B$6,-$K$15*$B$12,0)</f>
        <v/>
      </c>
      <c r="BS92" s="9">
        <f>BQ92/(BP92-BO92*BS91)</f>
        <v/>
      </c>
      <c r="BT92" s="9">
        <f>(BR92-BO92*BT91)/(BP92-BO92*BS91)</f>
        <v/>
      </c>
      <c r="BU92" s="16">
        <f>BT92-BS92*BU93</f>
        <v/>
      </c>
      <c r="BV92" s="9">
        <f>IF(2&gt;$B$6+$B$7,$G$16*$B$11^$H$16,$E$16*$B$9^$F$16)</f>
        <v/>
      </c>
      <c r="BW92" s="9">
        <f>IF(2=1,0,$B$14)</f>
        <v/>
      </c>
      <c r="BX92" s="9">
        <f>-($B$14+(IF(2&lt;=$B$6,$B$13*$B$15+$B$12,IF(2&lt;=$B$6+$B$7,$B$13*$B$15,$B$13)))/BV92)</f>
        <v/>
      </c>
      <c r="BY92" s="9">
        <f>IF(2=$B$6+$B$7,0,IF(2&gt;$B$6+$B$7,$B$13/BV93,IF(2&gt;=$B$6,$B$13*$B$15/BV93,($B$13*$B$15+$B$12)/BV93)))</f>
        <v/>
      </c>
      <c r="BZ92" s="9">
        <f>IF(2=$B$6,-$K$16*$B$12,0)</f>
        <v/>
      </c>
      <c r="CA92" s="9">
        <f>BY92/(BX92-BW92*CA91)</f>
        <v/>
      </c>
      <c r="CB92" s="9">
        <f>(BZ92-BW92*CB91)/(BX92-BW92*CA91)</f>
        <v/>
      </c>
      <c r="CC92" s="16">
        <f>CB92-CA92*CC93</f>
        <v/>
      </c>
      <c r="CD92" s="9">
        <f>IF(2&gt;$B$6+$B$7,$G$17*$B$11^$H$17,$E$17*$B$9^$F$17)</f>
        <v/>
      </c>
      <c r="CE92" s="9">
        <f>IF(2=1,0,$B$14)</f>
        <v/>
      </c>
      <c r="CF92" s="9">
        <f>-($B$14+(IF(2&lt;=$B$6,$B$13*$B$15+$B$12,IF(2&lt;=$B$6+$B$7,$B$13*$B$15,$B$13)))/CD92)</f>
        <v/>
      </c>
      <c r="CG92" s="9">
        <f>IF(2=$B$6+$B$7,0,IF(2&gt;$B$6+$B$7,$B$13/CD93,IF(2&gt;=$B$6,$B$13*$B$15/CD93,($B$13*$B$15+$B$12)/CD93)))</f>
        <v/>
      </c>
      <c r="CH92" s="9">
        <f>IF(2=$B$6,-$K$17*$B$12,0)</f>
        <v/>
      </c>
      <c r="CI92" s="9">
        <f>CG92/(CF92-CE92*CI91)</f>
        <v/>
      </c>
      <c r="CJ92" s="9">
        <f>(CH92-CE92*CJ91)/(CF92-CE92*CI91)</f>
        <v/>
      </c>
      <c r="CK92" s="16">
        <f>CJ92-CI92*CK93</f>
        <v/>
      </c>
      <c r="CL92" s="9">
        <f>IF(2&gt;$B$6+$B$7,$G$18*$B$11^$H$18,$E$18*$B$9^$F$18)</f>
        <v/>
      </c>
      <c r="CM92" s="9">
        <f>IF(2=1,0,$B$14)</f>
        <v/>
      </c>
      <c r="CN92" s="9">
        <f>-($B$14+(IF(2&lt;=$B$6,$B$13*$B$15+$B$12,IF(2&lt;=$B$6+$B$7,$B$13*$B$15,$B$13)))/CL92)</f>
        <v/>
      </c>
      <c r="CO92" s="9">
        <f>IF(2=$B$6+$B$7,0,IF(2&gt;$B$6+$B$7,$B$13/CL93,IF(2&gt;=$B$6,$B$13*$B$15/CL93,($B$13*$B$15+$B$12)/CL93)))</f>
        <v/>
      </c>
      <c r="CP92" s="9">
        <f>IF(2=$B$6,-$K$18*$B$12,0)</f>
        <v/>
      </c>
      <c r="CQ92" s="9">
        <f>CO92/(CN92-CM92*CQ91)</f>
        <v/>
      </c>
      <c r="CR92" s="9">
        <f>(CP92-CM92*CR91)/(CN92-CM92*CQ91)</f>
        <v/>
      </c>
      <c r="CS92" s="16">
        <f>CR92-CQ92*CS93</f>
        <v/>
      </c>
      <c r="CT92" s="9">
        <f>IF(2&gt;$B$6+$B$7,$G$19*$B$11^$H$19,$E$19*$B$9^$F$19)</f>
        <v/>
      </c>
      <c r="CU92" s="9">
        <f>IF(2=1,0,$B$14)</f>
        <v/>
      </c>
      <c r="CV92" s="9">
        <f>-($B$14+(IF(2&lt;=$B$6,$B$13*$B$15+$B$12,IF(2&lt;=$B$6+$B$7,$B$13*$B$15,$B$13)))/CT92)</f>
        <v/>
      </c>
      <c r="CW92" s="9">
        <f>IF(2=$B$6+$B$7,0,IF(2&gt;$B$6+$B$7,$B$13/CT93,IF(2&gt;=$B$6,$B$13*$B$15/CT93,($B$13*$B$15+$B$12)/CT93)))</f>
        <v/>
      </c>
      <c r="CX92" s="9">
        <f>IF(2=$B$6,-$K$19*$B$12,0)</f>
        <v/>
      </c>
      <c r="CY92" s="9">
        <f>CW92/(CV92-CU92*CY91)</f>
        <v/>
      </c>
      <c r="CZ92" s="9">
        <f>(CX92-CU92*CZ91)/(CV92-CU92*CY91)</f>
        <v/>
      </c>
      <c r="DA92" s="16">
        <f>CZ92-CY92*DA93</f>
        <v/>
      </c>
      <c r="DB92" s="9">
        <f>IF(2&gt;$B$6+$B$7,$G$20*$B$11^$H$20,$E$20*$B$9^$F$20)</f>
        <v/>
      </c>
      <c r="DC92" s="9">
        <f>IF(2=1,0,$B$14)</f>
        <v/>
      </c>
      <c r="DD92" s="9">
        <f>-($B$14+(IF(2&lt;=$B$6,$B$13*$B$15+$B$12,IF(2&lt;=$B$6+$B$7,$B$13*$B$15,$B$13)))/DB92)</f>
        <v/>
      </c>
      <c r="DE92" s="9">
        <f>IF(2=$B$6+$B$7,0,IF(2&gt;$B$6+$B$7,$B$13/DB93,IF(2&gt;=$B$6,$B$13*$B$15/DB93,($B$13*$B$15+$B$12)/DB93)))</f>
        <v/>
      </c>
      <c r="DF92" s="9">
        <f>IF(2=$B$6,-$K$20*$B$12,0)</f>
        <v/>
      </c>
      <c r="DG92" s="9">
        <f>DE92/(DD92-DC92*DG91)</f>
        <v/>
      </c>
      <c r="DH92" s="9">
        <f>(DF92-DC92*DH91)/(DD92-DC92*DG91)</f>
        <v/>
      </c>
      <c r="DI92" s="16">
        <f>DH92-DG92*DI93</f>
        <v/>
      </c>
      <c r="DJ92" s="9">
        <f>IF(2&gt;$B$6+$B$7,$G$21*$B$11^$H$21,$E$21*$B$9^$F$21)</f>
        <v/>
      </c>
      <c r="DK92" s="9">
        <f>IF(2=1,0,$B$14)</f>
        <v/>
      </c>
      <c r="DL92" s="9">
        <f>-($B$14+(IF(2&lt;=$B$6,$B$13*$B$15+$B$12,IF(2&lt;=$B$6+$B$7,$B$13*$B$15,$B$13)))/DJ92)</f>
        <v/>
      </c>
      <c r="DM92" s="9">
        <f>IF(2=$B$6+$B$7,0,IF(2&gt;$B$6+$B$7,$B$13/DJ93,IF(2&gt;=$B$6,$B$13*$B$15/DJ93,($B$13*$B$15+$B$12)/DJ93)))</f>
        <v/>
      </c>
      <c r="DN92" s="9">
        <f>IF(2=$B$6,-$K$21*$B$12,0)</f>
        <v/>
      </c>
      <c r="DO92" s="9">
        <f>DM92/(DL92-DK92*DO91)</f>
        <v/>
      </c>
      <c r="DP92" s="9">
        <f>(DN92-DK92*DP91)/(DL92-DK92*DO91)</f>
        <v/>
      </c>
      <c r="DQ92" s="16">
        <f>DP92-DO92*DQ93</f>
        <v/>
      </c>
      <c r="DR92" s="9">
        <f>IF(2&gt;$B$6+$B$7,$G$22*$B$11^$H$22,$E$22*$B$9^$F$22)</f>
        <v/>
      </c>
      <c r="DS92" s="9">
        <f>IF(2=1,0,$B$14)</f>
        <v/>
      </c>
      <c r="DT92" s="9">
        <f>-($B$14+(IF(2&lt;=$B$6,$B$13*$B$15+$B$12,IF(2&lt;=$B$6+$B$7,$B$13*$B$15,$B$13)))/DR92)</f>
        <v/>
      </c>
      <c r="DU92" s="9">
        <f>IF(2=$B$6+$B$7,0,IF(2&gt;$B$6+$B$7,$B$13/DR93,IF(2&gt;=$B$6,$B$13*$B$15/DR93,($B$13*$B$15+$B$12)/DR93)))</f>
        <v/>
      </c>
      <c r="DV92" s="9">
        <f>IF(2=$B$6,-$K$22*$B$12,0)</f>
        <v/>
      </c>
      <c r="DW92" s="9">
        <f>DU92/(DT92-DS92*DW91)</f>
        <v/>
      </c>
      <c r="DX92" s="9">
        <f>(DV92-DS92*DX91)/(DT92-DS92*DW91)</f>
        <v/>
      </c>
      <c r="DY92" s="16">
        <f>DX92-DW92*DY93</f>
        <v/>
      </c>
      <c r="DZ92" s="9">
        <f>IF(2&gt;$B$6+$B$7,$G$23*$B$11^$H$23,$E$23*$B$9^$F$23)</f>
        <v/>
      </c>
      <c r="EA92" s="9">
        <f>IF(2=1,0,$B$14)</f>
        <v/>
      </c>
      <c r="EB92" s="9">
        <f>-($B$14+(IF(2&lt;=$B$6,$B$13*$B$15+$B$12,IF(2&lt;=$B$6+$B$7,$B$13*$B$15,$B$13)))/DZ92)</f>
        <v/>
      </c>
      <c r="EC92" s="9">
        <f>IF(2=$B$6+$B$7,0,IF(2&gt;$B$6+$B$7,$B$13/DZ93,IF(2&gt;=$B$6,$B$13*$B$15/DZ93,($B$13*$B$15+$B$12)/DZ93)))</f>
        <v/>
      </c>
      <c r="ED92" s="9">
        <f>IF(2=$B$6,-$K$23*$B$12,0)</f>
        <v/>
      </c>
      <c r="EE92" s="9">
        <f>EC92/(EB92-EA92*EE91)</f>
        <v/>
      </c>
      <c r="EF92" s="9">
        <f>(ED92-EA92*EF91)/(EB92-EA92*EE91)</f>
        <v/>
      </c>
      <c r="EG92" s="16">
        <f>EF92-EE92*EG93</f>
        <v/>
      </c>
      <c r="EH92" s="9">
        <f>IF(2&gt;$B$6+$B$7,$G$24*$B$11^$H$24,$E$24*$B$9^$F$24)</f>
        <v/>
      </c>
      <c r="EI92" s="9">
        <f>IF(2=1,0,$B$14)</f>
        <v/>
      </c>
      <c r="EJ92" s="9">
        <f>-($B$14+(IF(2&lt;=$B$6,$B$13*$B$15+$B$12,IF(2&lt;=$B$6+$B$7,$B$13*$B$15,$B$13)))/EH92)</f>
        <v/>
      </c>
      <c r="EK92" s="9">
        <f>IF(2=$B$6+$B$7,0,IF(2&gt;$B$6+$B$7,$B$13/EH93,IF(2&gt;=$B$6,$B$13*$B$15/EH93,($B$13*$B$15+$B$12)/EH93)))</f>
        <v/>
      </c>
      <c r="EL92" s="9">
        <f>IF(2=$B$6,-$K$24*$B$12,0)</f>
        <v/>
      </c>
      <c r="EM92" s="9">
        <f>EK92/(EJ92-EI92*EM91)</f>
        <v/>
      </c>
      <c r="EN92" s="9">
        <f>(EL92-EI92*EN91)/(EJ92-EI92*EM91)</f>
        <v/>
      </c>
      <c r="EO92" s="16">
        <f>EN92-EM92*EO93</f>
        <v/>
      </c>
      <c r="EP92" s="9">
        <f>IF(2&gt;$B$6+$B$7,$G$25*$B$11^$H$25,$E$25*$B$9^$F$25)</f>
        <v/>
      </c>
      <c r="EQ92" s="9">
        <f>IF(2=1,0,$B$14)</f>
        <v/>
      </c>
      <c r="ER92" s="9">
        <f>-($B$14+(IF(2&lt;=$B$6,$B$13*$B$15+$B$12,IF(2&lt;=$B$6+$B$7,$B$13*$B$15,$B$13)))/EP92)</f>
        <v/>
      </c>
      <c r="ES92" s="9">
        <f>IF(2=$B$6+$B$7,0,IF(2&gt;$B$6+$B$7,$B$13/EP93,IF(2&gt;=$B$6,$B$13*$B$15/EP93,($B$13*$B$15+$B$12)/EP93)))</f>
        <v/>
      </c>
      <c r="ET92" s="9">
        <f>IF(2=$B$6,-$K$25*$B$12,0)</f>
        <v/>
      </c>
      <c r="EU92" s="9">
        <f>ES92/(ER92-EQ92*EU91)</f>
        <v/>
      </c>
      <c r="EV92" s="9">
        <f>(ET92-EQ92*EV91)/(ER92-EQ92*EU91)</f>
        <v/>
      </c>
      <c r="EW92" s="16">
        <f>EV92-EU92*EW93</f>
        <v/>
      </c>
      <c r="EX92" s="9">
        <f>IF(2&gt;$B$6+$B$7,$G$26*$B$11^$H$26,$E$26*$B$9^$F$26)</f>
        <v/>
      </c>
      <c r="EY92" s="9">
        <f>IF(2=1,0,$B$14)</f>
        <v/>
      </c>
      <c r="EZ92" s="9">
        <f>-($B$14+(IF(2&lt;=$B$6,$B$13*$B$15+$B$12,IF(2&lt;=$B$6+$B$7,$B$13*$B$15,$B$13)))/EX92)</f>
        <v/>
      </c>
      <c r="FA92" s="9">
        <f>IF(2=$B$6+$B$7,0,IF(2&gt;$B$6+$B$7,$B$13/EX93,IF(2&gt;=$B$6,$B$13*$B$15/EX93,($B$13*$B$15+$B$12)/EX93)))</f>
        <v/>
      </c>
      <c r="FB92" s="9">
        <f>IF(2=$B$6,-$K$26*$B$12,0)</f>
        <v/>
      </c>
      <c r="FC92" s="9">
        <f>FA92/(EZ92-EY92*FC91)</f>
        <v/>
      </c>
      <c r="FD92" s="9">
        <f>(FB92-EY92*FD91)/(EZ92-EY92*FC91)</f>
        <v/>
      </c>
      <c r="FE92" s="16">
        <f>FD92-FC92*FE93</f>
        <v/>
      </c>
      <c r="FF92" s="9">
        <f>IF(2&gt;$B$6+$B$7,$G$27*$B$11^$H$27,$E$27*$B$9^$F$27)</f>
        <v/>
      </c>
      <c r="FG92" s="9">
        <f>IF(2=1,0,$B$14)</f>
        <v/>
      </c>
      <c r="FH92" s="9">
        <f>-($B$14+(IF(2&lt;=$B$6,$B$13*$B$15+$B$12,IF(2&lt;=$B$6+$B$7,$B$13*$B$15,$B$13)))/FF92)</f>
        <v/>
      </c>
      <c r="FI92" s="9">
        <f>IF(2=$B$6+$B$7,0,IF(2&gt;$B$6+$B$7,$B$13/FF93,IF(2&gt;=$B$6,$B$13*$B$15/FF93,($B$13*$B$15+$B$12)/FF93)))</f>
        <v/>
      </c>
      <c r="FJ92" s="9">
        <f>IF(2=$B$6,-$K$27*$B$12,0)</f>
        <v/>
      </c>
      <c r="FK92" s="9">
        <f>FI92/(FH92-FG92*FK91)</f>
        <v/>
      </c>
      <c r="FL92" s="9">
        <f>(FJ92-FG92*FL91)/(FH92-FG92*FK91)</f>
        <v/>
      </c>
      <c r="FM92" s="16">
        <f>FL92-FK92*FM93</f>
        <v/>
      </c>
      <c r="FN92" s="9">
        <f>IF(2&gt;$B$6+$B$7,$G$28*$B$11^$H$28,$E$28*$B$9^$F$28)</f>
        <v/>
      </c>
      <c r="FO92" s="9">
        <f>IF(2=1,0,$B$14)</f>
        <v/>
      </c>
      <c r="FP92" s="9">
        <f>-($B$14+(IF(2&lt;=$B$6,$B$13*$B$15+$B$12,IF(2&lt;=$B$6+$B$7,$B$13*$B$15,$B$13)))/FN92)</f>
        <v/>
      </c>
      <c r="FQ92" s="9">
        <f>IF(2=$B$6+$B$7,0,IF(2&gt;$B$6+$B$7,$B$13/FN93,IF(2&gt;=$B$6,$B$13*$B$15/FN93,($B$13*$B$15+$B$12)/FN93)))</f>
        <v/>
      </c>
      <c r="FR92" s="9">
        <f>IF(2=$B$6,-$K$28*$B$12,0)</f>
        <v/>
      </c>
      <c r="FS92" s="9">
        <f>FQ92/(FP92-FO92*FS91)</f>
        <v/>
      </c>
      <c r="FT92" s="9">
        <f>(FR92-FO92*FT91)/(FP92-FO92*FS91)</f>
        <v/>
      </c>
      <c r="FU92" s="16">
        <f>FT92-FS92*FU93</f>
        <v/>
      </c>
      <c r="FV92" s="9">
        <f>IF(2&gt;$B$6+$B$7,$G$29*$B$11^$H$29,$E$29*$B$9^$F$29)</f>
        <v/>
      </c>
      <c r="FW92" s="9">
        <f>IF(2=1,0,$B$14)</f>
        <v/>
      </c>
      <c r="FX92" s="9">
        <f>-($B$14+(IF(2&lt;=$B$6,$B$13*$B$15+$B$12,IF(2&lt;=$B$6+$B$7,$B$13*$B$15,$B$13)))/FV92)</f>
        <v/>
      </c>
      <c r="FY92" s="9">
        <f>IF(2=$B$6+$B$7,0,IF(2&gt;$B$6+$B$7,$B$13/FV93,IF(2&gt;=$B$6,$B$13*$B$15/FV93,($B$13*$B$15+$B$12)/FV93)))</f>
        <v/>
      </c>
      <c r="FZ92" s="9">
        <f>IF(2=$B$6,-$K$29*$B$12,0)</f>
        <v/>
      </c>
      <c r="GA92" s="9">
        <f>FY92/(FX92-FW92*GA91)</f>
        <v/>
      </c>
      <c r="GB92" s="9">
        <f>(FZ92-FW92*GB91)/(FX92-FW92*GA91)</f>
        <v/>
      </c>
      <c r="GC92" s="16">
        <f>GB92-GA92*GC93</f>
        <v/>
      </c>
      <c r="GD92" s="9">
        <f>IF(2&gt;$B$6+$B$7,$G$30*$B$11^$H$30,$E$30*$B$9^$F$30)</f>
        <v/>
      </c>
      <c r="GE92" s="9">
        <f>IF(2=1,0,$B$14)</f>
        <v/>
      </c>
      <c r="GF92" s="9">
        <f>-($B$14+(IF(2&lt;=$B$6,$B$13*$B$15+$B$12,IF(2&lt;=$B$6+$B$7,$B$13*$B$15,$B$13)))/GD92)</f>
        <v/>
      </c>
      <c r="GG92" s="9">
        <f>IF(2=$B$6+$B$7,0,IF(2&gt;$B$6+$B$7,$B$13/GD93,IF(2&gt;=$B$6,$B$13*$B$15/GD93,($B$13*$B$15+$B$12)/GD93)))</f>
        <v/>
      </c>
      <c r="GH92" s="9">
        <f>IF(2=$B$6,-$K$30*$B$12,0)</f>
        <v/>
      </c>
      <c r="GI92" s="9">
        <f>GG92/(GF92-GE92*GI91)</f>
        <v/>
      </c>
      <c r="GJ92" s="9">
        <f>(GH92-GE92*GJ91)/(GF92-GE92*GI91)</f>
        <v/>
      </c>
      <c r="GK92" s="16">
        <f>GJ92-GI92*GK93</f>
        <v/>
      </c>
      <c r="GL92" s="9">
        <f>IF(2&gt;$B$6+$B$7,$G$31*$B$11^$H$31,$E$31*$B$9^$F$31)</f>
        <v/>
      </c>
      <c r="GM92" s="9">
        <f>IF(2=1,0,$B$14)</f>
        <v/>
      </c>
      <c r="GN92" s="9">
        <f>-($B$14+(IF(2&lt;=$B$6,$B$13*$B$15+$B$12,IF(2&lt;=$B$6+$B$7,$B$13*$B$15,$B$13)))/GL92)</f>
        <v/>
      </c>
      <c r="GO92" s="9">
        <f>IF(2=$B$6+$B$7,0,IF(2&gt;$B$6+$B$7,$B$13/GL93,IF(2&gt;=$B$6,$B$13*$B$15/GL93,($B$13*$B$15+$B$12)/GL93)))</f>
        <v/>
      </c>
      <c r="GP92" s="9">
        <f>IF(2=$B$6,-$K$31*$B$12,0)</f>
        <v/>
      </c>
      <c r="GQ92" s="9">
        <f>GO92/(GN92-GM92*GQ91)</f>
        <v/>
      </c>
      <c r="GR92" s="9">
        <f>(GP92-GM92*GR91)/(GN92-GM92*GQ91)</f>
        <v/>
      </c>
      <c r="GS92" s="16">
        <f>GR92-GQ92*GS93</f>
        <v/>
      </c>
      <c r="GT92" s="9">
        <f>IF(2&gt;$B$6+$B$7,$G$32*$B$11^$H$32,$E$32*$B$9^$F$32)</f>
        <v/>
      </c>
      <c r="GU92" s="9">
        <f>IF(2=1,0,$B$14)</f>
        <v/>
      </c>
      <c r="GV92" s="9">
        <f>-($B$14+(IF(2&lt;=$B$6,$B$13*$B$15+$B$12,IF(2&lt;=$B$6+$B$7,$B$13*$B$15,$B$13)))/GT92)</f>
        <v/>
      </c>
      <c r="GW92" s="9">
        <f>IF(2=$B$6+$B$7,0,IF(2&gt;$B$6+$B$7,$B$13/GT93,IF(2&gt;=$B$6,$B$13*$B$15/GT93,($B$13*$B$15+$B$12)/GT93)))</f>
        <v/>
      </c>
      <c r="GX92" s="9">
        <f>IF(2=$B$6,-$K$32*$B$12,0)</f>
        <v/>
      </c>
      <c r="GY92" s="9">
        <f>GW92/(GV92-GU92*GY91)</f>
        <v/>
      </c>
      <c r="GZ92" s="9">
        <f>(GX92-GU92*GZ91)/(GV92-GU92*GY91)</f>
        <v/>
      </c>
      <c r="HA92" s="16">
        <f>GZ92-GY92*HA93</f>
        <v/>
      </c>
      <c r="HB92" s="12">
        <f>IFERROR(I92/B92,0)</f>
        <v/>
      </c>
      <c r="HC92" s="12">
        <f>IFERROR(Q92/J92,0)</f>
        <v/>
      </c>
      <c r="HD92" s="12">
        <f>IFERROR(Y92/R92,0)</f>
        <v/>
      </c>
      <c r="HE92" s="12">
        <f>IFERROR(AG92/Z92,0)</f>
        <v/>
      </c>
      <c r="HF92" s="12">
        <f>IFERROR(AO92/AH92,0)</f>
        <v/>
      </c>
      <c r="HG92" s="12">
        <f>IFERROR(AW92/AP92,0)</f>
        <v/>
      </c>
      <c r="HH92" s="12">
        <f>IFERROR(BE92/AX92,0)</f>
        <v/>
      </c>
      <c r="HI92" s="12">
        <f>IFERROR(BM92/BF92,0)</f>
        <v/>
      </c>
      <c r="HJ92" s="12">
        <f>IFERROR(BU92/BN92,0)</f>
        <v/>
      </c>
      <c r="HK92" s="12">
        <f>IFERROR(CC92/BV92,0)</f>
        <v/>
      </c>
      <c r="HL92" s="12">
        <f>IFERROR(CK92/CD92,0)</f>
        <v/>
      </c>
      <c r="HM92" s="12">
        <f>IFERROR(CS92/CL92,0)</f>
        <v/>
      </c>
      <c r="HN92" s="12">
        <f>IFERROR(DA92/CT92,0)</f>
        <v/>
      </c>
      <c r="HO92" s="12">
        <f>IFERROR(DI92/DB92,0)</f>
        <v/>
      </c>
      <c r="HP92" s="12">
        <f>IFERROR(DQ92/DJ92,0)</f>
        <v/>
      </c>
      <c r="HQ92" s="12">
        <f>IFERROR(DY92/DR92,0)</f>
        <v/>
      </c>
      <c r="HR92" s="12">
        <f>IFERROR(EG92/DZ92,0)</f>
        <v/>
      </c>
      <c r="HS92" s="12">
        <f>IFERROR(EO92/EH92,0)</f>
        <v/>
      </c>
      <c r="HT92" s="12">
        <f>IFERROR(EW92/EP92,0)</f>
        <v/>
      </c>
      <c r="HU92" s="12">
        <f>IFERROR(FE92/EX92,0)</f>
        <v/>
      </c>
      <c r="HV92" s="12">
        <f>IFERROR(FM92/FF92,0)</f>
        <v/>
      </c>
      <c r="HW92" s="12">
        <f>IFERROR(FU92/FN92,0)</f>
        <v/>
      </c>
      <c r="HX92" s="12">
        <f>IFERROR(GC92/FV92,0)</f>
        <v/>
      </c>
      <c r="HY92" s="12">
        <f>IFERROR(GK92/GD92,0)</f>
        <v/>
      </c>
      <c r="HZ92" s="12">
        <f>IFERROR(GS92/GL92,0)</f>
        <v/>
      </c>
      <c r="IA92" s="12">
        <f>IFERROR(HA92/GT92,0)</f>
        <v/>
      </c>
      <c r="IB92" s="12">
        <f>I92+Q92+Y92+AG92+AO92+AW92+BE92+BM92+BU92+CC92+CK92+CS92+DA92+DI92+DQ92+DY92+EG92+EO92+EW92+FE92+FM92+FU92+GC92+GK92+GS92+HA92</f>
        <v/>
      </c>
      <c r="IC92" s="12">
        <f>HB92+HC92+HD92+HE92+HF92+HG92+HH92+HI92+HJ92+HK92+HL92+HM92+HN92+HO92+HP92+HQ92+HR92+HS92+HT92+HU92+HV92+HW92+HX92+HY92+HZ92+IA92</f>
        <v/>
      </c>
    </row>
    <row r="93" ht="14" customHeight="1">
      <c r="A93" s="27" t="n">
        <v>3</v>
      </c>
      <c r="B93" s="9">
        <f>IF(3&gt;$B$6+$B$7,$G$7*$B$11^$H$7,$E$7*$B$9^$F$7)</f>
        <v/>
      </c>
      <c r="C93" s="9">
        <f>IF(3=1,0,$B$14)</f>
        <v/>
      </c>
      <c r="D93" s="9">
        <f>-($B$14+(IF(3&lt;=$B$6,$B$13*$B$15+$B$12,IF(3&lt;=$B$6+$B$7,$B$13*$B$15,$B$13)))/B93)</f>
        <v/>
      </c>
      <c r="E93" s="9">
        <f>IF(3=$B$6+$B$7,0,IF(3&gt;$B$6+$B$7,$B$13/B94,IF(3&gt;=$B$6,$B$13*$B$15/B94,($B$13*$B$15+$B$12)/B94)))</f>
        <v/>
      </c>
      <c r="F93" s="9">
        <f>IF(3=$B$6,-$K$7*$B$12,0)</f>
        <v/>
      </c>
      <c r="G93" s="9">
        <f>E93/(D93-C93*G92)</f>
        <v/>
      </c>
      <c r="H93" s="9">
        <f>(F93-C93*H92)/(D93-C93*G92)</f>
        <v/>
      </c>
      <c r="I93" s="16">
        <f>H93-G93*I94</f>
        <v/>
      </c>
      <c r="J93" s="9">
        <f>IF(3&gt;$B$6+$B$7,$G$8*$B$11^$H$8,$E$8*$B$9^$F$8)</f>
        <v/>
      </c>
      <c r="K93" s="9">
        <f>IF(3=1,0,$B$14)</f>
        <v/>
      </c>
      <c r="L93" s="9">
        <f>-($B$14+(IF(3&lt;=$B$6,$B$13*$B$15+$B$12,IF(3&lt;=$B$6+$B$7,$B$13*$B$15,$B$13)))/J93)</f>
        <v/>
      </c>
      <c r="M93" s="9">
        <f>IF(3=$B$6+$B$7,0,IF(3&gt;$B$6+$B$7,$B$13/J94,IF(3&gt;=$B$6,$B$13*$B$15/J94,($B$13*$B$15+$B$12)/J94)))</f>
        <v/>
      </c>
      <c r="N93" s="9">
        <f>IF(3=$B$6,-$K$8*$B$12,0)</f>
        <v/>
      </c>
      <c r="O93" s="9">
        <f>M93/(L93-K93*O92)</f>
        <v/>
      </c>
      <c r="P93" s="9">
        <f>(N93-K93*P92)/(L93-K93*O92)</f>
        <v/>
      </c>
      <c r="Q93" s="16">
        <f>P93-O93*Q94</f>
        <v/>
      </c>
      <c r="R93" s="9">
        <f>IF(3&gt;$B$6+$B$7,$G$9*$B$11^$H$9,$E$9*$B$9^$F$9)</f>
        <v/>
      </c>
      <c r="S93" s="9">
        <f>IF(3=1,0,$B$14)</f>
        <v/>
      </c>
      <c r="T93" s="9">
        <f>-($B$14+(IF(3&lt;=$B$6,$B$13*$B$15+$B$12,IF(3&lt;=$B$6+$B$7,$B$13*$B$15,$B$13)))/R93)</f>
        <v/>
      </c>
      <c r="U93" s="9">
        <f>IF(3=$B$6+$B$7,0,IF(3&gt;$B$6+$B$7,$B$13/R94,IF(3&gt;=$B$6,$B$13*$B$15/R94,($B$13*$B$15+$B$12)/R94)))</f>
        <v/>
      </c>
      <c r="V93" s="9">
        <f>IF(3=$B$6,-$K$9*$B$12,0)</f>
        <v/>
      </c>
      <c r="W93" s="9">
        <f>U93/(T93-S93*W92)</f>
        <v/>
      </c>
      <c r="X93" s="9">
        <f>(V93-S93*X92)/(T93-S93*W92)</f>
        <v/>
      </c>
      <c r="Y93" s="16">
        <f>X93-W93*Y94</f>
        <v/>
      </c>
      <c r="Z93" s="9">
        <f>IF(3&gt;$B$6+$B$7,$G$10*$B$11^$H$10,$E$10*$B$9^$F$10)</f>
        <v/>
      </c>
      <c r="AA93" s="9">
        <f>IF(3=1,0,$B$14)</f>
        <v/>
      </c>
      <c r="AB93" s="9">
        <f>-($B$14+(IF(3&lt;=$B$6,$B$13*$B$15+$B$12,IF(3&lt;=$B$6+$B$7,$B$13*$B$15,$B$13)))/Z93)</f>
        <v/>
      </c>
      <c r="AC93" s="9">
        <f>IF(3=$B$6+$B$7,0,IF(3&gt;$B$6+$B$7,$B$13/Z94,IF(3&gt;=$B$6,$B$13*$B$15/Z94,($B$13*$B$15+$B$12)/Z94)))</f>
        <v/>
      </c>
      <c r="AD93" s="9">
        <f>IF(3=$B$6,-$K$10*$B$12,0)</f>
        <v/>
      </c>
      <c r="AE93" s="9">
        <f>AC93/(AB93-AA93*AE92)</f>
        <v/>
      </c>
      <c r="AF93" s="9">
        <f>(AD93-AA93*AF92)/(AB93-AA93*AE92)</f>
        <v/>
      </c>
      <c r="AG93" s="16">
        <f>AF93-AE93*AG94</f>
        <v/>
      </c>
      <c r="AH93" s="9">
        <f>IF(3&gt;$B$6+$B$7,$G$11*$B$11^$H$11,$E$11*$B$9^$F$11)</f>
        <v/>
      </c>
      <c r="AI93" s="9">
        <f>IF(3=1,0,$B$14)</f>
        <v/>
      </c>
      <c r="AJ93" s="9">
        <f>-($B$14+(IF(3&lt;=$B$6,$B$13*$B$15+$B$12,IF(3&lt;=$B$6+$B$7,$B$13*$B$15,$B$13)))/AH93)</f>
        <v/>
      </c>
      <c r="AK93" s="9">
        <f>IF(3=$B$6+$B$7,0,IF(3&gt;$B$6+$B$7,$B$13/AH94,IF(3&gt;=$B$6,$B$13*$B$15/AH94,($B$13*$B$15+$B$12)/AH94)))</f>
        <v/>
      </c>
      <c r="AL93" s="9">
        <f>IF(3=$B$6,-$K$11*$B$12,0)</f>
        <v/>
      </c>
      <c r="AM93" s="9">
        <f>AK93/(AJ93-AI93*AM92)</f>
        <v/>
      </c>
      <c r="AN93" s="9">
        <f>(AL93-AI93*AN92)/(AJ93-AI93*AM92)</f>
        <v/>
      </c>
      <c r="AO93" s="16">
        <f>AN93-AM93*AO94</f>
        <v/>
      </c>
      <c r="AP93" s="9">
        <f>IF(3&gt;$B$6+$B$7,$G$12*$B$11^$H$12,$E$12*$B$9^$F$12)</f>
        <v/>
      </c>
      <c r="AQ93" s="9">
        <f>IF(3=1,0,$B$14)</f>
        <v/>
      </c>
      <c r="AR93" s="9">
        <f>-($B$14+(IF(3&lt;=$B$6,$B$13*$B$15+$B$12,IF(3&lt;=$B$6+$B$7,$B$13*$B$15,$B$13)))/AP93)</f>
        <v/>
      </c>
      <c r="AS93" s="9">
        <f>IF(3=$B$6+$B$7,0,IF(3&gt;$B$6+$B$7,$B$13/AP94,IF(3&gt;=$B$6,$B$13*$B$15/AP94,($B$13*$B$15+$B$12)/AP94)))</f>
        <v/>
      </c>
      <c r="AT93" s="9">
        <f>IF(3=$B$6,-$K$12*$B$12,0)</f>
        <v/>
      </c>
      <c r="AU93" s="9">
        <f>AS93/(AR93-AQ93*AU92)</f>
        <v/>
      </c>
      <c r="AV93" s="9">
        <f>(AT93-AQ93*AV92)/(AR93-AQ93*AU92)</f>
        <v/>
      </c>
      <c r="AW93" s="16">
        <f>AV93-AU93*AW94</f>
        <v/>
      </c>
      <c r="AX93" s="9">
        <f>IF(3&gt;$B$6+$B$7,$G$13*$B$11^$H$13,$E$13*$B$9^$F$13)</f>
        <v/>
      </c>
      <c r="AY93" s="9">
        <f>IF(3=1,0,$B$14)</f>
        <v/>
      </c>
      <c r="AZ93" s="9">
        <f>-($B$14+(IF(3&lt;=$B$6,$B$13*$B$15+$B$12,IF(3&lt;=$B$6+$B$7,$B$13*$B$15,$B$13)))/AX93)</f>
        <v/>
      </c>
      <c r="BA93" s="9">
        <f>IF(3=$B$6+$B$7,0,IF(3&gt;$B$6+$B$7,$B$13/AX94,IF(3&gt;=$B$6,$B$13*$B$15/AX94,($B$13*$B$15+$B$12)/AX94)))</f>
        <v/>
      </c>
      <c r="BB93" s="9">
        <f>IF(3=$B$6,-$K$13*$B$12,0)</f>
        <v/>
      </c>
      <c r="BC93" s="9">
        <f>BA93/(AZ93-AY93*BC92)</f>
        <v/>
      </c>
      <c r="BD93" s="9">
        <f>(BB93-AY93*BD92)/(AZ93-AY93*BC92)</f>
        <v/>
      </c>
      <c r="BE93" s="16">
        <f>BD93-BC93*BE94</f>
        <v/>
      </c>
      <c r="BF93" s="9">
        <f>IF(3&gt;$B$6+$B$7,$G$14*$B$11^$H$14,$E$14*$B$9^$F$14)</f>
        <v/>
      </c>
      <c r="BG93" s="9">
        <f>IF(3=1,0,$B$14)</f>
        <v/>
      </c>
      <c r="BH93" s="9">
        <f>-($B$14+(IF(3&lt;=$B$6,$B$13*$B$15+$B$12,IF(3&lt;=$B$6+$B$7,$B$13*$B$15,$B$13)))/BF93)</f>
        <v/>
      </c>
      <c r="BI93" s="9">
        <f>IF(3=$B$6+$B$7,0,IF(3&gt;$B$6+$B$7,$B$13/BF94,IF(3&gt;=$B$6,$B$13*$B$15/BF94,($B$13*$B$15+$B$12)/BF94)))</f>
        <v/>
      </c>
      <c r="BJ93" s="9">
        <f>IF(3=$B$6,-$K$14*$B$12,0)</f>
        <v/>
      </c>
      <c r="BK93" s="9">
        <f>BI93/(BH93-BG93*BK92)</f>
        <v/>
      </c>
      <c r="BL93" s="9">
        <f>(BJ93-BG93*BL92)/(BH93-BG93*BK92)</f>
        <v/>
      </c>
      <c r="BM93" s="16">
        <f>BL93-BK93*BM94</f>
        <v/>
      </c>
      <c r="BN93" s="9">
        <f>IF(3&gt;$B$6+$B$7,$G$15*$B$11^$H$15,$E$15*$B$9^$F$15)</f>
        <v/>
      </c>
      <c r="BO93" s="9">
        <f>IF(3=1,0,$B$14)</f>
        <v/>
      </c>
      <c r="BP93" s="9">
        <f>-($B$14+(IF(3&lt;=$B$6,$B$13*$B$15+$B$12,IF(3&lt;=$B$6+$B$7,$B$13*$B$15,$B$13)))/BN93)</f>
        <v/>
      </c>
      <c r="BQ93" s="9">
        <f>IF(3=$B$6+$B$7,0,IF(3&gt;$B$6+$B$7,$B$13/BN94,IF(3&gt;=$B$6,$B$13*$B$15/BN94,($B$13*$B$15+$B$12)/BN94)))</f>
        <v/>
      </c>
      <c r="BR93" s="9">
        <f>IF(3=$B$6,-$K$15*$B$12,0)</f>
        <v/>
      </c>
      <c r="BS93" s="9">
        <f>BQ93/(BP93-BO93*BS92)</f>
        <v/>
      </c>
      <c r="BT93" s="9">
        <f>(BR93-BO93*BT92)/(BP93-BO93*BS92)</f>
        <v/>
      </c>
      <c r="BU93" s="16">
        <f>BT93-BS93*BU94</f>
        <v/>
      </c>
      <c r="BV93" s="9">
        <f>IF(3&gt;$B$6+$B$7,$G$16*$B$11^$H$16,$E$16*$B$9^$F$16)</f>
        <v/>
      </c>
      <c r="BW93" s="9">
        <f>IF(3=1,0,$B$14)</f>
        <v/>
      </c>
      <c r="BX93" s="9">
        <f>-($B$14+(IF(3&lt;=$B$6,$B$13*$B$15+$B$12,IF(3&lt;=$B$6+$B$7,$B$13*$B$15,$B$13)))/BV93)</f>
        <v/>
      </c>
      <c r="BY93" s="9">
        <f>IF(3=$B$6+$B$7,0,IF(3&gt;$B$6+$B$7,$B$13/BV94,IF(3&gt;=$B$6,$B$13*$B$15/BV94,($B$13*$B$15+$B$12)/BV94)))</f>
        <v/>
      </c>
      <c r="BZ93" s="9">
        <f>IF(3=$B$6,-$K$16*$B$12,0)</f>
        <v/>
      </c>
      <c r="CA93" s="9">
        <f>BY93/(BX93-BW93*CA92)</f>
        <v/>
      </c>
      <c r="CB93" s="9">
        <f>(BZ93-BW93*CB92)/(BX93-BW93*CA92)</f>
        <v/>
      </c>
      <c r="CC93" s="16">
        <f>CB93-CA93*CC94</f>
        <v/>
      </c>
      <c r="CD93" s="9">
        <f>IF(3&gt;$B$6+$B$7,$G$17*$B$11^$H$17,$E$17*$B$9^$F$17)</f>
        <v/>
      </c>
      <c r="CE93" s="9">
        <f>IF(3=1,0,$B$14)</f>
        <v/>
      </c>
      <c r="CF93" s="9">
        <f>-($B$14+(IF(3&lt;=$B$6,$B$13*$B$15+$B$12,IF(3&lt;=$B$6+$B$7,$B$13*$B$15,$B$13)))/CD93)</f>
        <v/>
      </c>
      <c r="CG93" s="9">
        <f>IF(3=$B$6+$B$7,0,IF(3&gt;$B$6+$B$7,$B$13/CD94,IF(3&gt;=$B$6,$B$13*$B$15/CD94,($B$13*$B$15+$B$12)/CD94)))</f>
        <v/>
      </c>
      <c r="CH93" s="9">
        <f>IF(3=$B$6,-$K$17*$B$12,0)</f>
        <v/>
      </c>
      <c r="CI93" s="9">
        <f>CG93/(CF93-CE93*CI92)</f>
        <v/>
      </c>
      <c r="CJ93" s="9">
        <f>(CH93-CE93*CJ92)/(CF93-CE93*CI92)</f>
        <v/>
      </c>
      <c r="CK93" s="16">
        <f>CJ93-CI93*CK94</f>
        <v/>
      </c>
      <c r="CL93" s="9">
        <f>IF(3&gt;$B$6+$B$7,$G$18*$B$11^$H$18,$E$18*$B$9^$F$18)</f>
        <v/>
      </c>
      <c r="CM93" s="9">
        <f>IF(3=1,0,$B$14)</f>
        <v/>
      </c>
      <c r="CN93" s="9">
        <f>-($B$14+(IF(3&lt;=$B$6,$B$13*$B$15+$B$12,IF(3&lt;=$B$6+$B$7,$B$13*$B$15,$B$13)))/CL93)</f>
        <v/>
      </c>
      <c r="CO93" s="9">
        <f>IF(3=$B$6+$B$7,0,IF(3&gt;$B$6+$B$7,$B$13/CL94,IF(3&gt;=$B$6,$B$13*$B$15/CL94,($B$13*$B$15+$B$12)/CL94)))</f>
        <v/>
      </c>
      <c r="CP93" s="9">
        <f>IF(3=$B$6,-$K$18*$B$12,0)</f>
        <v/>
      </c>
      <c r="CQ93" s="9">
        <f>CO93/(CN93-CM93*CQ92)</f>
        <v/>
      </c>
      <c r="CR93" s="9">
        <f>(CP93-CM93*CR92)/(CN93-CM93*CQ92)</f>
        <v/>
      </c>
      <c r="CS93" s="16">
        <f>CR93-CQ93*CS94</f>
        <v/>
      </c>
      <c r="CT93" s="9">
        <f>IF(3&gt;$B$6+$B$7,$G$19*$B$11^$H$19,$E$19*$B$9^$F$19)</f>
        <v/>
      </c>
      <c r="CU93" s="9">
        <f>IF(3=1,0,$B$14)</f>
        <v/>
      </c>
      <c r="CV93" s="9">
        <f>-($B$14+(IF(3&lt;=$B$6,$B$13*$B$15+$B$12,IF(3&lt;=$B$6+$B$7,$B$13*$B$15,$B$13)))/CT93)</f>
        <v/>
      </c>
      <c r="CW93" s="9">
        <f>IF(3=$B$6+$B$7,0,IF(3&gt;$B$6+$B$7,$B$13/CT94,IF(3&gt;=$B$6,$B$13*$B$15/CT94,($B$13*$B$15+$B$12)/CT94)))</f>
        <v/>
      </c>
      <c r="CX93" s="9">
        <f>IF(3=$B$6,-$K$19*$B$12,0)</f>
        <v/>
      </c>
      <c r="CY93" s="9">
        <f>CW93/(CV93-CU93*CY92)</f>
        <v/>
      </c>
      <c r="CZ93" s="9">
        <f>(CX93-CU93*CZ92)/(CV93-CU93*CY92)</f>
        <v/>
      </c>
      <c r="DA93" s="16">
        <f>CZ93-CY93*DA94</f>
        <v/>
      </c>
      <c r="DB93" s="9">
        <f>IF(3&gt;$B$6+$B$7,$G$20*$B$11^$H$20,$E$20*$B$9^$F$20)</f>
        <v/>
      </c>
      <c r="DC93" s="9">
        <f>IF(3=1,0,$B$14)</f>
        <v/>
      </c>
      <c r="DD93" s="9">
        <f>-($B$14+(IF(3&lt;=$B$6,$B$13*$B$15+$B$12,IF(3&lt;=$B$6+$B$7,$B$13*$B$15,$B$13)))/DB93)</f>
        <v/>
      </c>
      <c r="DE93" s="9">
        <f>IF(3=$B$6+$B$7,0,IF(3&gt;$B$6+$B$7,$B$13/DB94,IF(3&gt;=$B$6,$B$13*$B$15/DB94,($B$13*$B$15+$B$12)/DB94)))</f>
        <v/>
      </c>
      <c r="DF93" s="9">
        <f>IF(3=$B$6,-$K$20*$B$12,0)</f>
        <v/>
      </c>
      <c r="DG93" s="9">
        <f>DE93/(DD93-DC93*DG92)</f>
        <v/>
      </c>
      <c r="DH93" s="9">
        <f>(DF93-DC93*DH92)/(DD93-DC93*DG92)</f>
        <v/>
      </c>
      <c r="DI93" s="16">
        <f>DH93-DG93*DI94</f>
        <v/>
      </c>
      <c r="DJ93" s="9">
        <f>IF(3&gt;$B$6+$B$7,$G$21*$B$11^$H$21,$E$21*$B$9^$F$21)</f>
        <v/>
      </c>
      <c r="DK93" s="9">
        <f>IF(3=1,0,$B$14)</f>
        <v/>
      </c>
      <c r="DL93" s="9">
        <f>-($B$14+(IF(3&lt;=$B$6,$B$13*$B$15+$B$12,IF(3&lt;=$B$6+$B$7,$B$13*$B$15,$B$13)))/DJ93)</f>
        <v/>
      </c>
      <c r="DM93" s="9">
        <f>IF(3=$B$6+$B$7,0,IF(3&gt;$B$6+$B$7,$B$13/DJ94,IF(3&gt;=$B$6,$B$13*$B$15/DJ94,($B$13*$B$15+$B$12)/DJ94)))</f>
        <v/>
      </c>
      <c r="DN93" s="9">
        <f>IF(3=$B$6,-$K$21*$B$12,0)</f>
        <v/>
      </c>
      <c r="DO93" s="9">
        <f>DM93/(DL93-DK93*DO92)</f>
        <v/>
      </c>
      <c r="DP93" s="9">
        <f>(DN93-DK93*DP92)/(DL93-DK93*DO92)</f>
        <v/>
      </c>
      <c r="DQ93" s="16">
        <f>DP93-DO93*DQ94</f>
        <v/>
      </c>
      <c r="DR93" s="9">
        <f>IF(3&gt;$B$6+$B$7,$G$22*$B$11^$H$22,$E$22*$B$9^$F$22)</f>
        <v/>
      </c>
      <c r="DS93" s="9">
        <f>IF(3=1,0,$B$14)</f>
        <v/>
      </c>
      <c r="DT93" s="9">
        <f>-($B$14+(IF(3&lt;=$B$6,$B$13*$B$15+$B$12,IF(3&lt;=$B$6+$B$7,$B$13*$B$15,$B$13)))/DR93)</f>
        <v/>
      </c>
      <c r="DU93" s="9">
        <f>IF(3=$B$6+$B$7,0,IF(3&gt;$B$6+$B$7,$B$13/DR94,IF(3&gt;=$B$6,$B$13*$B$15/DR94,($B$13*$B$15+$B$12)/DR94)))</f>
        <v/>
      </c>
      <c r="DV93" s="9">
        <f>IF(3=$B$6,-$K$22*$B$12,0)</f>
        <v/>
      </c>
      <c r="DW93" s="9">
        <f>DU93/(DT93-DS93*DW92)</f>
        <v/>
      </c>
      <c r="DX93" s="9">
        <f>(DV93-DS93*DX92)/(DT93-DS93*DW92)</f>
        <v/>
      </c>
      <c r="DY93" s="16">
        <f>DX93-DW93*DY94</f>
        <v/>
      </c>
      <c r="DZ93" s="9">
        <f>IF(3&gt;$B$6+$B$7,$G$23*$B$11^$H$23,$E$23*$B$9^$F$23)</f>
        <v/>
      </c>
      <c r="EA93" s="9">
        <f>IF(3=1,0,$B$14)</f>
        <v/>
      </c>
      <c r="EB93" s="9">
        <f>-($B$14+(IF(3&lt;=$B$6,$B$13*$B$15+$B$12,IF(3&lt;=$B$6+$B$7,$B$13*$B$15,$B$13)))/DZ93)</f>
        <v/>
      </c>
      <c r="EC93" s="9">
        <f>IF(3=$B$6+$B$7,0,IF(3&gt;$B$6+$B$7,$B$13/DZ94,IF(3&gt;=$B$6,$B$13*$B$15/DZ94,($B$13*$B$15+$B$12)/DZ94)))</f>
        <v/>
      </c>
      <c r="ED93" s="9">
        <f>IF(3=$B$6,-$K$23*$B$12,0)</f>
        <v/>
      </c>
      <c r="EE93" s="9">
        <f>EC93/(EB93-EA93*EE92)</f>
        <v/>
      </c>
      <c r="EF93" s="9">
        <f>(ED93-EA93*EF92)/(EB93-EA93*EE92)</f>
        <v/>
      </c>
      <c r="EG93" s="16">
        <f>EF93-EE93*EG94</f>
        <v/>
      </c>
      <c r="EH93" s="9">
        <f>IF(3&gt;$B$6+$B$7,$G$24*$B$11^$H$24,$E$24*$B$9^$F$24)</f>
        <v/>
      </c>
      <c r="EI93" s="9">
        <f>IF(3=1,0,$B$14)</f>
        <v/>
      </c>
      <c r="EJ93" s="9">
        <f>-($B$14+(IF(3&lt;=$B$6,$B$13*$B$15+$B$12,IF(3&lt;=$B$6+$B$7,$B$13*$B$15,$B$13)))/EH93)</f>
        <v/>
      </c>
      <c r="EK93" s="9">
        <f>IF(3=$B$6+$B$7,0,IF(3&gt;$B$6+$B$7,$B$13/EH94,IF(3&gt;=$B$6,$B$13*$B$15/EH94,($B$13*$B$15+$B$12)/EH94)))</f>
        <v/>
      </c>
      <c r="EL93" s="9">
        <f>IF(3=$B$6,-$K$24*$B$12,0)</f>
        <v/>
      </c>
      <c r="EM93" s="9">
        <f>EK93/(EJ93-EI93*EM92)</f>
        <v/>
      </c>
      <c r="EN93" s="9">
        <f>(EL93-EI93*EN92)/(EJ93-EI93*EM92)</f>
        <v/>
      </c>
      <c r="EO93" s="16">
        <f>EN93-EM93*EO94</f>
        <v/>
      </c>
      <c r="EP93" s="9">
        <f>IF(3&gt;$B$6+$B$7,$G$25*$B$11^$H$25,$E$25*$B$9^$F$25)</f>
        <v/>
      </c>
      <c r="EQ93" s="9">
        <f>IF(3=1,0,$B$14)</f>
        <v/>
      </c>
      <c r="ER93" s="9">
        <f>-($B$14+(IF(3&lt;=$B$6,$B$13*$B$15+$B$12,IF(3&lt;=$B$6+$B$7,$B$13*$B$15,$B$13)))/EP93)</f>
        <v/>
      </c>
      <c r="ES93" s="9">
        <f>IF(3=$B$6+$B$7,0,IF(3&gt;$B$6+$B$7,$B$13/EP94,IF(3&gt;=$B$6,$B$13*$B$15/EP94,($B$13*$B$15+$B$12)/EP94)))</f>
        <v/>
      </c>
      <c r="ET93" s="9">
        <f>IF(3=$B$6,-$K$25*$B$12,0)</f>
        <v/>
      </c>
      <c r="EU93" s="9">
        <f>ES93/(ER93-EQ93*EU92)</f>
        <v/>
      </c>
      <c r="EV93" s="9">
        <f>(ET93-EQ93*EV92)/(ER93-EQ93*EU92)</f>
        <v/>
      </c>
      <c r="EW93" s="16">
        <f>EV93-EU93*EW94</f>
        <v/>
      </c>
      <c r="EX93" s="9">
        <f>IF(3&gt;$B$6+$B$7,$G$26*$B$11^$H$26,$E$26*$B$9^$F$26)</f>
        <v/>
      </c>
      <c r="EY93" s="9">
        <f>IF(3=1,0,$B$14)</f>
        <v/>
      </c>
      <c r="EZ93" s="9">
        <f>-($B$14+(IF(3&lt;=$B$6,$B$13*$B$15+$B$12,IF(3&lt;=$B$6+$B$7,$B$13*$B$15,$B$13)))/EX93)</f>
        <v/>
      </c>
      <c r="FA93" s="9">
        <f>IF(3=$B$6+$B$7,0,IF(3&gt;$B$6+$B$7,$B$13/EX94,IF(3&gt;=$B$6,$B$13*$B$15/EX94,($B$13*$B$15+$B$12)/EX94)))</f>
        <v/>
      </c>
      <c r="FB93" s="9">
        <f>IF(3=$B$6,-$K$26*$B$12,0)</f>
        <v/>
      </c>
      <c r="FC93" s="9">
        <f>FA93/(EZ93-EY93*FC92)</f>
        <v/>
      </c>
      <c r="FD93" s="9">
        <f>(FB93-EY93*FD92)/(EZ93-EY93*FC92)</f>
        <v/>
      </c>
      <c r="FE93" s="16">
        <f>FD93-FC93*FE94</f>
        <v/>
      </c>
      <c r="FF93" s="9">
        <f>IF(3&gt;$B$6+$B$7,$G$27*$B$11^$H$27,$E$27*$B$9^$F$27)</f>
        <v/>
      </c>
      <c r="FG93" s="9">
        <f>IF(3=1,0,$B$14)</f>
        <v/>
      </c>
      <c r="FH93" s="9">
        <f>-($B$14+(IF(3&lt;=$B$6,$B$13*$B$15+$B$12,IF(3&lt;=$B$6+$B$7,$B$13*$B$15,$B$13)))/FF93)</f>
        <v/>
      </c>
      <c r="FI93" s="9">
        <f>IF(3=$B$6+$B$7,0,IF(3&gt;$B$6+$B$7,$B$13/FF94,IF(3&gt;=$B$6,$B$13*$B$15/FF94,($B$13*$B$15+$B$12)/FF94)))</f>
        <v/>
      </c>
      <c r="FJ93" s="9">
        <f>IF(3=$B$6,-$K$27*$B$12,0)</f>
        <v/>
      </c>
      <c r="FK93" s="9">
        <f>FI93/(FH93-FG93*FK92)</f>
        <v/>
      </c>
      <c r="FL93" s="9">
        <f>(FJ93-FG93*FL92)/(FH93-FG93*FK92)</f>
        <v/>
      </c>
      <c r="FM93" s="16">
        <f>FL93-FK93*FM94</f>
        <v/>
      </c>
      <c r="FN93" s="9">
        <f>IF(3&gt;$B$6+$B$7,$G$28*$B$11^$H$28,$E$28*$B$9^$F$28)</f>
        <v/>
      </c>
      <c r="FO93" s="9">
        <f>IF(3=1,0,$B$14)</f>
        <v/>
      </c>
      <c r="FP93" s="9">
        <f>-($B$14+(IF(3&lt;=$B$6,$B$13*$B$15+$B$12,IF(3&lt;=$B$6+$B$7,$B$13*$B$15,$B$13)))/FN93)</f>
        <v/>
      </c>
      <c r="FQ93" s="9">
        <f>IF(3=$B$6+$B$7,0,IF(3&gt;$B$6+$B$7,$B$13/FN94,IF(3&gt;=$B$6,$B$13*$B$15/FN94,($B$13*$B$15+$B$12)/FN94)))</f>
        <v/>
      </c>
      <c r="FR93" s="9">
        <f>IF(3=$B$6,-$K$28*$B$12,0)</f>
        <v/>
      </c>
      <c r="FS93" s="9">
        <f>FQ93/(FP93-FO93*FS92)</f>
        <v/>
      </c>
      <c r="FT93" s="9">
        <f>(FR93-FO93*FT92)/(FP93-FO93*FS92)</f>
        <v/>
      </c>
      <c r="FU93" s="16">
        <f>FT93-FS93*FU94</f>
        <v/>
      </c>
      <c r="FV93" s="9">
        <f>IF(3&gt;$B$6+$B$7,$G$29*$B$11^$H$29,$E$29*$B$9^$F$29)</f>
        <v/>
      </c>
      <c r="FW93" s="9">
        <f>IF(3=1,0,$B$14)</f>
        <v/>
      </c>
      <c r="FX93" s="9">
        <f>-($B$14+(IF(3&lt;=$B$6,$B$13*$B$15+$B$12,IF(3&lt;=$B$6+$B$7,$B$13*$B$15,$B$13)))/FV93)</f>
        <v/>
      </c>
      <c r="FY93" s="9">
        <f>IF(3=$B$6+$B$7,0,IF(3&gt;$B$6+$B$7,$B$13/FV94,IF(3&gt;=$B$6,$B$13*$B$15/FV94,($B$13*$B$15+$B$12)/FV94)))</f>
        <v/>
      </c>
      <c r="FZ93" s="9">
        <f>IF(3=$B$6,-$K$29*$B$12,0)</f>
        <v/>
      </c>
      <c r="GA93" s="9">
        <f>FY93/(FX93-FW93*GA92)</f>
        <v/>
      </c>
      <c r="GB93" s="9">
        <f>(FZ93-FW93*GB92)/(FX93-FW93*GA92)</f>
        <v/>
      </c>
      <c r="GC93" s="16">
        <f>GB93-GA93*GC94</f>
        <v/>
      </c>
      <c r="GD93" s="9">
        <f>IF(3&gt;$B$6+$B$7,$G$30*$B$11^$H$30,$E$30*$B$9^$F$30)</f>
        <v/>
      </c>
      <c r="GE93" s="9">
        <f>IF(3=1,0,$B$14)</f>
        <v/>
      </c>
      <c r="GF93" s="9">
        <f>-($B$14+(IF(3&lt;=$B$6,$B$13*$B$15+$B$12,IF(3&lt;=$B$6+$B$7,$B$13*$B$15,$B$13)))/GD93)</f>
        <v/>
      </c>
      <c r="GG93" s="9">
        <f>IF(3=$B$6+$B$7,0,IF(3&gt;$B$6+$B$7,$B$13/GD94,IF(3&gt;=$B$6,$B$13*$B$15/GD94,($B$13*$B$15+$B$12)/GD94)))</f>
        <v/>
      </c>
      <c r="GH93" s="9">
        <f>IF(3=$B$6,-$K$30*$B$12,0)</f>
        <v/>
      </c>
      <c r="GI93" s="9">
        <f>GG93/(GF93-GE93*GI92)</f>
        <v/>
      </c>
      <c r="GJ93" s="9">
        <f>(GH93-GE93*GJ92)/(GF93-GE93*GI92)</f>
        <v/>
      </c>
      <c r="GK93" s="16">
        <f>GJ93-GI93*GK94</f>
        <v/>
      </c>
      <c r="GL93" s="9">
        <f>IF(3&gt;$B$6+$B$7,$G$31*$B$11^$H$31,$E$31*$B$9^$F$31)</f>
        <v/>
      </c>
      <c r="GM93" s="9">
        <f>IF(3=1,0,$B$14)</f>
        <v/>
      </c>
      <c r="GN93" s="9">
        <f>-($B$14+(IF(3&lt;=$B$6,$B$13*$B$15+$B$12,IF(3&lt;=$B$6+$B$7,$B$13*$B$15,$B$13)))/GL93)</f>
        <v/>
      </c>
      <c r="GO93" s="9">
        <f>IF(3=$B$6+$B$7,0,IF(3&gt;$B$6+$B$7,$B$13/GL94,IF(3&gt;=$B$6,$B$13*$B$15/GL94,($B$13*$B$15+$B$12)/GL94)))</f>
        <v/>
      </c>
      <c r="GP93" s="9">
        <f>IF(3=$B$6,-$K$31*$B$12,0)</f>
        <v/>
      </c>
      <c r="GQ93" s="9">
        <f>GO93/(GN93-GM93*GQ92)</f>
        <v/>
      </c>
      <c r="GR93" s="9">
        <f>(GP93-GM93*GR92)/(GN93-GM93*GQ92)</f>
        <v/>
      </c>
      <c r="GS93" s="16">
        <f>GR93-GQ93*GS94</f>
        <v/>
      </c>
      <c r="GT93" s="9">
        <f>IF(3&gt;$B$6+$B$7,$G$32*$B$11^$H$32,$E$32*$B$9^$F$32)</f>
        <v/>
      </c>
      <c r="GU93" s="9">
        <f>IF(3=1,0,$B$14)</f>
        <v/>
      </c>
      <c r="GV93" s="9">
        <f>-($B$14+(IF(3&lt;=$B$6,$B$13*$B$15+$B$12,IF(3&lt;=$B$6+$B$7,$B$13*$B$15,$B$13)))/GT93)</f>
        <v/>
      </c>
      <c r="GW93" s="9">
        <f>IF(3=$B$6+$B$7,0,IF(3&gt;$B$6+$B$7,$B$13/GT94,IF(3&gt;=$B$6,$B$13*$B$15/GT94,($B$13*$B$15+$B$12)/GT94)))</f>
        <v/>
      </c>
      <c r="GX93" s="9">
        <f>IF(3=$B$6,-$K$32*$B$12,0)</f>
        <v/>
      </c>
      <c r="GY93" s="9">
        <f>GW93/(GV93-GU93*GY92)</f>
        <v/>
      </c>
      <c r="GZ93" s="9">
        <f>(GX93-GU93*GZ92)/(GV93-GU93*GY92)</f>
        <v/>
      </c>
      <c r="HA93" s="16">
        <f>GZ93-GY93*HA94</f>
        <v/>
      </c>
      <c r="HB93" s="12">
        <f>IFERROR(I93/B93,0)</f>
        <v/>
      </c>
      <c r="HC93" s="12">
        <f>IFERROR(Q93/J93,0)</f>
        <v/>
      </c>
      <c r="HD93" s="12">
        <f>IFERROR(Y93/R93,0)</f>
        <v/>
      </c>
      <c r="HE93" s="12">
        <f>IFERROR(AG93/Z93,0)</f>
        <v/>
      </c>
      <c r="HF93" s="12">
        <f>IFERROR(AO93/AH93,0)</f>
        <v/>
      </c>
      <c r="HG93" s="12">
        <f>IFERROR(AW93/AP93,0)</f>
        <v/>
      </c>
      <c r="HH93" s="12">
        <f>IFERROR(BE93/AX93,0)</f>
        <v/>
      </c>
      <c r="HI93" s="12">
        <f>IFERROR(BM93/BF93,0)</f>
        <v/>
      </c>
      <c r="HJ93" s="12">
        <f>IFERROR(BU93/BN93,0)</f>
        <v/>
      </c>
      <c r="HK93" s="12">
        <f>IFERROR(CC93/BV93,0)</f>
        <v/>
      </c>
      <c r="HL93" s="12">
        <f>IFERROR(CK93/CD93,0)</f>
        <v/>
      </c>
      <c r="HM93" s="12">
        <f>IFERROR(CS93/CL93,0)</f>
        <v/>
      </c>
      <c r="HN93" s="12">
        <f>IFERROR(DA93/CT93,0)</f>
        <v/>
      </c>
      <c r="HO93" s="12">
        <f>IFERROR(DI93/DB93,0)</f>
        <v/>
      </c>
      <c r="HP93" s="12">
        <f>IFERROR(DQ93/DJ93,0)</f>
        <v/>
      </c>
      <c r="HQ93" s="12">
        <f>IFERROR(DY93/DR93,0)</f>
        <v/>
      </c>
      <c r="HR93" s="12">
        <f>IFERROR(EG93/DZ93,0)</f>
        <v/>
      </c>
      <c r="HS93" s="12">
        <f>IFERROR(EO93/EH93,0)</f>
        <v/>
      </c>
      <c r="HT93" s="12">
        <f>IFERROR(EW93/EP93,0)</f>
        <v/>
      </c>
      <c r="HU93" s="12">
        <f>IFERROR(FE93/EX93,0)</f>
        <v/>
      </c>
      <c r="HV93" s="12">
        <f>IFERROR(FM93/FF93,0)</f>
        <v/>
      </c>
      <c r="HW93" s="12">
        <f>IFERROR(FU93/FN93,0)</f>
        <v/>
      </c>
      <c r="HX93" s="12">
        <f>IFERROR(GC93/FV93,0)</f>
        <v/>
      </c>
      <c r="HY93" s="12">
        <f>IFERROR(GK93/GD93,0)</f>
        <v/>
      </c>
      <c r="HZ93" s="12">
        <f>IFERROR(GS93/GL93,0)</f>
        <v/>
      </c>
      <c r="IA93" s="12">
        <f>IFERROR(HA93/GT93,0)</f>
        <v/>
      </c>
      <c r="IB93" s="12">
        <f>I93+Q93+Y93+AG93+AO93+AW93+BE93+BM93+BU93+CC93+CK93+CS93+DA93+DI93+DQ93+DY93+EG93+EO93+EW93+FE93+FM93+FU93+GC93+GK93+GS93+HA93</f>
        <v/>
      </c>
      <c r="IC93" s="12">
        <f>HB93+HC93+HD93+HE93+HF93+HG93+HH93+HI93+HJ93+HK93+HL93+HM93+HN93+HO93+HP93+HQ93+HR93+HS93+HT93+HU93+HV93+HW93+HX93+HY93+HZ93+IA93</f>
        <v/>
      </c>
    </row>
    <row r="94" ht="14" customHeight="1">
      <c r="A94" s="28" t="n">
        <v>4</v>
      </c>
      <c r="B94" s="9">
        <f>IF(4&gt;$B$6+$B$7,$G$7*$B$11^$H$7,$E$7*$B$9^$F$7)</f>
        <v/>
      </c>
      <c r="C94" s="9">
        <f>IF(4=1,0,$B$14)</f>
        <v/>
      </c>
      <c r="D94" s="9">
        <f>-($B$14+(IF(4&lt;=$B$6,$B$13*$B$15+$B$12,IF(4&lt;=$B$6+$B$7,$B$13*$B$15,$B$13)))/B94)</f>
        <v/>
      </c>
      <c r="E94" s="9">
        <f>IF(4=$B$6+$B$7,0,IF(4&gt;$B$6+$B$7,$B$13/B95,IF(4&gt;=$B$6,$B$13*$B$15/B95,($B$13*$B$15+$B$12)/B95)))</f>
        <v/>
      </c>
      <c r="F94" s="9">
        <f>IF(4=$B$6,-$K$7*$B$12,0)</f>
        <v/>
      </c>
      <c r="G94" s="9">
        <f>E94/(D94-C94*G93)</f>
        <v/>
      </c>
      <c r="H94" s="9">
        <f>(F94-C94*H93)/(D94-C94*G93)</f>
        <v/>
      </c>
      <c r="I94" s="16">
        <f>H94-G94*I95</f>
        <v/>
      </c>
      <c r="J94" s="9">
        <f>IF(4&gt;$B$6+$B$7,$G$8*$B$11^$H$8,$E$8*$B$9^$F$8)</f>
        <v/>
      </c>
      <c r="K94" s="9">
        <f>IF(4=1,0,$B$14)</f>
        <v/>
      </c>
      <c r="L94" s="9">
        <f>-($B$14+(IF(4&lt;=$B$6,$B$13*$B$15+$B$12,IF(4&lt;=$B$6+$B$7,$B$13*$B$15,$B$13)))/J94)</f>
        <v/>
      </c>
      <c r="M94" s="9">
        <f>IF(4=$B$6+$B$7,0,IF(4&gt;$B$6+$B$7,$B$13/J95,IF(4&gt;=$B$6,$B$13*$B$15/J95,($B$13*$B$15+$B$12)/J95)))</f>
        <v/>
      </c>
      <c r="N94" s="9">
        <f>IF(4=$B$6,-$K$8*$B$12,0)</f>
        <v/>
      </c>
      <c r="O94" s="9">
        <f>M94/(L94-K94*O93)</f>
        <v/>
      </c>
      <c r="P94" s="9">
        <f>(N94-K94*P93)/(L94-K94*O93)</f>
        <v/>
      </c>
      <c r="Q94" s="16">
        <f>P94-O94*Q95</f>
        <v/>
      </c>
      <c r="R94" s="9">
        <f>IF(4&gt;$B$6+$B$7,$G$9*$B$11^$H$9,$E$9*$B$9^$F$9)</f>
        <v/>
      </c>
      <c r="S94" s="9">
        <f>IF(4=1,0,$B$14)</f>
        <v/>
      </c>
      <c r="T94" s="9">
        <f>-($B$14+(IF(4&lt;=$B$6,$B$13*$B$15+$B$12,IF(4&lt;=$B$6+$B$7,$B$13*$B$15,$B$13)))/R94)</f>
        <v/>
      </c>
      <c r="U94" s="9">
        <f>IF(4=$B$6+$B$7,0,IF(4&gt;$B$6+$B$7,$B$13/R95,IF(4&gt;=$B$6,$B$13*$B$15/R95,($B$13*$B$15+$B$12)/R95)))</f>
        <v/>
      </c>
      <c r="V94" s="9">
        <f>IF(4=$B$6,-$K$9*$B$12,0)</f>
        <v/>
      </c>
      <c r="W94" s="9">
        <f>U94/(T94-S94*W93)</f>
        <v/>
      </c>
      <c r="X94" s="9">
        <f>(V94-S94*X93)/(T94-S94*W93)</f>
        <v/>
      </c>
      <c r="Y94" s="16">
        <f>X94-W94*Y95</f>
        <v/>
      </c>
      <c r="Z94" s="9">
        <f>IF(4&gt;$B$6+$B$7,$G$10*$B$11^$H$10,$E$10*$B$9^$F$10)</f>
        <v/>
      </c>
      <c r="AA94" s="9">
        <f>IF(4=1,0,$B$14)</f>
        <v/>
      </c>
      <c r="AB94" s="9">
        <f>-($B$14+(IF(4&lt;=$B$6,$B$13*$B$15+$B$12,IF(4&lt;=$B$6+$B$7,$B$13*$B$15,$B$13)))/Z94)</f>
        <v/>
      </c>
      <c r="AC94" s="9">
        <f>IF(4=$B$6+$B$7,0,IF(4&gt;$B$6+$B$7,$B$13/Z95,IF(4&gt;=$B$6,$B$13*$B$15/Z95,($B$13*$B$15+$B$12)/Z95)))</f>
        <v/>
      </c>
      <c r="AD94" s="9">
        <f>IF(4=$B$6,-$K$10*$B$12,0)</f>
        <v/>
      </c>
      <c r="AE94" s="9">
        <f>AC94/(AB94-AA94*AE93)</f>
        <v/>
      </c>
      <c r="AF94" s="9">
        <f>(AD94-AA94*AF93)/(AB94-AA94*AE93)</f>
        <v/>
      </c>
      <c r="AG94" s="16">
        <f>AF94-AE94*AG95</f>
        <v/>
      </c>
      <c r="AH94" s="9">
        <f>IF(4&gt;$B$6+$B$7,$G$11*$B$11^$H$11,$E$11*$B$9^$F$11)</f>
        <v/>
      </c>
      <c r="AI94" s="9">
        <f>IF(4=1,0,$B$14)</f>
        <v/>
      </c>
      <c r="AJ94" s="9">
        <f>-($B$14+(IF(4&lt;=$B$6,$B$13*$B$15+$B$12,IF(4&lt;=$B$6+$B$7,$B$13*$B$15,$B$13)))/AH94)</f>
        <v/>
      </c>
      <c r="AK94" s="9">
        <f>IF(4=$B$6+$B$7,0,IF(4&gt;$B$6+$B$7,$B$13/AH95,IF(4&gt;=$B$6,$B$13*$B$15/AH95,($B$13*$B$15+$B$12)/AH95)))</f>
        <v/>
      </c>
      <c r="AL94" s="9">
        <f>IF(4=$B$6,-$K$11*$B$12,0)</f>
        <v/>
      </c>
      <c r="AM94" s="9">
        <f>AK94/(AJ94-AI94*AM93)</f>
        <v/>
      </c>
      <c r="AN94" s="9">
        <f>(AL94-AI94*AN93)/(AJ94-AI94*AM93)</f>
        <v/>
      </c>
      <c r="AO94" s="16">
        <f>AN94-AM94*AO95</f>
        <v/>
      </c>
      <c r="AP94" s="9">
        <f>IF(4&gt;$B$6+$B$7,$G$12*$B$11^$H$12,$E$12*$B$9^$F$12)</f>
        <v/>
      </c>
      <c r="AQ94" s="9">
        <f>IF(4=1,0,$B$14)</f>
        <v/>
      </c>
      <c r="AR94" s="9">
        <f>-($B$14+(IF(4&lt;=$B$6,$B$13*$B$15+$B$12,IF(4&lt;=$B$6+$B$7,$B$13*$B$15,$B$13)))/AP94)</f>
        <v/>
      </c>
      <c r="AS94" s="9">
        <f>IF(4=$B$6+$B$7,0,IF(4&gt;$B$6+$B$7,$B$13/AP95,IF(4&gt;=$B$6,$B$13*$B$15/AP95,($B$13*$B$15+$B$12)/AP95)))</f>
        <v/>
      </c>
      <c r="AT94" s="9">
        <f>IF(4=$B$6,-$K$12*$B$12,0)</f>
        <v/>
      </c>
      <c r="AU94" s="9">
        <f>AS94/(AR94-AQ94*AU93)</f>
        <v/>
      </c>
      <c r="AV94" s="9">
        <f>(AT94-AQ94*AV93)/(AR94-AQ94*AU93)</f>
        <v/>
      </c>
      <c r="AW94" s="16">
        <f>AV94-AU94*AW95</f>
        <v/>
      </c>
      <c r="AX94" s="9">
        <f>IF(4&gt;$B$6+$B$7,$G$13*$B$11^$H$13,$E$13*$B$9^$F$13)</f>
        <v/>
      </c>
      <c r="AY94" s="9">
        <f>IF(4=1,0,$B$14)</f>
        <v/>
      </c>
      <c r="AZ94" s="9">
        <f>-($B$14+(IF(4&lt;=$B$6,$B$13*$B$15+$B$12,IF(4&lt;=$B$6+$B$7,$B$13*$B$15,$B$13)))/AX94)</f>
        <v/>
      </c>
      <c r="BA94" s="9">
        <f>IF(4=$B$6+$B$7,0,IF(4&gt;$B$6+$B$7,$B$13/AX95,IF(4&gt;=$B$6,$B$13*$B$15/AX95,($B$13*$B$15+$B$12)/AX95)))</f>
        <v/>
      </c>
      <c r="BB94" s="9">
        <f>IF(4=$B$6,-$K$13*$B$12,0)</f>
        <v/>
      </c>
      <c r="BC94" s="9">
        <f>BA94/(AZ94-AY94*BC93)</f>
        <v/>
      </c>
      <c r="BD94" s="9">
        <f>(BB94-AY94*BD93)/(AZ94-AY94*BC93)</f>
        <v/>
      </c>
      <c r="BE94" s="16">
        <f>BD94-BC94*BE95</f>
        <v/>
      </c>
      <c r="BF94" s="9">
        <f>IF(4&gt;$B$6+$B$7,$G$14*$B$11^$H$14,$E$14*$B$9^$F$14)</f>
        <v/>
      </c>
      <c r="BG94" s="9">
        <f>IF(4=1,0,$B$14)</f>
        <v/>
      </c>
      <c r="BH94" s="9">
        <f>-($B$14+(IF(4&lt;=$B$6,$B$13*$B$15+$B$12,IF(4&lt;=$B$6+$B$7,$B$13*$B$15,$B$13)))/BF94)</f>
        <v/>
      </c>
      <c r="BI94" s="9">
        <f>IF(4=$B$6+$B$7,0,IF(4&gt;$B$6+$B$7,$B$13/BF95,IF(4&gt;=$B$6,$B$13*$B$15/BF95,($B$13*$B$15+$B$12)/BF95)))</f>
        <v/>
      </c>
      <c r="BJ94" s="9">
        <f>IF(4=$B$6,-$K$14*$B$12,0)</f>
        <v/>
      </c>
      <c r="BK94" s="9">
        <f>BI94/(BH94-BG94*BK93)</f>
        <v/>
      </c>
      <c r="BL94" s="9">
        <f>(BJ94-BG94*BL93)/(BH94-BG94*BK93)</f>
        <v/>
      </c>
      <c r="BM94" s="16">
        <f>BL94-BK94*BM95</f>
        <v/>
      </c>
      <c r="BN94" s="9">
        <f>IF(4&gt;$B$6+$B$7,$G$15*$B$11^$H$15,$E$15*$B$9^$F$15)</f>
        <v/>
      </c>
      <c r="BO94" s="9">
        <f>IF(4=1,0,$B$14)</f>
        <v/>
      </c>
      <c r="BP94" s="9">
        <f>-($B$14+(IF(4&lt;=$B$6,$B$13*$B$15+$B$12,IF(4&lt;=$B$6+$B$7,$B$13*$B$15,$B$13)))/BN94)</f>
        <v/>
      </c>
      <c r="BQ94" s="9">
        <f>IF(4=$B$6+$B$7,0,IF(4&gt;$B$6+$B$7,$B$13/BN95,IF(4&gt;=$B$6,$B$13*$B$15/BN95,($B$13*$B$15+$B$12)/BN95)))</f>
        <v/>
      </c>
      <c r="BR94" s="9">
        <f>IF(4=$B$6,-$K$15*$B$12,0)</f>
        <v/>
      </c>
      <c r="BS94" s="9">
        <f>BQ94/(BP94-BO94*BS93)</f>
        <v/>
      </c>
      <c r="BT94" s="9">
        <f>(BR94-BO94*BT93)/(BP94-BO94*BS93)</f>
        <v/>
      </c>
      <c r="BU94" s="16">
        <f>BT94-BS94*BU95</f>
        <v/>
      </c>
      <c r="BV94" s="9">
        <f>IF(4&gt;$B$6+$B$7,$G$16*$B$11^$H$16,$E$16*$B$9^$F$16)</f>
        <v/>
      </c>
      <c r="BW94" s="9">
        <f>IF(4=1,0,$B$14)</f>
        <v/>
      </c>
      <c r="BX94" s="9">
        <f>-($B$14+(IF(4&lt;=$B$6,$B$13*$B$15+$B$12,IF(4&lt;=$B$6+$B$7,$B$13*$B$15,$B$13)))/BV94)</f>
        <v/>
      </c>
      <c r="BY94" s="9">
        <f>IF(4=$B$6+$B$7,0,IF(4&gt;$B$6+$B$7,$B$13/BV95,IF(4&gt;=$B$6,$B$13*$B$15/BV95,($B$13*$B$15+$B$12)/BV95)))</f>
        <v/>
      </c>
      <c r="BZ94" s="9">
        <f>IF(4=$B$6,-$K$16*$B$12,0)</f>
        <v/>
      </c>
      <c r="CA94" s="9">
        <f>BY94/(BX94-BW94*CA93)</f>
        <v/>
      </c>
      <c r="CB94" s="9">
        <f>(BZ94-BW94*CB93)/(BX94-BW94*CA93)</f>
        <v/>
      </c>
      <c r="CC94" s="16">
        <f>CB94-CA94*CC95</f>
        <v/>
      </c>
      <c r="CD94" s="9">
        <f>IF(4&gt;$B$6+$B$7,$G$17*$B$11^$H$17,$E$17*$B$9^$F$17)</f>
        <v/>
      </c>
      <c r="CE94" s="9">
        <f>IF(4=1,0,$B$14)</f>
        <v/>
      </c>
      <c r="CF94" s="9">
        <f>-($B$14+(IF(4&lt;=$B$6,$B$13*$B$15+$B$12,IF(4&lt;=$B$6+$B$7,$B$13*$B$15,$B$13)))/CD94)</f>
        <v/>
      </c>
      <c r="CG94" s="9">
        <f>IF(4=$B$6+$B$7,0,IF(4&gt;$B$6+$B$7,$B$13/CD95,IF(4&gt;=$B$6,$B$13*$B$15/CD95,($B$13*$B$15+$B$12)/CD95)))</f>
        <v/>
      </c>
      <c r="CH94" s="9">
        <f>IF(4=$B$6,-$K$17*$B$12,0)</f>
        <v/>
      </c>
      <c r="CI94" s="9">
        <f>CG94/(CF94-CE94*CI93)</f>
        <v/>
      </c>
      <c r="CJ94" s="9">
        <f>(CH94-CE94*CJ93)/(CF94-CE94*CI93)</f>
        <v/>
      </c>
      <c r="CK94" s="16">
        <f>CJ94-CI94*CK95</f>
        <v/>
      </c>
      <c r="CL94" s="9">
        <f>IF(4&gt;$B$6+$B$7,$G$18*$B$11^$H$18,$E$18*$B$9^$F$18)</f>
        <v/>
      </c>
      <c r="CM94" s="9">
        <f>IF(4=1,0,$B$14)</f>
        <v/>
      </c>
      <c r="CN94" s="9">
        <f>-($B$14+(IF(4&lt;=$B$6,$B$13*$B$15+$B$12,IF(4&lt;=$B$6+$B$7,$B$13*$B$15,$B$13)))/CL94)</f>
        <v/>
      </c>
      <c r="CO94" s="9">
        <f>IF(4=$B$6+$B$7,0,IF(4&gt;$B$6+$B$7,$B$13/CL95,IF(4&gt;=$B$6,$B$13*$B$15/CL95,($B$13*$B$15+$B$12)/CL95)))</f>
        <v/>
      </c>
      <c r="CP94" s="9">
        <f>IF(4=$B$6,-$K$18*$B$12,0)</f>
        <v/>
      </c>
      <c r="CQ94" s="9">
        <f>CO94/(CN94-CM94*CQ93)</f>
        <v/>
      </c>
      <c r="CR94" s="9">
        <f>(CP94-CM94*CR93)/(CN94-CM94*CQ93)</f>
        <v/>
      </c>
      <c r="CS94" s="16">
        <f>CR94-CQ94*CS95</f>
        <v/>
      </c>
      <c r="CT94" s="9">
        <f>IF(4&gt;$B$6+$B$7,$G$19*$B$11^$H$19,$E$19*$B$9^$F$19)</f>
        <v/>
      </c>
      <c r="CU94" s="9">
        <f>IF(4=1,0,$B$14)</f>
        <v/>
      </c>
      <c r="CV94" s="9">
        <f>-($B$14+(IF(4&lt;=$B$6,$B$13*$B$15+$B$12,IF(4&lt;=$B$6+$B$7,$B$13*$B$15,$B$13)))/CT94)</f>
        <v/>
      </c>
      <c r="CW94" s="9">
        <f>IF(4=$B$6+$B$7,0,IF(4&gt;$B$6+$B$7,$B$13/CT95,IF(4&gt;=$B$6,$B$13*$B$15/CT95,($B$13*$B$15+$B$12)/CT95)))</f>
        <v/>
      </c>
      <c r="CX94" s="9">
        <f>IF(4=$B$6,-$K$19*$B$12,0)</f>
        <v/>
      </c>
      <c r="CY94" s="9">
        <f>CW94/(CV94-CU94*CY93)</f>
        <v/>
      </c>
      <c r="CZ94" s="9">
        <f>(CX94-CU94*CZ93)/(CV94-CU94*CY93)</f>
        <v/>
      </c>
      <c r="DA94" s="16">
        <f>CZ94-CY94*DA95</f>
        <v/>
      </c>
      <c r="DB94" s="9">
        <f>IF(4&gt;$B$6+$B$7,$G$20*$B$11^$H$20,$E$20*$B$9^$F$20)</f>
        <v/>
      </c>
      <c r="DC94" s="9">
        <f>IF(4=1,0,$B$14)</f>
        <v/>
      </c>
      <c r="DD94" s="9">
        <f>-($B$14+(IF(4&lt;=$B$6,$B$13*$B$15+$B$12,IF(4&lt;=$B$6+$B$7,$B$13*$B$15,$B$13)))/DB94)</f>
        <v/>
      </c>
      <c r="DE94" s="9">
        <f>IF(4=$B$6+$B$7,0,IF(4&gt;$B$6+$B$7,$B$13/DB95,IF(4&gt;=$B$6,$B$13*$B$15/DB95,($B$13*$B$15+$B$12)/DB95)))</f>
        <v/>
      </c>
      <c r="DF94" s="9">
        <f>IF(4=$B$6,-$K$20*$B$12,0)</f>
        <v/>
      </c>
      <c r="DG94" s="9">
        <f>DE94/(DD94-DC94*DG93)</f>
        <v/>
      </c>
      <c r="DH94" s="9">
        <f>(DF94-DC94*DH93)/(DD94-DC94*DG93)</f>
        <v/>
      </c>
      <c r="DI94" s="16">
        <f>DH94-DG94*DI95</f>
        <v/>
      </c>
      <c r="DJ94" s="9">
        <f>IF(4&gt;$B$6+$B$7,$G$21*$B$11^$H$21,$E$21*$B$9^$F$21)</f>
        <v/>
      </c>
      <c r="DK94" s="9">
        <f>IF(4=1,0,$B$14)</f>
        <v/>
      </c>
      <c r="DL94" s="9">
        <f>-($B$14+(IF(4&lt;=$B$6,$B$13*$B$15+$B$12,IF(4&lt;=$B$6+$B$7,$B$13*$B$15,$B$13)))/DJ94)</f>
        <v/>
      </c>
      <c r="DM94" s="9">
        <f>IF(4=$B$6+$B$7,0,IF(4&gt;$B$6+$B$7,$B$13/DJ95,IF(4&gt;=$B$6,$B$13*$B$15/DJ95,($B$13*$B$15+$B$12)/DJ95)))</f>
        <v/>
      </c>
      <c r="DN94" s="9">
        <f>IF(4=$B$6,-$K$21*$B$12,0)</f>
        <v/>
      </c>
      <c r="DO94" s="9">
        <f>DM94/(DL94-DK94*DO93)</f>
        <v/>
      </c>
      <c r="DP94" s="9">
        <f>(DN94-DK94*DP93)/(DL94-DK94*DO93)</f>
        <v/>
      </c>
      <c r="DQ94" s="16">
        <f>DP94-DO94*DQ95</f>
        <v/>
      </c>
      <c r="DR94" s="9">
        <f>IF(4&gt;$B$6+$B$7,$G$22*$B$11^$H$22,$E$22*$B$9^$F$22)</f>
        <v/>
      </c>
      <c r="DS94" s="9">
        <f>IF(4=1,0,$B$14)</f>
        <v/>
      </c>
      <c r="DT94" s="9">
        <f>-($B$14+(IF(4&lt;=$B$6,$B$13*$B$15+$B$12,IF(4&lt;=$B$6+$B$7,$B$13*$B$15,$B$13)))/DR94)</f>
        <v/>
      </c>
      <c r="DU94" s="9">
        <f>IF(4=$B$6+$B$7,0,IF(4&gt;$B$6+$B$7,$B$13/DR95,IF(4&gt;=$B$6,$B$13*$B$15/DR95,($B$13*$B$15+$B$12)/DR95)))</f>
        <v/>
      </c>
      <c r="DV94" s="9">
        <f>IF(4=$B$6,-$K$22*$B$12,0)</f>
        <v/>
      </c>
      <c r="DW94" s="9">
        <f>DU94/(DT94-DS94*DW93)</f>
        <v/>
      </c>
      <c r="DX94" s="9">
        <f>(DV94-DS94*DX93)/(DT94-DS94*DW93)</f>
        <v/>
      </c>
      <c r="DY94" s="16">
        <f>DX94-DW94*DY95</f>
        <v/>
      </c>
      <c r="DZ94" s="9">
        <f>IF(4&gt;$B$6+$B$7,$G$23*$B$11^$H$23,$E$23*$B$9^$F$23)</f>
        <v/>
      </c>
      <c r="EA94" s="9">
        <f>IF(4=1,0,$B$14)</f>
        <v/>
      </c>
      <c r="EB94" s="9">
        <f>-($B$14+(IF(4&lt;=$B$6,$B$13*$B$15+$B$12,IF(4&lt;=$B$6+$B$7,$B$13*$B$15,$B$13)))/DZ94)</f>
        <v/>
      </c>
      <c r="EC94" s="9">
        <f>IF(4=$B$6+$B$7,0,IF(4&gt;$B$6+$B$7,$B$13/DZ95,IF(4&gt;=$B$6,$B$13*$B$15/DZ95,($B$13*$B$15+$B$12)/DZ95)))</f>
        <v/>
      </c>
      <c r="ED94" s="9">
        <f>IF(4=$B$6,-$K$23*$B$12,0)</f>
        <v/>
      </c>
      <c r="EE94" s="9">
        <f>EC94/(EB94-EA94*EE93)</f>
        <v/>
      </c>
      <c r="EF94" s="9">
        <f>(ED94-EA94*EF93)/(EB94-EA94*EE93)</f>
        <v/>
      </c>
      <c r="EG94" s="16">
        <f>EF94-EE94*EG95</f>
        <v/>
      </c>
      <c r="EH94" s="9">
        <f>IF(4&gt;$B$6+$B$7,$G$24*$B$11^$H$24,$E$24*$B$9^$F$24)</f>
        <v/>
      </c>
      <c r="EI94" s="9">
        <f>IF(4=1,0,$B$14)</f>
        <v/>
      </c>
      <c r="EJ94" s="9">
        <f>-($B$14+(IF(4&lt;=$B$6,$B$13*$B$15+$B$12,IF(4&lt;=$B$6+$B$7,$B$13*$B$15,$B$13)))/EH94)</f>
        <v/>
      </c>
      <c r="EK94" s="9">
        <f>IF(4=$B$6+$B$7,0,IF(4&gt;$B$6+$B$7,$B$13/EH95,IF(4&gt;=$B$6,$B$13*$B$15/EH95,($B$13*$B$15+$B$12)/EH95)))</f>
        <v/>
      </c>
      <c r="EL94" s="9">
        <f>IF(4=$B$6,-$K$24*$B$12,0)</f>
        <v/>
      </c>
      <c r="EM94" s="9">
        <f>EK94/(EJ94-EI94*EM93)</f>
        <v/>
      </c>
      <c r="EN94" s="9">
        <f>(EL94-EI94*EN93)/(EJ94-EI94*EM93)</f>
        <v/>
      </c>
      <c r="EO94" s="16">
        <f>EN94-EM94*EO95</f>
        <v/>
      </c>
      <c r="EP94" s="9">
        <f>IF(4&gt;$B$6+$B$7,$G$25*$B$11^$H$25,$E$25*$B$9^$F$25)</f>
        <v/>
      </c>
      <c r="EQ94" s="9">
        <f>IF(4=1,0,$B$14)</f>
        <v/>
      </c>
      <c r="ER94" s="9">
        <f>-($B$14+(IF(4&lt;=$B$6,$B$13*$B$15+$B$12,IF(4&lt;=$B$6+$B$7,$B$13*$B$15,$B$13)))/EP94)</f>
        <v/>
      </c>
      <c r="ES94" s="9">
        <f>IF(4=$B$6+$B$7,0,IF(4&gt;$B$6+$B$7,$B$13/EP95,IF(4&gt;=$B$6,$B$13*$B$15/EP95,($B$13*$B$15+$B$12)/EP95)))</f>
        <v/>
      </c>
      <c r="ET94" s="9">
        <f>IF(4=$B$6,-$K$25*$B$12,0)</f>
        <v/>
      </c>
      <c r="EU94" s="9">
        <f>ES94/(ER94-EQ94*EU93)</f>
        <v/>
      </c>
      <c r="EV94" s="9">
        <f>(ET94-EQ94*EV93)/(ER94-EQ94*EU93)</f>
        <v/>
      </c>
      <c r="EW94" s="16">
        <f>EV94-EU94*EW95</f>
        <v/>
      </c>
      <c r="EX94" s="9">
        <f>IF(4&gt;$B$6+$B$7,$G$26*$B$11^$H$26,$E$26*$B$9^$F$26)</f>
        <v/>
      </c>
      <c r="EY94" s="9">
        <f>IF(4=1,0,$B$14)</f>
        <v/>
      </c>
      <c r="EZ94" s="9">
        <f>-($B$14+(IF(4&lt;=$B$6,$B$13*$B$15+$B$12,IF(4&lt;=$B$6+$B$7,$B$13*$B$15,$B$13)))/EX94)</f>
        <v/>
      </c>
      <c r="FA94" s="9">
        <f>IF(4=$B$6+$B$7,0,IF(4&gt;$B$6+$B$7,$B$13/EX95,IF(4&gt;=$B$6,$B$13*$B$15/EX95,($B$13*$B$15+$B$12)/EX95)))</f>
        <v/>
      </c>
      <c r="FB94" s="9">
        <f>IF(4=$B$6,-$K$26*$B$12,0)</f>
        <v/>
      </c>
      <c r="FC94" s="9">
        <f>FA94/(EZ94-EY94*FC93)</f>
        <v/>
      </c>
      <c r="FD94" s="9">
        <f>(FB94-EY94*FD93)/(EZ94-EY94*FC93)</f>
        <v/>
      </c>
      <c r="FE94" s="16">
        <f>FD94-FC94*FE95</f>
        <v/>
      </c>
      <c r="FF94" s="9">
        <f>IF(4&gt;$B$6+$B$7,$G$27*$B$11^$H$27,$E$27*$B$9^$F$27)</f>
        <v/>
      </c>
      <c r="FG94" s="9">
        <f>IF(4=1,0,$B$14)</f>
        <v/>
      </c>
      <c r="FH94" s="9">
        <f>-($B$14+(IF(4&lt;=$B$6,$B$13*$B$15+$B$12,IF(4&lt;=$B$6+$B$7,$B$13*$B$15,$B$13)))/FF94)</f>
        <v/>
      </c>
      <c r="FI94" s="9">
        <f>IF(4=$B$6+$B$7,0,IF(4&gt;$B$6+$B$7,$B$13/FF95,IF(4&gt;=$B$6,$B$13*$B$15/FF95,($B$13*$B$15+$B$12)/FF95)))</f>
        <v/>
      </c>
      <c r="FJ94" s="9">
        <f>IF(4=$B$6,-$K$27*$B$12,0)</f>
        <v/>
      </c>
      <c r="FK94" s="9">
        <f>FI94/(FH94-FG94*FK93)</f>
        <v/>
      </c>
      <c r="FL94" s="9">
        <f>(FJ94-FG94*FL93)/(FH94-FG94*FK93)</f>
        <v/>
      </c>
      <c r="FM94" s="16">
        <f>FL94-FK94*FM95</f>
        <v/>
      </c>
      <c r="FN94" s="9">
        <f>IF(4&gt;$B$6+$B$7,$G$28*$B$11^$H$28,$E$28*$B$9^$F$28)</f>
        <v/>
      </c>
      <c r="FO94" s="9">
        <f>IF(4=1,0,$B$14)</f>
        <v/>
      </c>
      <c r="FP94" s="9">
        <f>-($B$14+(IF(4&lt;=$B$6,$B$13*$B$15+$B$12,IF(4&lt;=$B$6+$B$7,$B$13*$B$15,$B$13)))/FN94)</f>
        <v/>
      </c>
      <c r="FQ94" s="9">
        <f>IF(4=$B$6+$B$7,0,IF(4&gt;$B$6+$B$7,$B$13/FN95,IF(4&gt;=$B$6,$B$13*$B$15/FN95,($B$13*$B$15+$B$12)/FN95)))</f>
        <v/>
      </c>
      <c r="FR94" s="9">
        <f>IF(4=$B$6,-$K$28*$B$12,0)</f>
        <v/>
      </c>
      <c r="FS94" s="9">
        <f>FQ94/(FP94-FO94*FS93)</f>
        <v/>
      </c>
      <c r="FT94" s="9">
        <f>(FR94-FO94*FT93)/(FP94-FO94*FS93)</f>
        <v/>
      </c>
      <c r="FU94" s="16">
        <f>FT94-FS94*FU95</f>
        <v/>
      </c>
      <c r="FV94" s="9">
        <f>IF(4&gt;$B$6+$B$7,$G$29*$B$11^$H$29,$E$29*$B$9^$F$29)</f>
        <v/>
      </c>
      <c r="FW94" s="9">
        <f>IF(4=1,0,$B$14)</f>
        <v/>
      </c>
      <c r="FX94" s="9">
        <f>-($B$14+(IF(4&lt;=$B$6,$B$13*$B$15+$B$12,IF(4&lt;=$B$6+$B$7,$B$13*$B$15,$B$13)))/FV94)</f>
        <v/>
      </c>
      <c r="FY94" s="9">
        <f>IF(4=$B$6+$B$7,0,IF(4&gt;$B$6+$B$7,$B$13/FV95,IF(4&gt;=$B$6,$B$13*$B$15/FV95,($B$13*$B$15+$B$12)/FV95)))</f>
        <v/>
      </c>
      <c r="FZ94" s="9">
        <f>IF(4=$B$6,-$K$29*$B$12,0)</f>
        <v/>
      </c>
      <c r="GA94" s="9">
        <f>FY94/(FX94-FW94*GA93)</f>
        <v/>
      </c>
      <c r="GB94" s="9">
        <f>(FZ94-FW94*GB93)/(FX94-FW94*GA93)</f>
        <v/>
      </c>
      <c r="GC94" s="16">
        <f>GB94-GA94*GC95</f>
        <v/>
      </c>
      <c r="GD94" s="9">
        <f>IF(4&gt;$B$6+$B$7,$G$30*$B$11^$H$30,$E$30*$B$9^$F$30)</f>
        <v/>
      </c>
      <c r="GE94" s="9">
        <f>IF(4=1,0,$B$14)</f>
        <v/>
      </c>
      <c r="GF94" s="9">
        <f>-($B$14+(IF(4&lt;=$B$6,$B$13*$B$15+$B$12,IF(4&lt;=$B$6+$B$7,$B$13*$B$15,$B$13)))/GD94)</f>
        <v/>
      </c>
      <c r="GG94" s="9">
        <f>IF(4=$B$6+$B$7,0,IF(4&gt;$B$6+$B$7,$B$13/GD95,IF(4&gt;=$B$6,$B$13*$B$15/GD95,($B$13*$B$15+$B$12)/GD95)))</f>
        <v/>
      </c>
      <c r="GH94" s="9">
        <f>IF(4=$B$6,-$K$30*$B$12,0)</f>
        <v/>
      </c>
      <c r="GI94" s="9">
        <f>GG94/(GF94-GE94*GI93)</f>
        <v/>
      </c>
      <c r="GJ94" s="9">
        <f>(GH94-GE94*GJ93)/(GF94-GE94*GI93)</f>
        <v/>
      </c>
      <c r="GK94" s="16">
        <f>GJ94-GI94*GK95</f>
        <v/>
      </c>
      <c r="GL94" s="9">
        <f>IF(4&gt;$B$6+$B$7,$G$31*$B$11^$H$31,$E$31*$B$9^$F$31)</f>
        <v/>
      </c>
      <c r="GM94" s="9">
        <f>IF(4=1,0,$B$14)</f>
        <v/>
      </c>
      <c r="GN94" s="9">
        <f>-($B$14+(IF(4&lt;=$B$6,$B$13*$B$15+$B$12,IF(4&lt;=$B$6+$B$7,$B$13*$B$15,$B$13)))/GL94)</f>
        <v/>
      </c>
      <c r="GO94" s="9">
        <f>IF(4=$B$6+$B$7,0,IF(4&gt;$B$6+$B$7,$B$13/GL95,IF(4&gt;=$B$6,$B$13*$B$15/GL95,($B$13*$B$15+$B$12)/GL95)))</f>
        <v/>
      </c>
      <c r="GP94" s="9">
        <f>IF(4=$B$6,-$K$31*$B$12,0)</f>
        <v/>
      </c>
      <c r="GQ94" s="9">
        <f>GO94/(GN94-GM94*GQ93)</f>
        <v/>
      </c>
      <c r="GR94" s="9">
        <f>(GP94-GM94*GR93)/(GN94-GM94*GQ93)</f>
        <v/>
      </c>
      <c r="GS94" s="16">
        <f>GR94-GQ94*GS95</f>
        <v/>
      </c>
      <c r="GT94" s="9">
        <f>IF(4&gt;$B$6+$B$7,$G$32*$B$11^$H$32,$E$32*$B$9^$F$32)</f>
        <v/>
      </c>
      <c r="GU94" s="9">
        <f>IF(4=1,0,$B$14)</f>
        <v/>
      </c>
      <c r="GV94" s="9">
        <f>-($B$14+(IF(4&lt;=$B$6,$B$13*$B$15+$B$12,IF(4&lt;=$B$6+$B$7,$B$13*$B$15,$B$13)))/GT94)</f>
        <v/>
      </c>
      <c r="GW94" s="9">
        <f>IF(4=$B$6+$B$7,0,IF(4&gt;$B$6+$B$7,$B$13/GT95,IF(4&gt;=$B$6,$B$13*$B$15/GT95,($B$13*$B$15+$B$12)/GT95)))</f>
        <v/>
      </c>
      <c r="GX94" s="9">
        <f>IF(4=$B$6,-$K$32*$B$12,0)</f>
        <v/>
      </c>
      <c r="GY94" s="9">
        <f>GW94/(GV94-GU94*GY93)</f>
        <v/>
      </c>
      <c r="GZ94" s="9">
        <f>(GX94-GU94*GZ93)/(GV94-GU94*GY93)</f>
        <v/>
      </c>
      <c r="HA94" s="16">
        <f>GZ94-GY94*HA95</f>
        <v/>
      </c>
      <c r="HB94" s="12">
        <f>IFERROR(I94/B94,0)</f>
        <v/>
      </c>
      <c r="HC94" s="12">
        <f>IFERROR(Q94/J94,0)</f>
        <v/>
      </c>
      <c r="HD94" s="12">
        <f>IFERROR(Y94/R94,0)</f>
        <v/>
      </c>
      <c r="HE94" s="12">
        <f>IFERROR(AG94/Z94,0)</f>
        <v/>
      </c>
      <c r="HF94" s="12">
        <f>IFERROR(AO94/AH94,0)</f>
        <v/>
      </c>
      <c r="HG94" s="12">
        <f>IFERROR(AW94/AP94,0)</f>
        <v/>
      </c>
      <c r="HH94" s="12">
        <f>IFERROR(BE94/AX94,0)</f>
        <v/>
      </c>
      <c r="HI94" s="12">
        <f>IFERROR(BM94/BF94,0)</f>
        <v/>
      </c>
      <c r="HJ94" s="12">
        <f>IFERROR(BU94/BN94,0)</f>
        <v/>
      </c>
      <c r="HK94" s="12">
        <f>IFERROR(CC94/BV94,0)</f>
        <v/>
      </c>
      <c r="HL94" s="12">
        <f>IFERROR(CK94/CD94,0)</f>
        <v/>
      </c>
      <c r="HM94" s="12">
        <f>IFERROR(CS94/CL94,0)</f>
        <v/>
      </c>
      <c r="HN94" s="12">
        <f>IFERROR(DA94/CT94,0)</f>
        <v/>
      </c>
      <c r="HO94" s="12">
        <f>IFERROR(DI94/DB94,0)</f>
        <v/>
      </c>
      <c r="HP94" s="12">
        <f>IFERROR(DQ94/DJ94,0)</f>
        <v/>
      </c>
      <c r="HQ94" s="12">
        <f>IFERROR(DY94/DR94,0)</f>
        <v/>
      </c>
      <c r="HR94" s="12">
        <f>IFERROR(EG94/DZ94,0)</f>
        <v/>
      </c>
      <c r="HS94" s="12">
        <f>IFERROR(EO94/EH94,0)</f>
        <v/>
      </c>
      <c r="HT94" s="12">
        <f>IFERROR(EW94/EP94,0)</f>
        <v/>
      </c>
      <c r="HU94" s="12">
        <f>IFERROR(FE94/EX94,0)</f>
        <v/>
      </c>
      <c r="HV94" s="12">
        <f>IFERROR(FM94/FF94,0)</f>
        <v/>
      </c>
      <c r="HW94" s="12">
        <f>IFERROR(FU94/FN94,0)</f>
        <v/>
      </c>
      <c r="HX94" s="12">
        <f>IFERROR(GC94/FV94,0)</f>
        <v/>
      </c>
      <c r="HY94" s="12">
        <f>IFERROR(GK94/GD94,0)</f>
        <v/>
      </c>
      <c r="HZ94" s="12">
        <f>IFERROR(GS94/GL94,0)</f>
        <v/>
      </c>
      <c r="IA94" s="12">
        <f>IFERROR(HA94/GT94,0)</f>
        <v/>
      </c>
      <c r="IB94" s="12">
        <f>I94+Q94+Y94+AG94+AO94+AW94+BE94+BM94+BU94+CC94+CK94+CS94+DA94+DI94+DQ94+DY94+EG94+EO94+EW94+FE94+FM94+FU94+GC94+GK94+GS94+HA94</f>
        <v/>
      </c>
      <c r="IC94" s="12">
        <f>HB94+HC94+HD94+HE94+HF94+HG94+HH94+HI94+HJ94+HK94+HL94+HM94+HN94+HO94+HP94+HQ94+HR94+HS94+HT94+HU94+HV94+HW94+HX94+HY94+HZ94+IA94</f>
        <v/>
      </c>
    </row>
    <row r="95" ht="14" customHeight="1">
      <c r="A95" s="28" t="n">
        <v>5</v>
      </c>
      <c r="B95" s="9">
        <f>IF(5&gt;$B$6+$B$7,$G$7*$B$11^$H$7,$E$7*$B$9^$F$7)</f>
        <v/>
      </c>
      <c r="C95" s="9">
        <f>IF(5=1,0,$B$14)</f>
        <v/>
      </c>
      <c r="D95" s="9">
        <f>-($B$14+(IF(5&lt;=$B$6,$B$13*$B$15+$B$12,IF(5&lt;=$B$6+$B$7,$B$13*$B$15,$B$13)))/B95)</f>
        <v/>
      </c>
      <c r="E95" s="9">
        <f>IF(5=$B$6+$B$7,0,IF(5&gt;$B$6+$B$7,$B$13/B96,IF(5&gt;=$B$6,$B$13*$B$15/B96,($B$13*$B$15+$B$12)/B96)))</f>
        <v/>
      </c>
      <c r="F95" s="9">
        <f>IF(5=$B$6,-$K$7*$B$12,0)</f>
        <v/>
      </c>
      <c r="G95" s="9">
        <f>E95/(D95-C95*G94)</f>
        <v/>
      </c>
      <c r="H95" s="9">
        <f>(F95-C95*H94)/(D95-C95*G94)</f>
        <v/>
      </c>
      <c r="I95" s="16">
        <f>H95-G95*I96</f>
        <v/>
      </c>
      <c r="J95" s="9">
        <f>IF(5&gt;$B$6+$B$7,$G$8*$B$11^$H$8,$E$8*$B$9^$F$8)</f>
        <v/>
      </c>
      <c r="K95" s="9">
        <f>IF(5=1,0,$B$14)</f>
        <v/>
      </c>
      <c r="L95" s="9">
        <f>-($B$14+(IF(5&lt;=$B$6,$B$13*$B$15+$B$12,IF(5&lt;=$B$6+$B$7,$B$13*$B$15,$B$13)))/J95)</f>
        <v/>
      </c>
      <c r="M95" s="9">
        <f>IF(5=$B$6+$B$7,0,IF(5&gt;$B$6+$B$7,$B$13/J96,IF(5&gt;=$B$6,$B$13*$B$15/J96,($B$13*$B$15+$B$12)/J96)))</f>
        <v/>
      </c>
      <c r="N95" s="9">
        <f>IF(5=$B$6,-$K$8*$B$12,0)</f>
        <v/>
      </c>
      <c r="O95" s="9">
        <f>M95/(L95-K95*O94)</f>
        <v/>
      </c>
      <c r="P95" s="9">
        <f>(N95-K95*P94)/(L95-K95*O94)</f>
        <v/>
      </c>
      <c r="Q95" s="16">
        <f>P95-O95*Q96</f>
        <v/>
      </c>
      <c r="R95" s="9">
        <f>IF(5&gt;$B$6+$B$7,$G$9*$B$11^$H$9,$E$9*$B$9^$F$9)</f>
        <v/>
      </c>
      <c r="S95" s="9">
        <f>IF(5=1,0,$B$14)</f>
        <v/>
      </c>
      <c r="T95" s="9">
        <f>-($B$14+(IF(5&lt;=$B$6,$B$13*$B$15+$B$12,IF(5&lt;=$B$6+$B$7,$B$13*$B$15,$B$13)))/R95)</f>
        <v/>
      </c>
      <c r="U95" s="9">
        <f>IF(5=$B$6+$B$7,0,IF(5&gt;$B$6+$B$7,$B$13/R96,IF(5&gt;=$B$6,$B$13*$B$15/R96,($B$13*$B$15+$B$12)/R96)))</f>
        <v/>
      </c>
      <c r="V95" s="9">
        <f>IF(5=$B$6,-$K$9*$B$12,0)</f>
        <v/>
      </c>
      <c r="W95" s="9">
        <f>U95/(T95-S95*W94)</f>
        <v/>
      </c>
      <c r="X95" s="9">
        <f>(V95-S95*X94)/(T95-S95*W94)</f>
        <v/>
      </c>
      <c r="Y95" s="16">
        <f>X95-W95*Y96</f>
        <v/>
      </c>
      <c r="Z95" s="9">
        <f>IF(5&gt;$B$6+$B$7,$G$10*$B$11^$H$10,$E$10*$B$9^$F$10)</f>
        <v/>
      </c>
      <c r="AA95" s="9">
        <f>IF(5=1,0,$B$14)</f>
        <v/>
      </c>
      <c r="AB95" s="9">
        <f>-($B$14+(IF(5&lt;=$B$6,$B$13*$B$15+$B$12,IF(5&lt;=$B$6+$B$7,$B$13*$B$15,$B$13)))/Z95)</f>
        <v/>
      </c>
      <c r="AC95" s="9">
        <f>IF(5=$B$6+$B$7,0,IF(5&gt;$B$6+$B$7,$B$13/Z96,IF(5&gt;=$B$6,$B$13*$B$15/Z96,($B$13*$B$15+$B$12)/Z96)))</f>
        <v/>
      </c>
      <c r="AD95" s="9">
        <f>IF(5=$B$6,-$K$10*$B$12,0)</f>
        <v/>
      </c>
      <c r="AE95" s="9">
        <f>AC95/(AB95-AA95*AE94)</f>
        <v/>
      </c>
      <c r="AF95" s="9">
        <f>(AD95-AA95*AF94)/(AB95-AA95*AE94)</f>
        <v/>
      </c>
      <c r="AG95" s="16">
        <f>AF95-AE95*AG96</f>
        <v/>
      </c>
      <c r="AH95" s="9">
        <f>IF(5&gt;$B$6+$B$7,$G$11*$B$11^$H$11,$E$11*$B$9^$F$11)</f>
        <v/>
      </c>
      <c r="AI95" s="9">
        <f>IF(5=1,0,$B$14)</f>
        <v/>
      </c>
      <c r="AJ95" s="9">
        <f>-($B$14+(IF(5&lt;=$B$6,$B$13*$B$15+$B$12,IF(5&lt;=$B$6+$B$7,$B$13*$B$15,$B$13)))/AH95)</f>
        <v/>
      </c>
      <c r="AK95" s="9">
        <f>IF(5=$B$6+$B$7,0,IF(5&gt;$B$6+$B$7,$B$13/AH96,IF(5&gt;=$B$6,$B$13*$B$15/AH96,($B$13*$B$15+$B$12)/AH96)))</f>
        <v/>
      </c>
      <c r="AL95" s="9">
        <f>IF(5=$B$6,-$K$11*$B$12,0)</f>
        <v/>
      </c>
      <c r="AM95" s="9">
        <f>AK95/(AJ95-AI95*AM94)</f>
        <v/>
      </c>
      <c r="AN95" s="9">
        <f>(AL95-AI95*AN94)/(AJ95-AI95*AM94)</f>
        <v/>
      </c>
      <c r="AO95" s="16">
        <f>AN95-AM95*AO96</f>
        <v/>
      </c>
      <c r="AP95" s="9">
        <f>IF(5&gt;$B$6+$B$7,$G$12*$B$11^$H$12,$E$12*$B$9^$F$12)</f>
        <v/>
      </c>
      <c r="AQ95" s="9">
        <f>IF(5=1,0,$B$14)</f>
        <v/>
      </c>
      <c r="AR95" s="9">
        <f>-($B$14+(IF(5&lt;=$B$6,$B$13*$B$15+$B$12,IF(5&lt;=$B$6+$B$7,$B$13*$B$15,$B$13)))/AP95)</f>
        <v/>
      </c>
      <c r="AS95" s="9">
        <f>IF(5=$B$6+$B$7,0,IF(5&gt;$B$6+$B$7,$B$13/AP96,IF(5&gt;=$B$6,$B$13*$B$15/AP96,($B$13*$B$15+$B$12)/AP96)))</f>
        <v/>
      </c>
      <c r="AT95" s="9">
        <f>IF(5=$B$6,-$K$12*$B$12,0)</f>
        <v/>
      </c>
      <c r="AU95" s="9">
        <f>AS95/(AR95-AQ95*AU94)</f>
        <v/>
      </c>
      <c r="AV95" s="9">
        <f>(AT95-AQ95*AV94)/(AR95-AQ95*AU94)</f>
        <v/>
      </c>
      <c r="AW95" s="16">
        <f>AV95-AU95*AW96</f>
        <v/>
      </c>
      <c r="AX95" s="9">
        <f>IF(5&gt;$B$6+$B$7,$G$13*$B$11^$H$13,$E$13*$B$9^$F$13)</f>
        <v/>
      </c>
      <c r="AY95" s="9">
        <f>IF(5=1,0,$B$14)</f>
        <v/>
      </c>
      <c r="AZ95" s="9">
        <f>-($B$14+(IF(5&lt;=$B$6,$B$13*$B$15+$B$12,IF(5&lt;=$B$6+$B$7,$B$13*$B$15,$B$13)))/AX95)</f>
        <v/>
      </c>
      <c r="BA95" s="9">
        <f>IF(5=$B$6+$B$7,0,IF(5&gt;$B$6+$B$7,$B$13/AX96,IF(5&gt;=$B$6,$B$13*$B$15/AX96,($B$13*$B$15+$B$12)/AX96)))</f>
        <v/>
      </c>
      <c r="BB95" s="9">
        <f>IF(5=$B$6,-$K$13*$B$12,0)</f>
        <v/>
      </c>
      <c r="BC95" s="9">
        <f>BA95/(AZ95-AY95*BC94)</f>
        <v/>
      </c>
      <c r="BD95" s="9">
        <f>(BB95-AY95*BD94)/(AZ95-AY95*BC94)</f>
        <v/>
      </c>
      <c r="BE95" s="16">
        <f>BD95-BC95*BE96</f>
        <v/>
      </c>
      <c r="BF95" s="9">
        <f>IF(5&gt;$B$6+$B$7,$G$14*$B$11^$H$14,$E$14*$B$9^$F$14)</f>
        <v/>
      </c>
      <c r="BG95" s="9">
        <f>IF(5=1,0,$B$14)</f>
        <v/>
      </c>
      <c r="BH95" s="9">
        <f>-($B$14+(IF(5&lt;=$B$6,$B$13*$B$15+$B$12,IF(5&lt;=$B$6+$B$7,$B$13*$B$15,$B$13)))/BF95)</f>
        <v/>
      </c>
      <c r="BI95" s="9">
        <f>IF(5=$B$6+$B$7,0,IF(5&gt;$B$6+$B$7,$B$13/BF96,IF(5&gt;=$B$6,$B$13*$B$15/BF96,($B$13*$B$15+$B$12)/BF96)))</f>
        <v/>
      </c>
      <c r="BJ95" s="9">
        <f>IF(5=$B$6,-$K$14*$B$12,0)</f>
        <v/>
      </c>
      <c r="BK95" s="9">
        <f>BI95/(BH95-BG95*BK94)</f>
        <v/>
      </c>
      <c r="BL95" s="9">
        <f>(BJ95-BG95*BL94)/(BH95-BG95*BK94)</f>
        <v/>
      </c>
      <c r="BM95" s="16">
        <f>BL95-BK95*BM96</f>
        <v/>
      </c>
      <c r="BN95" s="9">
        <f>IF(5&gt;$B$6+$B$7,$G$15*$B$11^$H$15,$E$15*$B$9^$F$15)</f>
        <v/>
      </c>
      <c r="BO95" s="9">
        <f>IF(5=1,0,$B$14)</f>
        <v/>
      </c>
      <c r="BP95" s="9">
        <f>-($B$14+(IF(5&lt;=$B$6,$B$13*$B$15+$B$12,IF(5&lt;=$B$6+$B$7,$B$13*$B$15,$B$13)))/BN95)</f>
        <v/>
      </c>
      <c r="BQ95" s="9">
        <f>IF(5=$B$6+$B$7,0,IF(5&gt;$B$6+$B$7,$B$13/BN96,IF(5&gt;=$B$6,$B$13*$B$15/BN96,($B$13*$B$15+$B$12)/BN96)))</f>
        <v/>
      </c>
      <c r="BR95" s="9">
        <f>IF(5=$B$6,-$K$15*$B$12,0)</f>
        <v/>
      </c>
      <c r="BS95" s="9">
        <f>BQ95/(BP95-BO95*BS94)</f>
        <v/>
      </c>
      <c r="BT95" s="9">
        <f>(BR95-BO95*BT94)/(BP95-BO95*BS94)</f>
        <v/>
      </c>
      <c r="BU95" s="16">
        <f>BT95-BS95*BU96</f>
        <v/>
      </c>
      <c r="BV95" s="9">
        <f>IF(5&gt;$B$6+$B$7,$G$16*$B$11^$H$16,$E$16*$B$9^$F$16)</f>
        <v/>
      </c>
      <c r="BW95" s="9">
        <f>IF(5=1,0,$B$14)</f>
        <v/>
      </c>
      <c r="BX95" s="9">
        <f>-($B$14+(IF(5&lt;=$B$6,$B$13*$B$15+$B$12,IF(5&lt;=$B$6+$B$7,$B$13*$B$15,$B$13)))/BV95)</f>
        <v/>
      </c>
      <c r="BY95" s="9">
        <f>IF(5=$B$6+$B$7,0,IF(5&gt;$B$6+$B$7,$B$13/BV96,IF(5&gt;=$B$6,$B$13*$B$15/BV96,($B$13*$B$15+$B$12)/BV96)))</f>
        <v/>
      </c>
      <c r="BZ95" s="9">
        <f>IF(5=$B$6,-$K$16*$B$12,0)</f>
        <v/>
      </c>
      <c r="CA95" s="9">
        <f>BY95/(BX95-BW95*CA94)</f>
        <v/>
      </c>
      <c r="CB95" s="9">
        <f>(BZ95-BW95*CB94)/(BX95-BW95*CA94)</f>
        <v/>
      </c>
      <c r="CC95" s="16">
        <f>CB95-CA95*CC96</f>
        <v/>
      </c>
      <c r="CD95" s="9">
        <f>IF(5&gt;$B$6+$B$7,$G$17*$B$11^$H$17,$E$17*$B$9^$F$17)</f>
        <v/>
      </c>
      <c r="CE95" s="9">
        <f>IF(5=1,0,$B$14)</f>
        <v/>
      </c>
      <c r="CF95" s="9">
        <f>-($B$14+(IF(5&lt;=$B$6,$B$13*$B$15+$B$12,IF(5&lt;=$B$6+$B$7,$B$13*$B$15,$B$13)))/CD95)</f>
        <v/>
      </c>
      <c r="CG95" s="9">
        <f>IF(5=$B$6+$B$7,0,IF(5&gt;$B$6+$B$7,$B$13/CD96,IF(5&gt;=$B$6,$B$13*$B$15/CD96,($B$13*$B$15+$B$12)/CD96)))</f>
        <v/>
      </c>
      <c r="CH95" s="9">
        <f>IF(5=$B$6,-$K$17*$B$12,0)</f>
        <v/>
      </c>
      <c r="CI95" s="9">
        <f>CG95/(CF95-CE95*CI94)</f>
        <v/>
      </c>
      <c r="CJ95" s="9">
        <f>(CH95-CE95*CJ94)/(CF95-CE95*CI94)</f>
        <v/>
      </c>
      <c r="CK95" s="16">
        <f>CJ95-CI95*CK96</f>
        <v/>
      </c>
      <c r="CL95" s="9">
        <f>IF(5&gt;$B$6+$B$7,$G$18*$B$11^$H$18,$E$18*$B$9^$F$18)</f>
        <v/>
      </c>
      <c r="CM95" s="9">
        <f>IF(5=1,0,$B$14)</f>
        <v/>
      </c>
      <c r="CN95" s="9">
        <f>-($B$14+(IF(5&lt;=$B$6,$B$13*$B$15+$B$12,IF(5&lt;=$B$6+$B$7,$B$13*$B$15,$B$13)))/CL95)</f>
        <v/>
      </c>
      <c r="CO95" s="9">
        <f>IF(5=$B$6+$B$7,0,IF(5&gt;$B$6+$B$7,$B$13/CL96,IF(5&gt;=$B$6,$B$13*$B$15/CL96,($B$13*$B$15+$B$12)/CL96)))</f>
        <v/>
      </c>
      <c r="CP95" s="9">
        <f>IF(5=$B$6,-$K$18*$B$12,0)</f>
        <v/>
      </c>
      <c r="CQ95" s="9">
        <f>CO95/(CN95-CM95*CQ94)</f>
        <v/>
      </c>
      <c r="CR95" s="9">
        <f>(CP95-CM95*CR94)/(CN95-CM95*CQ94)</f>
        <v/>
      </c>
      <c r="CS95" s="16">
        <f>CR95-CQ95*CS96</f>
        <v/>
      </c>
      <c r="CT95" s="9">
        <f>IF(5&gt;$B$6+$B$7,$G$19*$B$11^$H$19,$E$19*$B$9^$F$19)</f>
        <v/>
      </c>
      <c r="CU95" s="9">
        <f>IF(5=1,0,$B$14)</f>
        <v/>
      </c>
      <c r="CV95" s="9">
        <f>-($B$14+(IF(5&lt;=$B$6,$B$13*$B$15+$B$12,IF(5&lt;=$B$6+$B$7,$B$13*$B$15,$B$13)))/CT95)</f>
        <v/>
      </c>
      <c r="CW95" s="9">
        <f>IF(5=$B$6+$B$7,0,IF(5&gt;$B$6+$B$7,$B$13/CT96,IF(5&gt;=$B$6,$B$13*$B$15/CT96,($B$13*$B$15+$B$12)/CT96)))</f>
        <v/>
      </c>
      <c r="CX95" s="9">
        <f>IF(5=$B$6,-$K$19*$B$12,0)</f>
        <v/>
      </c>
      <c r="CY95" s="9">
        <f>CW95/(CV95-CU95*CY94)</f>
        <v/>
      </c>
      <c r="CZ95" s="9">
        <f>(CX95-CU95*CZ94)/(CV95-CU95*CY94)</f>
        <v/>
      </c>
      <c r="DA95" s="16">
        <f>CZ95-CY95*DA96</f>
        <v/>
      </c>
      <c r="DB95" s="9">
        <f>IF(5&gt;$B$6+$B$7,$G$20*$B$11^$H$20,$E$20*$B$9^$F$20)</f>
        <v/>
      </c>
      <c r="DC95" s="9">
        <f>IF(5=1,0,$B$14)</f>
        <v/>
      </c>
      <c r="DD95" s="9">
        <f>-($B$14+(IF(5&lt;=$B$6,$B$13*$B$15+$B$12,IF(5&lt;=$B$6+$B$7,$B$13*$B$15,$B$13)))/DB95)</f>
        <v/>
      </c>
      <c r="DE95" s="9">
        <f>IF(5=$B$6+$B$7,0,IF(5&gt;$B$6+$B$7,$B$13/DB96,IF(5&gt;=$B$6,$B$13*$B$15/DB96,($B$13*$B$15+$B$12)/DB96)))</f>
        <v/>
      </c>
      <c r="DF95" s="9">
        <f>IF(5=$B$6,-$K$20*$B$12,0)</f>
        <v/>
      </c>
      <c r="DG95" s="9">
        <f>DE95/(DD95-DC95*DG94)</f>
        <v/>
      </c>
      <c r="DH95" s="9">
        <f>(DF95-DC95*DH94)/(DD95-DC95*DG94)</f>
        <v/>
      </c>
      <c r="DI95" s="16">
        <f>DH95-DG95*DI96</f>
        <v/>
      </c>
      <c r="DJ95" s="9">
        <f>IF(5&gt;$B$6+$B$7,$G$21*$B$11^$H$21,$E$21*$B$9^$F$21)</f>
        <v/>
      </c>
      <c r="DK95" s="9">
        <f>IF(5=1,0,$B$14)</f>
        <v/>
      </c>
      <c r="DL95" s="9">
        <f>-($B$14+(IF(5&lt;=$B$6,$B$13*$B$15+$B$12,IF(5&lt;=$B$6+$B$7,$B$13*$B$15,$B$13)))/DJ95)</f>
        <v/>
      </c>
      <c r="DM95" s="9">
        <f>IF(5=$B$6+$B$7,0,IF(5&gt;$B$6+$B$7,$B$13/DJ96,IF(5&gt;=$B$6,$B$13*$B$15/DJ96,($B$13*$B$15+$B$12)/DJ96)))</f>
        <v/>
      </c>
      <c r="DN95" s="9">
        <f>IF(5=$B$6,-$K$21*$B$12,0)</f>
        <v/>
      </c>
      <c r="DO95" s="9">
        <f>DM95/(DL95-DK95*DO94)</f>
        <v/>
      </c>
      <c r="DP95" s="9">
        <f>(DN95-DK95*DP94)/(DL95-DK95*DO94)</f>
        <v/>
      </c>
      <c r="DQ95" s="16">
        <f>DP95-DO95*DQ96</f>
        <v/>
      </c>
      <c r="DR95" s="9">
        <f>IF(5&gt;$B$6+$B$7,$G$22*$B$11^$H$22,$E$22*$B$9^$F$22)</f>
        <v/>
      </c>
      <c r="DS95" s="9">
        <f>IF(5=1,0,$B$14)</f>
        <v/>
      </c>
      <c r="DT95" s="9">
        <f>-($B$14+(IF(5&lt;=$B$6,$B$13*$B$15+$B$12,IF(5&lt;=$B$6+$B$7,$B$13*$B$15,$B$13)))/DR95)</f>
        <v/>
      </c>
      <c r="DU95" s="9">
        <f>IF(5=$B$6+$B$7,0,IF(5&gt;$B$6+$B$7,$B$13/DR96,IF(5&gt;=$B$6,$B$13*$B$15/DR96,($B$13*$B$15+$B$12)/DR96)))</f>
        <v/>
      </c>
      <c r="DV95" s="9">
        <f>IF(5=$B$6,-$K$22*$B$12,0)</f>
        <v/>
      </c>
      <c r="DW95" s="9">
        <f>DU95/(DT95-DS95*DW94)</f>
        <v/>
      </c>
      <c r="DX95" s="9">
        <f>(DV95-DS95*DX94)/(DT95-DS95*DW94)</f>
        <v/>
      </c>
      <c r="DY95" s="16">
        <f>DX95-DW95*DY96</f>
        <v/>
      </c>
      <c r="DZ95" s="9">
        <f>IF(5&gt;$B$6+$B$7,$G$23*$B$11^$H$23,$E$23*$B$9^$F$23)</f>
        <v/>
      </c>
      <c r="EA95" s="9">
        <f>IF(5=1,0,$B$14)</f>
        <v/>
      </c>
      <c r="EB95" s="9">
        <f>-($B$14+(IF(5&lt;=$B$6,$B$13*$B$15+$B$12,IF(5&lt;=$B$6+$B$7,$B$13*$B$15,$B$13)))/DZ95)</f>
        <v/>
      </c>
      <c r="EC95" s="9">
        <f>IF(5=$B$6+$B$7,0,IF(5&gt;$B$6+$B$7,$B$13/DZ96,IF(5&gt;=$B$6,$B$13*$B$15/DZ96,($B$13*$B$15+$B$12)/DZ96)))</f>
        <v/>
      </c>
      <c r="ED95" s="9">
        <f>IF(5=$B$6,-$K$23*$B$12,0)</f>
        <v/>
      </c>
      <c r="EE95" s="9">
        <f>EC95/(EB95-EA95*EE94)</f>
        <v/>
      </c>
      <c r="EF95" s="9">
        <f>(ED95-EA95*EF94)/(EB95-EA95*EE94)</f>
        <v/>
      </c>
      <c r="EG95" s="16">
        <f>EF95-EE95*EG96</f>
        <v/>
      </c>
      <c r="EH95" s="9">
        <f>IF(5&gt;$B$6+$B$7,$G$24*$B$11^$H$24,$E$24*$B$9^$F$24)</f>
        <v/>
      </c>
      <c r="EI95" s="9">
        <f>IF(5=1,0,$B$14)</f>
        <v/>
      </c>
      <c r="EJ95" s="9">
        <f>-($B$14+(IF(5&lt;=$B$6,$B$13*$B$15+$B$12,IF(5&lt;=$B$6+$B$7,$B$13*$B$15,$B$13)))/EH95)</f>
        <v/>
      </c>
      <c r="EK95" s="9">
        <f>IF(5=$B$6+$B$7,0,IF(5&gt;$B$6+$B$7,$B$13/EH96,IF(5&gt;=$B$6,$B$13*$B$15/EH96,($B$13*$B$15+$B$12)/EH96)))</f>
        <v/>
      </c>
      <c r="EL95" s="9">
        <f>IF(5=$B$6,-$K$24*$B$12,0)</f>
        <v/>
      </c>
      <c r="EM95" s="9">
        <f>EK95/(EJ95-EI95*EM94)</f>
        <v/>
      </c>
      <c r="EN95" s="9">
        <f>(EL95-EI95*EN94)/(EJ95-EI95*EM94)</f>
        <v/>
      </c>
      <c r="EO95" s="16">
        <f>EN95-EM95*EO96</f>
        <v/>
      </c>
      <c r="EP95" s="9">
        <f>IF(5&gt;$B$6+$B$7,$G$25*$B$11^$H$25,$E$25*$B$9^$F$25)</f>
        <v/>
      </c>
      <c r="EQ95" s="9">
        <f>IF(5=1,0,$B$14)</f>
        <v/>
      </c>
      <c r="ER95" s="9">
        <f>-($B$14+(IF(5&lt;=$B$6,$B$13*$B$15+$B$12,IF(5&lt;=$B$6+$B$7,$B$13*$B$15,$B$13)))/EP95)</f>
        <v/>
      </c>
      <c r="ES95" s="9">
        <f>IF(5=$B$6+$B$7,0,IF(5&gt;$B$6+$B$7,$B$13/EP96,IF(5&gt;=$B$6,$B$13*$B$15/EP96,($B$13*$B$15+$B$12)/EP96)))</f>
        <v/>
      </c>
      <c r="ET95" s="9">
        <f>IF(5=$B$6,-$K$25*$B$12,0)</f>
        <v/>
      </c>
      <c r="EU95" s="9">
        <f>ES95/(ER95-EQ95*EU94)</f>
        <v/>
      </c>
      <c r="EV95" s="9">
        <f>(ET95-EQ95*EV94)/(ER95-EQ95*EU94)</f>
        <v/>
      </c>
      <c r="EW95" s="16">
        <f>EV95-EU95*EW96</f>
        <v/>
      </c>
      <c r="EX95" s="9">
        <f>IF(5&gt;$B$6+$B$7,$G$26*$B$11^$H$26,$E$26*$B$9^$F$26)</f>
        <v/>
      </c>
      <c r="EY95" s="9">
        <f>IF(5=1,0,$B$14)</f>
        <v/>
      </c>
      <c r="EZ95" s="9">
        <f>-($B$14+(IF(5&lt;=$B$6,$B$13*$B$15+$B$12,IF(5&lt;=$B$6+$B$7,$B$13*$B$15,$B$13)))/EX95)</f>
        <v/>
      </c>
      <c r="FA95" s="9">
        <f>IF(5=$B$6+$B$7,0,IF(5&gt;$B$6+$B$7,$B$13/EX96,IF(5&gt;=$B$6,$B$13*$B$15/EX96,($B$13*$B$15+$B$12)/EX96)))</f>
        <v/>
      </c>
      <c r="FB95" s="9">
        <f>IF(5=$B$6,-$K$26*$B$12,0)</f>
        <v/>
      </c>
      <c r="FC95" s="9">
        <f>FA95/(EZ95-EY95*FC94)</f>
        <v/>
      </c>
      <c r="FD95" s="9">
        <f>(FB95-EY95*FD94)/(EZ95-EY95*FC94)</f>
        <v/>
      </c>
      <c r="FE95" s="16">
        <f>FD95-FC95*FE96</f>
        <v/>
      </c>
      <c r="FF95" s="9">
        <f>IF(5&gt;$B$6+$B$7,$G$27*$B$11^$H$27,$E$27*$B$9^$F$27)</f>
        <v/>
      </c>
      <c r="FG95" s="9">
        <f>IF(5=1,0,$B$14)</f>
        <v/>
      </c>
      <c r="FH95" s="9">
        <f>-($B$14+(IF(5&lt;=$B$6,$B$13*$B$15+$B$12,IF(5&lt;=$B$6+$B$7,$B$13*$B$15,$B$13)))/FF95)</f>
        <v/>
      </c>
      <c r="FI95" s="9">
        <f>IF(5=$B$6+$B$7,0,IF(5&gt;$B$6+$B$7,$B$13/FF96,IF(5&gt;=$B$6,$B$13*$B$15/FF96,($B$13*$B$15+$B$12)/FF96)))</f>
        <v/>
      </c>
      <c r="FJ95" s="9">
        <f>IF(5=$B$6,-$K$27*$B$12,0)</f>
        <v/>
      </c>
      <c r="FK95" s="9">
        <f>FI95/(FH95-FG95*FK94)</f>
        <v/>
      </c>
      <c r="FL95" s="9">
        <f>(FJ95-FG95*FL94)/(FH95-FG95*FK94)</f>
        <v/>
      </c>
      <c r="FM95" s="16">
        <f>FL95-FK95*FM96</f>
        <v/>
      </c>
      <c r="FN95" s="9">
        <f>IF(5&gt;$B$6+$B$7,$G$28*$B$11^$H$28,$E$28*$B$9^$F$28)</f>
        <v/>
      </c>
      <c r="FO95" s="9">
        <f>IF(5=1,0,$B$14)</f>
        <v/>
      </c>
      <c r="FP95" s="9">
        <f>-($B$14+(IF(5&lt;=$B$6,$B$13*$B$15+$B$12,IF(5&lt;=$B$6+$B$7,$B$13*$B$15,$B$13)))/FN95)</f>
        <v/>
      </c>
      <c r="FQ95" s="9">
        <f>IF(5=$B$6+$B$7,0,IF(5&gt;$B$6+$B$7,$B$13/FN96,IF(5&gt;=$B$6,$B$13*$B$15/FN96,($B$13*$B$15+$B$12)/FN96)))</f>
        <v/>
      </c>
      <c r="FR95" s="9">
        <f>IF(5=$B$6,-$K$28*$B$12,0)</f>
        <v/>
      </c>
      <c r="FS95" s="9">
        <f>FQ95/(FP95-FO95*FS94)</f>
        <v/>
      </c>
      <c r="FT95" s="9">
        <f>(FR95-FO95*FT94)/(FP95-FO95*FS94)</f>
        <v/>
      </c>
      <c r="FU95" s="16">
        <f>FT95-FS95*FU96</f>
        <v/>
      </c>
      <c r="FV95" s="9">
        <f>IF(5&gt;$B$6+$B$7,$G$29*$B$11^$H$29,$E$29*$B$9^$F$29)</f>
        <v/>
      </c>
      <c r="FW95" s="9">
        <f>IF(5=1,0,$B$14)</f>
        <v/>
      </c>
      <c r="FX95" s="9">
        <f>-($B$14+(IF(5&lt;=$B$6,$B$13*$B$15+$B$12,IF(5&lt;=$B$6+$B$7,$B$13*$B$15,$B$13)))/FV95)</f>
        <v/>
      </c>
      <c r="FY95" s="9">
        <f>IF(5=$B$6+$B$7,0,IF(5&gt;$B$6+$B$7,$B$13/FV96,IF(5&gt;=$B$6,$B$13*$B$15/FV96,($B$13*$B$15+$B$12)/FV96)))</f>
        <v/>
      </c>
      <c r="FZ95" s="9">
        <f>IF(5=$B$6,-$K$29*$B$12,0)</f>
        <v/>
      </c>
      <c r="GA95" s="9">
        <f>FY95/(FX95-FW95*GA94)</f>
        <v/>
      </c>
      <c r="GB95" s="9">
        <f>(FZ95-FW95*GB94)/(FX95-FW95*GA94)</f>
        <v/>
      </c>
      <c r="GC95" s="16">
        <f>GB95-GA95*GC96</f>
        <v/>
      </c>
      <c r="GD95" s="9">
        <f>IF(5&gt;$B$6+$B$7,$G$30*$B$11^$H$30,$E$30*$B$9^$F$30)</f>
        <v/>
      </c>
      <c r="GE95" s="9">
        <f>IF(5=1,0,$B$14)</f>
        <v/>
      </c>
      <c r="GF95" s="9">
        <f>-($B$14+(IF(5&lt;=$B$6,$B$13*$B$15+$B$12,IF(5&lt;=$B$6+$B$7,$B$13*$B$15,$B$13)))/GD95)</f>
        <v/>
      </c>
      <c r="GG95" s="9">
        <f>IF(5=$B$6+$B$7,0,IF(5&gt;$B$6+$B$7,$B$13/GD96,IF(5&gt;=$B$6,$B$13*$B$15/GD96,($B$13*$B$15+$B$12)/GD96)))</f>
        <v/>
      </c>
      <c r="GH95" s="9">
        <f>IF(5=$B$6,-$K$30*$B$12,0)</f>
        <v/>
      </c>
      <c r="GI95" s="9">
        <f>GG95/(GF95-GE95*GI94)</f>
        <v/>
      </c>
      <c r="GJ95" s="9">
        <f>(GH95-GE95*GJ94)/(GF95-GE95*GI94)</f>
        <v/>
      </c>
      <c r="GK95" s="16">
        <f>GJ95-GI95*GK96</f>
        <v/>
      </c>
      <c r="GL95" s="9">
        <f>IF(5&gt;$B$6+$B$7,$G$31*$B$11^$H$31,$E$31*$B$9^$F$31)</f>
        <v/>
      </c>
      <c r="GM95" s="9">
        <f>IF(5=1,0,$B$14)</f>
        <v/>
      </c>
      <c r="GN95" s="9">
        <f>-($B$14+(IF(5&lt;=$B$6,$B$13*$B$15+$B$12,IF(5&lt;=$B$6+$B$7,$B$13*$B$15,$B$13)))/GL95)</f>
        <v/>
      </c>
      <c r="GO95" s="9">
        <f>IF(5=$B$6+$B$7,0,IF(5&gt;$B$6+$B$7,$B$13/GL96,IF(5&gt;=$B$6,$B$13*$B$15/GL96,($B$13*$B$15+$B$12)/GL96)))</f>
        <v/>
      </c>
      <c r="GP95" s="9">
        <f>IF(5=$B$6,-$K$31*$B$12,0)</f>
        <v/>
      </c>
      <c r="GQ95" s="9">
        <f>GO95/(GN95-GM95*GQ94)</f>
        <v/>
      </c>
      <c r="GR95" s="9">
        <f>(GP95-GM95*GR94)/(GN95-GM95*GQ94)</f>
        <v/>
      </c>
      <c r="GS95" s="16">
        <f>GR95-GQ95*GS96</f>
        <v/>
      </c>
      <c r="GT95" s="9">
        <f>IF(5&gt;$B$6+$B$7,$G$32*$B$11^$H$32,$E$32*$B$9^$F$32)</f>
        <v/>
      </c>
      <c r="GU95" s="9">
        <f>IF(5=1,0,$B$14)</f>
        <v/>
      </c>
      <c r="GV95" s="9">
        <f>-($B$14+(IF(5&lt;=$B$6,$B$13*$B$15+$B$12,IF(5&lt;=$B$6+$B$7,$B$13*$B$15,$B$13)))/GT95)</f>
        <v/>
      </c>
      <c r="GW95" s="9">
        <f>IF(5=$B$6+$B$7,0,IF(5&gt;$B$6+$B$7,$B$13/GT96,IF(5&gt;=$B$6,$B$13*$B$15/GT96,($B$13*$B$15+$B$12)/GT96)))</f>
        <v/>
      </c>
      <c r="GX95" s="9">
        <f>IF(5=$B$6,-$K$32*$B$12,0)</f>
        <v/>
      </c>
      <c r="GY95" s="9">
        <f>GW95/(GV95-GU95*GY94)</f>
        <v/>
      </c>
      <c r="GZ95" s="9">
        <f>(GX95-GU95*GZ94)/(GV95-GU95*GY94)</f>
        <v/>
      </c>
      <c r="HA95" s="16">
        <f>GZ95-GY95*HA96</f>
        <v/>
      </c>
      <c r="HB95" s="12">
        <f>IFERROR(I95/B95,0)</f>
        <v/>
      </c>
      <c r="HC95" s="12">
        <f>IFERROR(Q95/J95,0)</f>
        <v/>
      </c>
      <c r="HD95" s="12">
        <f>IFERROR(Y95/R95,0)</f>
        <v/>
      </c>
      <c r="HE95" s="12">
        <f>IFERROR(AG95/Z95,0)</f>
        <v/>
      </c>
      <c r="HF95" s="12">
        <f>IFERROR(AO95/AH95,0)</f>
        <v/>
      </c>
      <c r="HG95" s="12">
        <f>IFERROR(AW95/AP95,0)</f>
        <v/>
      </c>
      <c r="HH95" s="12">
        <f>IFERROR(BE95/AX95,0)</f>
        <v/>
      </c>
      <c r="HI95" s="12">
        <f>IFERROR(BM95/BF95,0)</f>
        <v/>
      </c>
      <c r="HJ95" s="12">
        <f>IFERROR(BU95/BN95,0)</f>
        <v/>
      </c>
      <c r="HK95" s="12">
        <f>IFERROR(CC95/BV95,0)</f>
        <v/>
      </c>
      <c r="HL95" s="12">
        <f>IFERROR(CK95/CD95,0)</f>
        <v/>
      </c>
      <c r="HM95" s="12">
        <f>IFERROR(CS95/CL95,0)</f>
        <v/>
      </c>
      <c r="HN95" s="12">
        <f>IFERROR(DA95/CT95,0)</f>
        <v/>
      </c>
      <c r="HO95" s="12">
        <f>IFERROR(DI95/DB95,0)</f>
        <v/>
      </c>
      <c r="HP95" s="12">
        <f>IFERROR(DQ95/DJ95,0)</f>
        <v/>
      </c>
      <c r="HQ95" s="12">
        <f>IFERROR(DY95/DR95,0)</f>
        <v/>
      </c>
      <c r="HR95" s="12">
        <f>IFERROR(EG95/DZ95,0)</f>
        <v/>
      </c>
      <c r="HS95" s="12">
        <f>IFERROR(EO95/EH95,0)</f>
        <v/>
      </c>
      <c r="HT95" s="12">
        <f>IFERROR(EW95/EP95,0)</f>
        <v/>
      </c>
      <c r="HU95" s="12">
        <f>IFERROR(FE95/EX95,0)</f>
        <v/>
      </c>
      <c r="HV95" s="12">
        <f>IFERROR(FM95/FF95,0)</f>
        <v/>
      </c>
      <c r="HW95" s="12">
        <f>IFERROR(FU95/FN95,0)</f>
        <v/>
      </c>
      <c r="HX95" s="12">
        <f>IFERROR(GC95/FV95,0)</f>
        <v/>
      </c>
      <c r="HY95" s="12">
        <f>IFERROR(GK95/GD95,0)</f>
        <v/>
      </c>
      <c r="HZ95" s="12">
        <f>IFERROR(GS95/GL95,0)</f>
        <v/>
      </c>
      <c r="IA95" s="12">
        <f>IFERROR(HA95/GT95,0)</f>
        <v/>
      </c>
      <c r="IB95" s="12">
        <f>I95+Q95+Y95+AG95+AO95+AW95+BE95+BM95+BU95+CC95+CK95+CS95+DA95+DI95+DQ95+DY95+EG95+EO95+EW95+FE95+FM95+FU95+GC95+GK95+GS95+HA95</f>
        <v/>
      </c>
      <c r="IC95" s="12">
        <f>HB95+HC95+HD95+HE95+HF95+HG95+HH95+HI95+HJ95+HK95+HL95+HM95+HN95+HO95+HP95+HQ95+HR95+HS95+HT95+HU95+HV95+HW95+HX95+HY95+HZ95+IA95</f>
        <v/>
      </c>
    </row>
    <row r="96" ht="14" customHeight="1">
      <c r="A96" s="29" t="n">
        <v>6</v>
      </c>
      <c r="B96" s="9">
        <f>IF(6&gt;$B$6+$B$7,$G$7*$B$11^$H$7,$E$7*$B$9^$F$7)</f>
        <v/>
      </c>
      <c r="C96" s="9">
        <f>IF(6=1,0,$B$14)</f>
        <v/>
      </c>
      <c r="D96" s="9">
        <f>-($B$14+(IF(6&lt;=$B$6,$B$13*$B$15+$B$12,IF(6&lt;=$B$6+$B$7,$B$13*$B$15,$B$13)))/B96)</f>
        <v/>
      </c>
      <c r="E96" s="9">
        <f>IF(6=$B$6+$B$7,0,IF(6&gt;$B$6+$B$7,$B$13/B97,IF(6&gt;=$B$6,$B$13*$B$15/B97,($B$13*$B$15+$B$12)/B97)))</f>
        <v/>
      </c>
      <c r="F96" s="9">
        <f>IF(6=$B$6,-$K$7*$B$12,0)</f>
        <v/>
      </c>
      <c r="G96" s="9">
        <f>E96/(D96-C96*G95)</f>
        <v/>
      </c>
      <c r="H96" s="9">
        <f>(F96-C96*H95)/(D96-C96*G95)</f>
        <v/>
      </c>
      <c r="I96" s="16">
        <f>H96-G96*I97</f>
        <v/>
      </c>
      <c r="J96" s="9">
        <f>IF(6&gt;$B$6+$B$7,$G$8*$B$11^$H$8,$E$8*$B$9^$F$8)</f>
        <v/>
      </c>
      <c r="K96" s="9">
        <f>IF(6=1,0,$B$14)</f>
        <v/>
      </c>
      <c r="L96" s="9">
        <f>-($B$14+(IF(6&lt;=$B$6,$B$13*$B$15+$B$12,IF(6&lt;=$B$6+$B$7,$B$13*$B$15,$B$13)))/J96)</f>
        <v/>
      </c>
      <c r="M96" s="9">
        <f>IF(6=$B$6+$B$7,0,IF(6&gt;$B$6+$B$7,$B$13/J97,IF(6&gt;=$B$6,$B$13*$B$15/J97,($B$13*$B$15+$B$12)/J97)))</f>
        <v/>
      </c>
      <c r="N96" s="9">
        <f>IF(6=$B$6,-$K$8*$B$12,0)</f>
        <v/>
      </c>
      <c r="O96" s="9">
        <f>M96/(L96-K96*O95)</f>
        <v/>
      </c>
      <c r="P96" s="9">
        <f>(N96-K96*P95)/(L96-K96*O95)</f>
        <v/>
      </c>
      <c r="Q96" s="16">
        <f>P96-O96*Q97</f>
        <v/>
      </c>
      <c r="R96" s="9">
        <f>IF(6&gt;$B$6+$B$7,$G$9*$B$11^$H$9,$E$9*$B$9^$F$9)</f>
        <v/>
      </c>
      <c r="S96" s="9">
        <f>IF(6=1,0,$B$14)</f>
        <v/>
      </c>
      <c r="T96" s="9">
        <f>-($B$14+(IF(6&lt;=$B$6,$B$13*$B$15+$B$12,IF(6&lt;=$B$6+$B$7,$B$13*$B$15,$B$13)))/R96)</f>
        <v/>
      </c>
      <c r="U96" s="9">
        <f>IF(6=$B$6+$B$7,0,IF(6&gt;$B$6+$B$7,$B$13/R97,IF(6&gt;=$B$6,$B$13*$B$15/R97,($B$13*$B$15+$B$12)/R97)))</f>
        <v/>
      </c>
      <c r="V96" s="9">
        <f>IF(6=$B$6,-$K$9*$B$12,0)</f>
        <v/>
      </c>
      <c r="W96" s="9">
        <f>U96/(T96-S96*W95)</f>
        <v/>
      </c>
      <c r="X96" s="9">
        <f>(V96-S96*X95)/(T96-S96*W95)</f>
        <v/>
      </c>
      <c r="Y96" s="16">
        <f>X96-W96*Y97</f>
        <v/>
      </c>
      <c r="Z96" s="9">
        <f>IF(6&gt;$B$6+$B$7,$G$10*$B$11^$H$10,$E$10*$B$9^$F$10)</f>
        <v/>
      </c>
      <c r="AA96" s="9">
        <f>IF(6=1,0,$B$14)</f>
        <v/>
      </c>
      <c r="AB96" s="9">
        <f>-($B$14+(IF(6&lt;=$B$6,$B$13*$B$15+$B$12,IF(6&lt;=$B$6+$B$7,$B$13*$B$15,$B$13)))/Z96)</f>
        <v/>
      </c>
      <c r="AC96" s="9">
        <f>IF(6=$B$6+$B$7,0,IF(6&gt;$B$6+$B$7,$B$13/Z97,IF(6&gt;=$B$6,$B$13*$B$15/Z97,($B$13*$B$15+$B$12)/Z97)))</f>
        <v/>
      </c>
      <c r="AD96" s="9">
        <f>IF(6=$B$6,-$K$10*$B$12,0)</f>
        <v/>
      </c>
      <c r="AE96" s="9">
        <f>AC96/(AB96-AA96*AE95)</f>
        <v/>
      </c>
      <c r="AF96" s="9">
        <f>(AD96-AA96*AF95)/(AB96-AA96*AE95)</f>
        <v/>
      </c>
      <c r="AG96" s="16">
        <f>AF96-AE96*AG97</f>
        <v/>
      </c>
      <c r="AH96" s="9">
        <f>IF(6&gt;$B$6+$B$7,$G$11*$B$11^$H$11,$E$11*$B$9^$F$11)</f>
        <v/>
      </c>
      <c r="AI96" s="9">
        <f>IF(6=1,0,$B$14)</f>
        <v/>
      </c>
      <c r="AJ96" s="9">
        <f>-($B$14+(IF(6&lt;=$B$6,$B$13*$B$15+$B$12,IF(6&lt;=$B$6+$B$7,$B$13*$B$15,$B$13)))/AH96)</f>
        <v/>
      </c>
      <c r="AK96" s="9">
        <f>IF(6=$B$6+$B$7,0,IF(6&gt;$B$6+$B$7,$B$13/AH97,IF(6&gt;=$B$6,$B$13*$B$15/AH97,($B$13*$B$15+$B$12)/AH97)))</f>
        <v/>
      </c>
      <c r="AL96" s="9">
        <f>IF(6=$B$6,-$K$11*$B$12,0)</f>
        <v/>
      </c>
      <c r="AM96" s="9">
        <f>AK96/(AJ96-AI96*AM95)</f>
        <v/>
      </c>
      <c r="AN96" s="9">
        <f>(AL96-AI96*AN95)/(AJ96-AI96*AM95)</f>
        <v/>
      </c>
      <c r="AO96" s="16">
        <f>AN96-AM96*AO97</f>
        <v/>
      </c>
      <c r="AP96" s="9">
        <f>IF(6&gt;$B$6+$B$7,$G$12*$B$11^$H$12,$E$12*$B$9^$F$12)</f>
        <v/>
      </c>
      <c r="AQ96" s="9">
        <f>IF(6=1,0,$B$14)</f>
        <v/>
      </c>
      <c r="AR96" s="9">
        <f>-($B$14+(IF(6&lt;=$B$6,$B$13*$B$15+$B$12,IF(6&lt;=$B$6+$B$7,$B$13*$B$15,$B$13)))/AP96)</f>
        <v/>
      </c>
      <c r="AS96" s="9">
        <f>IF(6=$B$6+$B$7,0,IF(6&gt;$B$6+$B$7,$B$13/AP97,IF(6&gt;=$B$6,$B$13*$B$15/AP97,($B$13*$B$15+$B$12)/AP97)))</f>
        <v/>
      </c>
      <c r="AT96" s="9">
        <f>IF(6=$B$6,-$K$12*$B$12,0)</f>
        <v/>
      </c>
      <c r="AU96" s="9">
        <f>AS96/(AR96-AQ96*AU95)</f>
        <v/>
      </c>
      <c r="AV96" s="9">
        <f>(AT96-AQ96*AV95)/(AR96-AQ96*AU95)</f>
        <v/>
      </c>
      <c r="AW96" s="16">
        <f>AV96-AU96*AW97</f>
        <v/>
      </c>
      <c r="AX96" s="9">
        <f>IF(6&gt;$B$6+$B$7,$G$13*$B$11^$H$13,$E$13*$B$9^$F$13)</f>
        <v/>
      </c>
      <c r="AY96" s="9">
        <f>IF(6=1,0,$B$14)</f>
        <v/>
      </c>
      <c r="AZ96" s="9">
        <f>-($B$14+(IF(6&lt;=$B$6,$B$13*$B$15+$B$12,IF(6&lt;=$B$6+$B$7,$B$13*$B$15,$B$13)))/AX96)</f>
        <v/>
      </c>
      <c r="BA96" s="9">
        <f>IF(6=$B$6+$B$7,0,IF(6&gt;$B$6+$B$7,$B$13/AX97,IF(6&gt;=$B$6,$B$13*$B$15/AX97,($B$13*$B$15+$B$12)/AX97)))</f>
        <v/>
      </c>
      <c r="BB96" s="9">
        <f>IF(6=$B$6,-$K$13*$B$12,0)</f>
        <v/>
      </c>
      <c r="BC96" s="9">
        <f>BA96/(AZ96-AY96*BC95)</f>
        <v/>
      </c>
      <c r="BD96" s="9">
        <f>(BB96-AY96*BD95)/(AZ96-AY96*BC95)</f>
        <v/>
      </c>
      <c r="BE96" s="16">
        <f>BD96-BC96*BE97</f>
        <v/>
      </c>
      <c r="BF96" s="9">
        <f>IF(6&gt;$B$6+$B$7,$G$14*$B$11^$H$14,$E$14*$B$9^$F$14)</f>
        <v/>
      </c>
      <c r="BG96" s="9">
        <f>IF(6=1,0,$B$14)</f>
        <v/>
      </c>
      <c r="BH96" s="9">
        <f>-($B$14+(IF(6&lt;=$B$6,$B$13*$B$15+$B$12,IF(6&lt;=$B$6+$B$7,$B$13*$B$15,$B$13)))/BF96)</f>
        <v/>
      </c>
      <c r="BI96" s="9">
        <f>IF(6=$B$6+$B$7,0,IF(6&gt;$B$6+$B$7,$B$13/BF97,IF(6&gt;=$B$6,$B$13*$B$15/BF97,($B$13*$B$15+$B$12)/BF97)))</f>
        <v/>
      </c>
      <c r="BJ96" s="9">
        <f>IF(6=$B$6,-$K$14*$B$12,0)</f>
        <v/>
      </c>
      <c r="BK96" s="9">
        <f>BI96/(BH96-BG96*BK95)</f>
        <v/>
      </c>
      <c r="BL96" s="9">
        <f>(BJ96-BG96*BL95)/(BH96-BG96*BK95)</f>
        <v/>
      </c>
      <c r="BM96" s="16">
        <f>BL96-BK96*BM97</f>
        <v/>
      </c>
      <c r="BN96" s="9">
        <f>IF(6&gt;$B$6+$B$7,$G$15*$B$11^$H$15,$E$15*$B$9^$F$15)</f>
        <v/>
      </c>
      <c r="BO96" s="9">
        <f>IF(6=1,0,$B$14)</f>
        <v/>
      </c>
      <c r="BP96" s="9">
        <f>-($B$14+(IF(6&lt;=$B$6,$B$13*$B$15+$B$12,IF(6&lt;=$B$6+$B$7,$B$13*$B$15,$B$13)))/BN96)</f>
        <v/>
      </c>
      <c r="BQ96" s="9">
        <f>IF(6=$B$6+$B$7,0,IF(6&gt;$B$6+$B$7,$B$13/BN97,IF(6&gt;=$B$6,$B$13*$B$15/BN97,($B$13*$B$15+$B$12)/BN97)))</f>
        <v/>
      </c>
      <c r="BR96" s="9">
        <f>IF(6=$B$6,-$K$15*$B$12,0)</f>
        <v/>
      </c>
      <c r="BS96" s="9">
        <f>BQ96/(BP96-BO96*BS95)</f>
        <v/>
      </c>
      <c r="BT96" s="9">
        <f>(BR96-BO96*BT95)/(BP96-BO96*BS95)</f>
        <v/>
      </c>
      <c r="BU96" s="16">
        <f>BT96-BS96*BU97</f>
        <v/>
      </c>
      <c r="BV96" s="9">
        <f>IF(6&gt;$B$6+$B$7,$G$16*$B$11^$H$16,$E$16*$B$9^$F$16)</f>
        <v/>
      </c>
      <c r="BW96" s="9">
        <f>IF(6=1,0,$B$14)</f>
        <v/>
      </c>
      <c r="BX96" s="9">
        <f>-($B$14+(IF(6&lt;=$B$6,$B$13*$B$15+$B$12,IF(6&lt;=$B$6+$B$7,$B$13*$B$15,$B$13)))/BV96)</f>
        <v/>
      </c>
      <c r="BY96" s="9">
        <f>IF(6=$B$6+$B$7,0,IF(6&gt;$B$6+$B$7,$B$13/BV97,IF(6&gt;=$B$6,$B$13*$B$15/BV97,($B$13*$B$15+$B$12)/BV97)))</f>
        <v/>
      </c>
      <c r="BZ96" s="9">
        <f>IF(6=$B$6,-$K$16*$B$12,0)</f>
        <v/>
      </c>
      <c r="CA96" s="9">
        <f>BY96/(BX96-BW96*CA95)</f>
        <v/>
      </c>
      <c r="CB96" s="9">
        <f>(BZ96-BW96*CB95)/(BX96-BW96*CA95)</f>
        <v/>
      </c>
      <c r="CC96" s="16">
        <f>CB96-CA96*CC97</f>
        <v/>
      </c>
      <c r="CD96" s="9">
        <f>IF(6&gt;$B$6+$B$7,$G$17*$B$11^$H$17,$E$17*$B$9^$F$17)</f>
        <v/>
      </c>
      <c r="CE96" s="9">
        <f>IF(6=1,0,$B$14)</f>
        <v/>
      </c>
      <c r="CF96" s="9">
        <f>-($B$14+(IF(6&lt;=$B$6,$B$13*$B$15+$B$12,IF(6&lt;=$B$6+$B$7,$B$13*$B$15,$B$13)))/CD96)</f>
        <v/>
      </c>
      <c r="CG96" s="9">
        <f>IF(6=$B$6+$B$7,0,IF(6&gt;$B$6+$B$7,$B$13/CD97,IF(6&gt;=$B$6,$B$13*$B$15/CD97,($B$13*$B$15+$B$12)/CD97)))</f>
        <v/>
      </c>
      <c r="CH96" s="9">
        <f>IF(6=$B$6,-$K$17*$B$12,0)</f>
        <v/>
      </c>
      <c r="CI96" s="9">
        <f>CG96/(CF96-CE96*CI95)</f>
        <v/>
      </c>
      <c r="CJ96" s="9">
        <f>(CH96-CE96*CJ95)/(CF96-CE96*CI95)</f>
        <v/>
      </c>
      <c r="CK96" s="16">
        <f>CJ96-CI96*CK97</f>
        <v/>
      </c>
      <c r="CL96" s="9">
        <f>IF(6&gt;$B$6+$B$7,$G$18*$B$11^$H$18,$E$18*$B$9^$F$18)</f>
        <v/>
      </c>
      <c r="CM96" s="9">
        <f>IF(6=1,0,$B$14)</f>
        <v/>
      </c>
      <c r="CN96" s="9">
        <f>-($B$14+(IF(6&lt;=$B$6,$B$13*$B$15+$B$12,IF(6&lt;=$B$6+$B$7,$B$13*$B$15,$B$13)))/CL96)</f>
        <v/>
      </c>
      <c r="CO96" s="9">
        <f>IF(6=$B$6+$B$7,0,IF(6&gt;$B$6+$B$7,$B$13/CL97,IF(6&gt;=$B$6,$B$13*$B$15/CL97,($B$13*$B$15+$B$12)/CL97)))</f>
        <v/>
      </c>
      <c r="CP96" s="9">
        <f>IF(6=$B$6,-$K$18*$B$12,0)</f>
        <v/>
      </c>
      <c r="CQ96" s="9">
        <f>CO96/(CN96-CM96*CQ95)</f>
        <v/>
      </c>
      <c r="CR96" s="9">
        <f>(CP96-CM96*CR95)/(CN96-CM96*CQ95)</f>
        <v/>
      </c>
      <c r="CS96" s="16">
        <f>CR96-CQ96*CS97</f>
        <v/>
      </c>
      <c r="CT96" s="9">
        <f>IF(6&gt;$B$6+$B$7,$G$19*$B$11^$H$19,$E$19*$B$9^$F$19)</f>
        <v/>
      </c>
      <c r="CU96" s="9">
        <f>IF(6=1,0,$B$14)</f>
        <v/>
      </c>
      <c r="CV96" s="9">
        <f>-($B$14+(IF(6&lt;=$B$6,$B$13*$B$15+$B$12,IF(6&lt;=$B$6+$B$7,$B$13*$B$15,$B$13)))/CT96)</f>
        <v/>
      </c>
      <c r="CW96" s="9">
        <f>IF(6=$B$6+$B$7,0,IF(6&gt;$B$6+$B$7,$B$13/CT97,IF(6&gt;=$B$6,$B$13*$B$15/CT97,($B$13*$B$15+$B$12)/CT97)))</f>
        <v/>
      </c>
      <c r="CX96" s="9">
        <f>IF(6=$B$6,-$K$19*$B$12,0)</f>
        <v/>
      </c>
      <c r="CY96" s="9">
        <f>CW96/(CV96-CU96*CY95)</f>
        <v/>
      </c>
      <c r="CZ96" s="9">
        <f>(CX96-CU96*CZ95)/(CV96-CU96*CY95)</f>
        <v/>
      </c>
      <c r="DA96" s="16">
        <f>CZ96-CY96*DA97</f>
        <v/>
      </c>
      <c r="DB96" s="9">
        <f>IF(6&gt;$B$6+$B$7,$G$20*$B$11^$H$20,$E$20*$B$9^$F$20)</f>
        <v/>
      </c>
      <c r="DC96" s="9">
        <f>IF(6=1,0,$B$14)</f>
        <v/>
      </c>
      <c r="DD96" s="9">
        <f>-($B$14+(IF(6&lt;=$B$6,$B$13*$B$15+$B$12,IF(6&lt;=$B$6+$B$7,$B$13*$B$15,$B$13)))/DB96)</f>
        <v/>
      </c>
      <c r="DE96" s="9">
        <f>IF(6=$B$6+$B$7,0,IF(6&gt;$B$6+$B$7,$B$13/DB97,IF(6&gt;=$B$6,$B$13*$B$15/DB97,($B$13*$B$15+$B$12)/DB97)))</f>
        <v/>
      </c>
      <c r="DF96" s="9">
        <f>IF(6=$B$6,-$K$20*$B$12,0)</f>
        <v/>
      </c>
      <c r="DG96" s="9">
        <f>DE96/(DD96-DC96*DG95)</f>
        <v/>
      </c>
      <c r="DH96" s="9">
        <f>(DF96-DC96*DH95)/(DD96-DC96*DG95)</f>
        <v/>
      </c>
      <c r="DI96" s="16">
        <f>DH96-DG96*DI97</f>
        <v/>
      </c>
      <c r="DJ96" s="9">
        <f>IF(6&gt;$B$6+$B$7,$G$21*$B$11^$H$21,$E$21*$B$9^$F$21)</f>
        <v/>
      </c>
      <c r="DK96" s="9">
        <f>IF(6=1,0,$B$14)</f>
        <v/>
      </c>
      <c r="DL96" s="9">
        <f>-($B$14+(IF(6&lt;=$B$6,$B$13*$B$15+$B$12,IF(6&lt;=$B$6+$B$7,$B$13*$B$15,$B$13)))/DJ96)</f>
        <v/>
      </c>
      <c r="DM96" s="9">
        <f>IF(6=$B$6+$B$7,0,IF(6&gt;$B$6+$B$7,$B$13/DJ97,IF(6&gt;=$B$6,$B$13*$B$15/DJ97,($B$13*$B$15+$B$12)/DJ97)))</f>
        <v/>
      </c>
      <c r="DN96" s="9">
        <f>IF(6=$B$6,-$K$21*$B$12,0)</f>
        <v/>
      </c>
      <c r="DO96" s="9">
        <f>DM96/(DL96-DK96*DO95)</f>
        <v/>
      </c>
      <c r="DP96" s="9">
        <f>(DN96-DK96*DP95)/(DL96-DK96*DO95)</f>
        <v/>
      </c>
      <c r="DQ96" s="16">
        <f>DP96-DO96*DQ97</f>
        <v/>
      </c>
      <c r="DR96" s="9">
        <f>IF(6&gt;$B$6+$B$7,$G$22*$B$11^$H$22,$E$22*$B$9^$F$22)</f>
        <v/>
      </c>
      <c r="DS96" s="9">
        <f>IF(6=1,0,$B$14)</f>
        <v/>
      </c>
      <c r="DT96" s="9">
        <f>-($B$14+(IF(6&lt;=$B$6,$B$13*$B$15+$B$12,IF(6&lt;=$B$6+$B$7,$B$13*$B$15,$B$13)))/DR96)</f>
        <v/>
      </c>
      <c r="DU96" s="9">
        <f>IF(6=$B$6+$B$7,0,IF(6&gt;$B$6+$B$7,$B$13/DR97,IF(6&gt;=$B$6,$B$13*$B$15/DR97,($B$13*$B$15+$B$12)/DR97)))</f>
        <v/>
      </c>
      <c r="DV96" s="9">
        <f>IF(6=$B$6,-$K$22*$B$12,0)</f>
        <v/>
      </c>
      <c r="DW96" s="9">
        <f>DU96/(DT96-DS96*DW95)</f>
        <v/>
      </c>
      <c r="DX96" s="9">
        <f>(DV96-DS96*DX95)/(DT96-DS96*DW95)</f>
        <v/>
      </c>
      <c r="DY96" s="16">
        <f>DX96-DW96*DY97</f>
        <v/>
      </c>
      <c r="DZ96" s="9">
        <f>IF(6&gt;$B$6+$B$7,$G$23*$B$11^$H$23,$E$23*$B$9^$F$23)</f>
        <v/>
      </c>
      <c r="EA96" s="9">
        <f>IF(6=1,0,$B$14)</f>
        <v/>
      </c>
      <c r="EB96" s="9">
        <f>-($B$14+(IF(6&lt;=$B$6,$B$13*$B$15+$B$12,IF(6&lt;=$B$6+$B$7,$B$13*$B$15,$B$13)))/DZ96)</f>
        <v/>
      </c>
      <c r="EC96" s="9">
        <f>IF(6=$B$6+$B$7,0,IF(6&gt;$B$6+$B$7,$B$13/DZ97,IF(6&gt;=$B$6,$B$13*$B$15/DZ97,($B$13*$B$15+$B$12)/DZ97)))</f>
        <v/>
      </c>
      <c r="ED96" s="9">
        <f>IF(6=$B$6,-$K$23*$B$12,0)</f>
        <v/>
      </c>
      <c r="EE96" s="9">
        <f>EC96/(EB96-EA96*EE95)</f>
        <v/>
      </c>
      <c r="EF96" s="9">
        <f>(ED96-EA96*EF95)/(EB96-EA96*EE95)</f>
        <v/>
      </c>
      <c r="EG96" s="16">
        <f>EF96-EE96*EG97</f>
        <v/>
      </c>
      <c r="EH96" s="9">
        <f>IF(6&gt;$B$6+$B$7,$G$24*$B$11^$H$24,$E$24*$B$9^$F$24)</f>
        <v/>
      </c>
      <c r="EI96" s="9">
        <f>IF(6=1,0,$B$14)</f>
        <v/>
      </c>
      <c r="EJ96" s="9">
        <f>-($B$14+(IF(6&lt;=$B$6,$B$13*$B$15+$B$12,IF(6&lt;=$B$6+$B$7,$B$13*$B$15,$B$13)))/EH96)</f>
        <v/>
      </c>
      <c r="EK96" s="9">
        <f>IF(6=$B$6+$B$7,0,IF(6&gt;$B$6+$B$7,$B$13/EH97,IF(6&gt;=$B$6,$B$13*$B$15/EH97,($B$13*$B$15+$B$12)/EH97)))</f>
        <v/>
      </c>
      <c r="EL96" s="9">
        <f>IF(6=$B$6,-$K$24*$B$12,0)</f>
        <v/>
      </c>
      <c r="EM96" s="9">
        <f>EK96/(EJ96-EI96*EM95)</f>
        <v/>
      </c>
      <c r="EN96" s="9">
        <f>(EL96-EI96*EN95)/(EJ96-EI96*EM95)</f>
        <v/>
      </c>
      <c r="EO96" s="16">
        <f>EN96-EM96*EO97</f>
        <v/>
      </c>
      <c r="EP96" s="9">
        <f>IF(6&gt;$B$6+$B$7,$G$25*$B$11^$H$25,$E$25*$B$9^$F$25)</f>
        <v/>
      </c>
      <c r="EQ96" s="9">
        <f>IF(6=1,0,$B$14)</f>
        <v/>
      </c>
      <c r="ER96" s="9">
        <f>-($B$14+(IF(6&lt;=$B$6,$B$13*$B$15+$B$12,IF(6&lt;=$B$6+$B$7,$B$13*$B$15,$B$13)))/EP96)</f>
        <v/>
      </c>
      <c r="ES96" s="9">
        <f>IF(6=$B$6+$B$7,0,IF(6&gt;$B$6+$B$7,$B$13/EP97,IF(6&gt;=$B$6,$B$13*$B$15/EP97,($B$13*$B$15+$B$12)/EP97)))</f>
        <v/>
      </c>
      <c r="ET96" s="9">
        <f>IF(6=$B$6,-$K$25*$B$12,0)</f>
        <v/>
      </c>
      <c r="EU96" s="9">
        <f>ES96/(ER96-EQ96*EU95)</f>
        <v/>
      </c>
      <c r="EV96" s="9">
        <f>(ET96-EQ96*EV95)/(ER96-EQ96*EU95)</f>
        <v/>
      </c>
      <c r="EW96" s="16">
        <f>EV96-EU96*EW97</f>
        <v/>
      </c>
      <c r="EX96" s="9">
        <f>IF(6&gt;$B$6+$B$7,$G$26*$B$11^$H$26,$E$26*$B$9^$F$26)</f>
        <v/>
      </c>
      <c r="EY96" s="9">
        <f>IF(6=1,0,$B$14)</f>
        <v/>
      </c>
      <c r="EZ96" s="9">
        <f>-($B$14+(IF(6&lt;=$B$6,$B$13*$B$15+$B$12,IF(6&lt;=$B$6+$B$7,$B$13*$B$15,$B$13)))/EX96)</f>
        <v/>
      </c>
      <c r="FA96" s="9">
        <f>IF(6=$B$6+$B$7,0,IF(6&gt;$B$6+$B$7,$B$13/EX97,IF(6&gt;=$B$6,$B$13*$B$15/EX97,($B$13*$B$15+$B$12)/EX97)))</f>
        <v/>
      </c>
      <c r="FB96" s="9">
        <f>IF(6=$B$6,-$K$26*$B$12,0)</f>
        <v/>
      </c>
      <c r="FC96" s="9">
        <f>FA96/(EZ96-EY96*FC95)</f>
        <v/>
      </c>
      <c r="FD96" s="9">
        <f>(FB96-EY96*FD95)/(EZ96-EY96*FC95)</f>
        <v/>
      </c>
      <c r="FE96" s="16">
        <f>FD96-FC96*FE97</f>
        <v/>
      </c>
      <c r="FF96" s="9">
        <f>IF(6&gt;$B$6+$B$7,$G$27*$B$11^$H$27,$E$27*$B$9^$F$27)</f>
        <v/>
      </c>
      <c r="FG96" s="9">
        <f>IF(6=1,0,$B$14)</f>
        <v/>
      </c>
      <c r="FH96" s="9">
        <f>-($B$14+(IF(6&lt;=$B$6,$B$13*$B$15+$B$12,IF(6&lt;=$B$6+$B$7,$B$13*$B$15,$B$13)))/FF96)</f>
        <v/>
      </c>
      <c r="FI96" s="9">
        <f>IF(6=$B$6+$B$7,0,IF(6&gt;$B$6+$B$7,$B$13/FF97,IF(6&gt;=$B$6,$B$13*$B$15/FF97,($B$13*$B$15+$B$12)/FF97)))</f>
        <v/>
      </c>
      <c r="FJ96" s="9">
        <f>IF(6=$B$6,-$K$27*$B$12,0)</f>
        <v/>
      </c>
      <c r="FK96" s="9">
        <f>FI96/(FH96-FG96*FK95)</f>
        <v/>
      </c>
      <c r="FL96" s="9">
        <f>(FJ96-FG96*FL95)/(FH96-FG96*FK95)</f>
        <v/>
      </c>
      <c r="FM96" s="16">
        <f>FL96-FK96*FM97</f>
        <v/>
      </c>
      <c r="FN96" s="9">
        <f>IF(6&gt;$B$6+$B$7,$G$28*$B$11^$H$28,$E$28*$B$9^$F$28)</f>
        <v/>
      </c>
      <c r="FO96" s="9">
        <f>IF(6=1,0,$B$14)</f>
        <v/>
      </c>
      <c r="FP96" s="9">
        <f>-($B$14+(IF(6&lt;=$B$6,$B$13*$B$15+$B$12,IF(6&lt;=$B$6+$B$7,$B$13*$B$15,$B$13)))/FN96)</f>
        <v/>
      </c>
      <c r="FQ96" s="9">
        <f>IF(6=$B$6+$B$7,0,IF(6&gt;$B$6+$B$7,$B$13/FN97,IF(6&gt;=$B$6,$B$13*$B$15/FN97,($B$13*$B$15+$B$12)/FN97)))</f>
        <v/>
      </c>
      <c r="FR96" s="9">
        <f>IF(6=$B$6,-$K$28*$B$12,0)</f>
        <v/>
      </c>
      <c r="FS96" s="9">
        <f>FQ96/(FP96-FO96*FS95)</f>
        <v/>
      </c>
      <c r="FT96" s="9">
        <f>(FR96-FO96*FT95)/(FP96-FO96*FS95)</f>
        <v/>
      </c>
      <c r="FU96" s="16">
        <f>FT96-FS96*FU97</f>
        <v/>
      </c>
      <c r="FV96" s="9">
        <f>IF(6&gt;$B$6+$B$7,$G$29*$B$11^$H$29,$E$29*$B$9^$F$29)</f>
        <v/>
      </c>
      <c r="FW96" s="9">
        <f>IF(6=1,0,$B$14)</f>
        <v/>
      </c>
      <c r="FX96" s="9">
        <f>-($B$14+(IF(6&lt;=$B$6,$B$13*$B$15+$B$12,IF(6&lt;=$B$6+$B$7,$B$13*$B$15,$B$13)))/FV96)</f>
        <v/>
      </c>
      <c r="FY96" s="9">
        <f>IF(6=$B$6+$B$7,0,IF(6&gt;$B$6+$B$7,$B$13/FV97,IF(6&gt;=$B$6,$B$13*$B$15/FV97,($B$13*$B$15+$B$12)/FV97)))</f>
        <v/>
      </c>
      <c r="FZ96" s="9">
        <f>IF(6=$B$6,-$K$29*$B$12,0)</f>
        <v/>
      </c>
      <c r="GA96" s="9">
        <f>FY96/(FX96-FW96*GA95)</f>
        <v/>
      </c>
      <c r="GB96" s="9">
        <f>(FZ96-FW96*GB95)/(FX96-FW96*GA95)</f>
        <v/>
      </c>
      <c r="GC96" s="16">
        <f>GB96-GA96*GC97</f>
        <v/>
      </c>
      <c r="GD96" s="9">
        <f>IF(6&gt;$B$6+$B$7,$G$30*$B$11^$H$30,$E$30*$B$9^$F$30)</f>
        <v/>
      </c>
      <c r="GE96" s="9">
        <f>IF(6=1,0,$B$14)</f>
        <v/>
      </c>
      <c r="GF96" s="9">
        <f>-($B$14+(IF(6&lt;=$B$6,$B$13*$B$15+$B$12,IF(6&lt;=$B$6+$B$7,$B$13*$B$15,$B$13)))/GD96)</f>
        <v/>
      </c>
      <c r="GG96" s="9">
        <f>IF(6=$B$6+$B$7,0,IF(6&gt;$B$6+$B$7,$B$13/GD97,IF(6&gt;=$B$6,$B$13*$B$15/GD97,($B$13*$B$15+$B$12)/GD97)))</f>
        <v/>
      </c>
      <c r="GH96" s="9">
        <f>IF(6=$B$6,-$K$30*$B$12,0)</f>
        <v/>
      </c>
      <c r="GI96" s="9">
        <f>GG96/(GF96-GE96*GI95)</f>
        <v/>
      </c>
      <c r="GJ96" s="9">
        <f>(GH96-GE96*GJ95)/(GF96-GE96*GI95)</f>
        <v/>
      </c>
      <c r="GK96" s="16">
        <f>GJ96-GI96*GK97</f>
        <v/>
      </c>
      <c r="GL96" s="9">
        <f>IF(6&gt;$B$6+$B$7,$G$31*$B$11^$H$31,$E$31*$B$9^$F$31)</f>
        <v/>
      </c>
      <c r="GM96" s="9">
        <f>IF(6=1,0,$B$14)</f>
        <v/>
      </c>
      <c r="GN96" s="9">
        <f>-($B$14+(IF(6&lt;=$B$6,$B$13*$B$15+$B$12,IF(6&lt;=$B$6+$B$7,$B$13*$B$15,$B$13)))/GL96)</f>
        <v/>
      </c>
      <c r="GO96" s="9">
        <f>IF(6=$B$6+$B$7,0,IF(6&gt;$B$6+$B$7,$B$13/GL97,IF(6&gt;=$B$6,$B$13*$B$15/GL97,($B$13*$B$15+$B$12)/GL97)))</f>
        <v/>
      </c>
      <c r="GP96" s="9">
        <f>IF(6=$B$6,-$K$31*$B$12,0)</f>
        <v/>
      </c>
      <c r="GQ96" s="9">
        <f>GO96/(GN96-GM96*GQ95)</f>
        <v/>
      </c>
      <c r="GR96" s="9">
        <f>(GP96-GM96*GR95)/(GN96-GM96*GQ95)</f>
        <v/>
      </c>
      <c r="GS96" s="16">
        <f>GR96-GQ96*GS97</f>
        <v/>
      </c>
      <c r="GT96" s="9">
        <f>IF(6&gt;$B$6+$B$7,$G$32*$B$11^$H$32,$E$32*$B$9^$F$32)</f>
        <v/>
      </c>
      <c r="GU96" s="9">
        <f>IF(6=1,0,$B$14)</f>
        <v/>
      </c>
      <c r="GV96" s="9">
        <f>-($B$14+(IF(6&lt;=$B$6,$B$13*$B$15+$B$12,IF(6&lt;=$B$6+$B$7,$B$13*$B$15,$B$13)))/GT96)</f>
        <v/>
      </c>
      <c r="GW96" s="9">
        <f>IF(6=$B$6+$B$7,0,IF(6&gt;$B$6+$B$7,$B$13/GT97,IF(6&gt;=$B$6,$B$13*$B$15/GT97,($B$13*$B$15+$B$12)/GT97)))</f>
        <v/>
      </c>
      <c r="GX96" s="9">
        <f>IF(6=$B$6,-$K$32*$B$12,0)</f>
        <v/>
      </c>
      <c r="GY96" s="9">
        <f>GW96/(GV96-GU96*GY95)</f>
        <v/>
      </c>
      <c r="GZ96" s="9">
        <f>(GX96-GU96*GZ95)/(GV96-GU96*GY95)</f>
        <v/>
      </c>
      <c r="HA96" s="16">
        <f>GZ96-GY96*HA97</f>
        <v/>
      </c>
      <c r="HB96" s="12">
        <f>IFERROR(I96/B96,0)</f>
        <v/>
      </c>
      <c r="HC96" s="12">
        <f>IFERROR(Q96/J96,0)</f>
        <v/>
      </c>
      <c r="HD96" s="12">
        <f>IFERROR(Y96/R96,0)</f>
        <v/>
      </c>
      <c r="HE96" s="12">
        <f>IFERROR(AG96/Z96,0)</f>
        <v/>
      </c>
      <c r="HF96" s="12">
        <f>IFERROR(AO96/AH96,0)</f>
        <v/>
      </c>
      <c r="HG96" s="12">
        <f>IFERROR(AW96/AP96,0)</f>
        <v/>
      </c>
      <c r="HH96" s="12">
        <f>IFERROR(BE96/AX96,0)</f>
        <v/>
      </c>
      <c r="HI96" s="12">
        <f>IFERROR(BM96/BF96,0)</f>
        <v/>
      </c>
      <c r="HJ96" s="12">
        <f>IFERROR(BU96/BN96,0)</f>
        <v/>
      </c>
      <c r="HK96" s="12">
        <f>IFERROR(CC96/BV96,0)</f>
        <v/>
      </c>
      <c r="HL96" s="12">
        <f>IFERROR(CK96/CD96,0)</f>
        <v/>
      </c>
      <c r="HM96" s="12">
        <f>IFERROR(CS96/CL96,0)</f>
        <v/>
      </c>
      <c r="HN96" s="12">
        <f>IFERROR(DA96/CT96,0)</f>
        <v/>
      </c>
      <c r="HO96" s="12">
        <f>IFERROR(DI96/DB96,0)</f>
        <v/>
      </c>
      <c r="HP96" s="12">
        <f>IFERROR(DQ96/DJ96,0)</f>
        <v/>
      </c>
      <c r="HQ96" s="12">
        <f>IFERROR(DY96/DR96,0)</f>
        <v/>
      </c>
      <c r="HR96" s="12">
        <f>IFERROR(EG96/DZ96,0)</f>
        <v/>
      </c>
      <c r="HS96" s="12">
        <f>IFERROR(EO96/EH96,0)</f>
        <v/>
      </c>
      <c r="HT96" s="12">
        <f>IFERROR(EW96/EP96,0)</f>
        <v/>
      </c>
      <c r="HU96" s="12">
        <f>IFERROR(FE96/EX96,0)</f>
        <v/>
      </c>
      <c r="HV96" s="12">
        <f>IFERROR(FM96/FF96,0)</f>
        <v/>
      </c>
      <c r="HW96" s="12">
        <f>IFERROR(FU96/FN96,0)</f>
        <v/>
      </c>
      <c r="HX96" s="12">
        <f>IFERROR(GC96/FV96,0)</f>
        <v/>
      </c>
      <c r="HY96" s="12">
        <f>IFERROR(GK96/GD96,0)</f>
        <v/>
      </c>
      <c r="HZ96" s="12">
        <f>IFERROR(GS96/GL96,0)</f>
        <v/>
      </c>
      <c r="IA96" s="12">
        <f>IFERROR(HA96/GT96,0)</f>
        <v/>
      </c>
      <c r="IB96" s="12">
        <f>I96+Q96+Y96+AG96+AO96+AW96+BE96+BM96+BU96+CC96+CK96+CS96+DA96+DI96+DQ96+DY96+EG96+EO96+EW96+FE96+FM96+FU96+GC96+GK96+GS96+HA96</f>
        <v/>
      </c>
      <c r="IC96" s="12">
        <f>HB96+HC96+HD96+HE96+HF96+HG96+HH96+HI96+HJ96+HK96+HL96+HM96+HN96+HO96+HP96+HQ96+HR96+HS96+HT96+HU96+HV96+HW96+HX96+HY96+HZ96+IA96</f>
        <v/>
      </c>
    </row>
    <row r="97" ht="14" customHeight="1">
      <c r="A97" s="29" t="n">
        <v>7</v>
      </c>
      <c r="B97" s="9">
        <f>IF(7&gt;$B$6+$B$7,$G$7*$B$11^$H$7,$E$7*$B$9^$F$7)</f>
        <v/>
      </c>
      <c r="C97" s="9">
        <f>IF(7=1,0,$B$14)</f>
        <v/>
      </c>
      <c r="D97" s="9">
        <f>-($B$14+(IF(7&lt;=$B$6,$B$13*$B$15+$B$12,IF(7&lt;=$B$6+$B$7,$B$13*$B$15,$B$13)))/B97)</f>
        <v/>
      </c>
      <c r="E97" s="9">
        <f>IF(7=$B$6+$B$7,0,IF(7&gt;$B$6+$B$7,$B$13/B98,IF(7&gt;=$B$6,$B$13*$B$15/B98,($B$13*$B$15+$B$12)/B98)))</f>
        <v/>
      </c>
      <c r="F97" s="9">
        <f>IF(7=$B$6,-$K$7*$B$12,0)</f>
        <v/>
      </c>
      <c r="G97" s="9">
        <f>E97/(D97-C97*G96)</f>
        <v/>
      </c>
      <c r="H97" s="9">
        <f>(F97-C97*H96)/(D97-C97*G96)</f>
        <v/>
      </c>
      <c r="I97" s="16">
        <f>H97-G97*I98</f>
        <v/>
      </c>
      <c r="J97" s="9">
        <f>IF(7&gt;$B$6+$B$7,$G$8*$B$11^$H$8,$E$8*$B$9^$F$8)</f>
        <v/>
      </c>
      <c r="K97" s="9">
        <f>IF(7=1,0,$B$14)</f>
        <v/>
      </c>
      <c r="L97" s="9">
        <f>-($B$14+(IF(7&lt;=$B$6,$B$13*$B$15+$B$12,IF(7&lt;=$B$6+$B$7,$B$13*$B$15,$B$13)))/J97)</f>
        <v/>
      </c>
      <c r="M97" s="9">
        <f>IF(7=$B$6+$B$7,0,IF(7&gt;$B$6+$B$7,$B$13/J98,IF(7&gt;=$B$6,$B$13*$B$15/J98,($B$13*$B$15+$B$12)/J98)))</f>
        <v/>
      </c>
      <c r="N97" s="9">
        <f>IF(7=$B$6,-$K$8*$B$12,0)</f>
        <v/>
      </c>
      <c r="O97" s="9">
        <f>M97/(L97-K97*O96)</f>
        <v/>
      </c>
      <c r="P97" s="9">
        <f>(N97-K97*P96)/(L97-K97*O96)</f>
        <v/>
      </c>
      <c r="Q97" s="16">
        <f>P97-O97*Q98</f>
        <v/>
      </c>
      <c r="R97" s="9">
        <f>IF(7&gt;$B$6+$B$7,$G$9*$B$11^$H$9,$E$9*$B$9^$F$9)</f>
        <v/>
      </c>
      <c r="S97" s="9">
        <f>IF(7=1,0,$B$14)</f>
        <v/>
      </c>
      <c r="T97" s="9">
        <f>-($B$14+(IF(7&lt;=$B$6,$B$13*$B$15+$B$12,IF(7&lt;=$B$6+$B$7,$B$13*$B$15,$B$13)))/R97)</f>
        <v/>
      </c>
      <c r="U97" s="9">
        <f>IF(7=$B$6+$B$7,0,IF(7&gt;$B$6+$B$7,$B$13/R98,IF(7&gt;=$B$6,$B$13*$B$15/R98,($B$13*$B$15+$B$12)/R98)))</f>
        <v/>
      </c>
      <c r="V97" s="9">
        <f>IF(7=$B$6,-$K$9*$B$12,0)</f>
        <v/>
      </c>
      <c r="W97" s="9">
        <f>U97/(T97-S97*W96)</f>
        <v/>
      </c>
      <c r="X97" s="9">
        <f>(V97-S97*X96)/(T97-S97*W96)</f>
        <v/>
      </c>
      <c r="Y97" s="16">
        <f>X97-W97*Y98</f>
        <v/>
      </c>
      <c r="Z97" s="9">
        <f>IF(7&gt;$B$6+$B$7,$G$10*$B$11^$H$10,$E$10*$B$9^$F$10)</f>
        <v/>
      </c>
      <c r="AA97" s="9">
        <f>IF(7=1,0,$B$14)</f>
        <v/>
      </c>
      <c r="AB97" s="9">
        <f>-($B$14+(IF(7&lt;=$B$6,$B$13*$B$15+$B$12,IF(7&lt;=$B$6+$B$7,$B$13*$B$15,$B$13)))/Z97)</f>
        <v/>
      </c>
      <c r="AC97" s="9">
        <f>IF(7=$B$6+$B$7,0,IF(7&gt;$B$6+$B$7,$B$13/Z98,IF(7&gt;=$B$6,$B$13*$B$15/Z98,($B$13*$B$15+$B$12)/Z98)))</f>
        <v/>
      </c>
      <c r="AD97" s="9">
        <f>IF(7=$B$6,-$K$10*$B$12,0)</f>
        <v/>
      </c>
      <c r="AE97" s="9">
        <f>AC97/(AB97-AA97*AE96)</f>
        <v/>
      </c>
      <c r="AF97" s="9">
        <f>(AD97-AA97*AF96)/(AB97-AA97*AE96)</f>
        <v/>
      </c>
      <c r="AG97" s="16">
        <f>AF97-AE97*AG98</f>
        <v/>
      </c>
      <c r="AH97" s="9">
        <f>IF(7&gt;$B$6+$B$7,$G$11*$B$11^$H$11,$E$11*$B$9^$F$11)</f>
        <v/>
      </c>
      <c r="AI97" s="9">
        <f>IF(7=1,0,$B$14)</f>
        <v/>
      </c>
      <c r="AJ97" s="9">
        <f>-($B$14+(IF(7&lt;=$B$6,$B$13*$B$15+$B$12,IF(7&lt;=$B$6+$B$7,$B$13*$B$15,$B$13)))/AH97)</f>
        <v/>
      </c>
      <c r="AK97" s="9">
        <f>IF(7=$B$6+$B$7,0,IF(7&gt;$B$6+$B$7,$B$13/AH98,IF(7&gt;=$B$6,$B$13*$B$15/AH98,($B$13*$B$15+$B$12)/AH98)))</f>
        <v/>
      </c>
      <c r="AL97" s="9">
        <f>IF(7=$B$6,-$K$11*$B$12,0)</f>
        <v/>
      </c>
      <c r="AM97" s="9">
        <f>AK97/(AJ97-AI97*AM96)</f>
        <v/>
      </c>
      <c r="AN97" s="9">
        <f>(AL97-AI97*AN96)/(AJ97-AI97*AM96)</f>
        <v/>
      </c>
      <c r="AO97" s="16">
        <f>AN97-AM97*AO98</f>
        <v/>
      </c>
      <c r="AP97" s="9">
        <f>IF(7&gt;$B$6+$B$7,$G$12*$B$11^$H$12,$E$12*$B$9^$F$12)</f>
        <v/>
      </c>
      <c r="AQ97" s="9">
        <f>IF(7=1,0,$B$14)</f>
        <v/>
      </c>
      <c r="AR97" s="9">
        <f>-($B$14+(IF(7&lt;=$B$6,$B$13*$B$15+$B$12,IF(7&lt;=$B$6+$B$7,$B$13*$B$15,$B$13)))/AP97)</f>
        <v/>
      </c>
      <c r="AS97" s="9">
        <f>IF(7=$B$6+$B$7,0,IF(7&gt;$B$6+$B$7,$B$13/AP98,IF(7&gt;=$B$6,$B$13*$B$15/AP98,($B$13*$B$15+$B$12)/AP98)))</f>
        <v/>
      </c>
      <c r="AT97" s="9">
        <f>IF(7=$B$6,-$K$12*$B$12,0)</f>
        <v/>
      </c>
      <c r="AU97" s="9">
        <f>AS97/(AR97-AQ97*AU96)</f>
        <v/>
      </c>
      <c r="AV97" s="9">
        <f>(AT97-AQ97*AV96)/(AR97-AQ97*AU96)</f>
        <v/>
      </c>
      <c r="AW97" s="16">
        <f>AV97-AU97*AW98</f>
        <v/>
      </c>
      <c r="AX97" s="9">
        <f>IF(7&gt;$B$6+$B$7,$G$13*$B$11^$H$13,$E$13*$B$9^$F$13)</f>
        <v/>
      </c>
      <c r="AY97" s="9">
        <f>IF(7=1,0,$B$14)</f>
        <v/>
      </c>
      <c r="AZ97" s="9">
        <f>-($B$14+(IF(7&lt;=$B$6,$B$13*$B$15+$B$12,IF(7&lt;=$B$6+$B$7,$B$13*$B$15,$B$13)))/AX97)</f>
        <v/>
      </c>
      <c r="BA97" s="9">
        <f>IF(7=$B$6+$B$7,0,IF(7&gt;$B$6+$B$7,$B$13/AX98,IF(7&gt;=$B$6,$B$13*$B$15/AX98,($B$13*$B$15+$B$12)/AX98)))</f>
        <v/>
      </c>
      <c r="BB97" s="9">
        <f>IF(7=$B$6,-$K$13*$B$12,0)</f>
        <v/>
      </c>
      <c r="BC97" s="9">
        <f>BA97/(AZ97-AY97*BC96)</f>
        <v/>
      </c>
      <c r="BD97" s="9">
        <f>(BB97-AY97*BD96)/(AZ97-AY97*BC96)</f>
        <v/>
      </c>
      <c r="BE97" s="16">
        <f>BD97-BC97*BE98</f>
        <v/>
      </c>
      <c r="BF97" s="9">
        <f>IF(7&gt;$B$6+$B$7,$G$14*$B$11^$H$14,$E$14*$B$9^$F$14)</f>
        <v/>
      </c>
      <c r="BG97" s="9">
        <f>IF(7=1,0,$B$14)</f>
        <v/>
      </c>
      <c r="BH97" s="9">
        <f>-($B$14+(IF(7&lt;=$B$6,$B$13*$B$15+$B$12,IF(7&lt;=$B$6+$B$7,$B$13*$B$15,$B$13)))/BF97)</f>
        <v/>
      </c>
      <c r="BI97" s="9">
        <f>IF(7=$B$6+$B$7,0,IF(7&gt;$B$6+$B$7,$B$13/BF98,IF(7&gt;=$B$6,$B$13*$B$15/BF98,($B$13*$B$15+$B$12)/BF98)))</f>
        <v/>
      </c>
      <c r="BJ97" s="9">
        <f>IF(7=$B$6,-$K$14*$B$12,0)</f>
        <v/>
      </c>
      <c r="BK97" s="9">
        <f>BI97/(BH97-BG97*BK96)</f>
        <v/>
      </c>
      <c r="BL97" s="9">
        <f>(BJ97-BG97*BL96)/(BH97-BG97*BK96)</f>
        <v/>
      </c>
      <c r="BM97" s="16">
        <f>BL97-BK97*BM98</f>
        <v/>
      </c>
      <c r="BN97" s="9">
        <f>IF(7&gt;$B$6+$B$7,$G$15*$B$11^$H$15,$E$15*$B$9^$F$15)</f>
        <v/>
      </c>
      <c r="BO97" s="9">
        <f>IF(7=1,0,$B$14)</f>
        <v/>
      </c>
      <c r="BP97" s="9">
        <f>-($B$14+(IF(7&lt;=$B$6,$B$13*$B$15+$B$12,IF(7&lt;=$B$6+$B$7,$B$13*$B$15,$B$13)))/BN97)</f>
        <v/>
      </c>
      <c r="BQ97" s="9">
        <f>IF(7=$B$6+$B$7,0,IF(7&gt;$B$6+$B$7,$B$13/BN98,IF(7&gt;=$B$6,$B$13*$B$15/BN98,($B$13*$B$15+$B$12)/BN98)))</f>
        <v/>
      </c>
      <c r="BR97" s="9">
        <f>IF(7=$B$6,-$K$15*$B$12,0)</f>
        <v/>
      </c>
      <c r="BS97" s="9">
        <f>BQ97/(BP97-BO97*BS96)</f>
        <v/>
      </c>
      <c r="BT97" s="9">
        <f>(BR97-BO97*BT96)/(BP97-BO97*BS96)</f>
        <v/>
      </c>
      <c r="BU97" s="16">
        <f>BT97-BS97*BU98</f>
        <v/>
      </c>
      <c r="BV97" s="9">
        <f>IF(7&gt;$B$6+$B$7,$G$16*$B$11^$H$16,$E$16*$B$9^$F$16)</f>
        <v/>
      </c>
      <c r="BW97" s="9">
        <f>IF(7=1,0,$B$14)</f>
        <v/>
      </c>
      <c r="BX97" s="9">
        <f>-($B$14+(IF(7&lt;=$B$6,$B$13*$B$15+$B$12,IF(7&lt;=$B$6+$B$7,$B$13*$B$15,$B$13)))/BV97)</f>
        <v/>
      </c>
      <c r="BY97" s="9">
        <f>IF(7=$B$6+$B$7,0,IF(7&gt;$B$6+$B$7,$B$13/BV98,IF(7&gt;=$B$6,$B$13*$B$15/BV98,($B$13*$B$15+$B$12)/BV98)))</f>
        <v/>
      </c>
      <c r="BZ97" s="9">
        <f>IF(7=$B$6,-$K$16*$B$12,0)</f>
        <v/>
      </c>
      <c r="CA97" s="9">
        <f>BY97/(BX97-BW97*CA96)</f>
        <v/>
      </c>
      <c r="CB97" s="9">
        <f>(BZ97-BW97*CB96)/(BX97-BW97*CA96)</f>
        <v/>
      </c>
      <c r="CC97" s="16">
        <f>CB97-CA97*CC98</f>
        <v/>
      </c>
      <c r="CD97" s="9">
        <f>IF(7&gt;$B$6+$B$7,$G$17*$B$11^$H$17,$E$17*$B$9^$F$17)</f>
        <v/>
      </c>
      <c r="CE97" s="9">
        <f>IF(7=1,0,$B$14)</f>
        <v/>
      </c>
      <c r="CF97" s="9">
        <f>-($B$14+(IF(7&lt;=$B$6,$B$13*$B$15+$B$12,IF(7&lt;=$B$6+$B$7,$B$13*$B$15,$B$13)))/CD97)</f>
        <v/>
      </c>
      <c r="CG97" s="9">
        <f>IF(7=$B$6+$B$7,0,IF(7&gt;$B$6+$B$7,$B$13/CD98,IF(7&gt;=$B$6,$B$13*$B$15/CD98,($B$13*$B$15+$B$12)/CD98)))</f>
        <v/>
      </c>
      <c r="CH97" s="9">
        <f>IF(7=$B$6,-$K$17*$B$12,0)</f>
        <v/>
      </c>
      <c r="CI97" s="9">
        <f>CG97/(CF97-CE97*CI96)</f>
        <v/>
      </c>
      <c r="CJ97" s="9">
        <f>(CH97-CE97*CJ96)/(CF97-CE97*CI96)</f>
        <v/>
      </c>
      <c r="CK97" s="16">
        <f>CJ97-CI97*CK98</f>
        <v/>
      </c>
      <c r="CL97" s="9">
        <f>IF(7&gt;$B$6+$B$7,$G$18*$B$11^$H$18,$E$18*$B$9^$F$18)</f>
        <v/>
      </c>
      <c r="CM97" s="9">
        <f>IF(7=1,0,$B$14)</f>
        <v/>
      </c>
      <c r="CN97" s="9">
        <f>-($B$14+(IF(7&lt;=$B$6,$B$13*$B$15+$B$12,IF(7&lt;=$B$6+$B$7,$B$13*$B$15,$B$13)))/CL97)</f>
        <v/>
      </c>
      <c r="CO97" s="9">
        <f>IF(7=$B$6+$B$7,0,IF(7&gt;$B$6+$B$7,$B$13/CL98,IF(7&gt;=$B$6,$B$13*$B$15/CL98,($B$13*$B$15+$B$12)/CL98)))</f>
        <v/>
      </c>
      <c r="CP97" s="9">
        <f>IF(7=$B$6,-$K$18*$B$12,0)</f>
        <v/>
      </c>
      <c r="CQ97" s="9">
        <f>CO97/(CN97-CM97*CQ96)</f>
        <v/>
      </c>
      <c r="CR97" s="9">
        <f>(CP97-CM97*CR96)/(CN97-CM97*CQ96)</f>
        <v/>
      </c>
      <c r="CS97" s="16">
        <f>CR97-CQ97*CS98</f>
        <v/>
      </c>
      <c r="CT97" s="9">
        <f>IF(7&gt;$B$6+$B$7,$G$19*$B$11^$H$19,$E$19*$B$9^$F$19)</f>
        <v/>
      </c>
      <c r="CU97" s="9">
        <f>IF(7=1,0,$B$14)</f>
        <v/>
      </c>
      <c r="CV97" s="9">
        <f>-($B$14+(IF(7&lt;=$B$6,$B$13*$B$15+$B$12,IF(7&lt;=$B$6+$B$7,$B$13*$B$15,$B$13)))/CT97)</f>
        <v/>
      </c>
      <c r="CW97" s="9">
        <f>IF(7=$B$6+$B$7,0,IF(7&gt;$B$6+$B$7,$B$13/CT98,IF(7&gt;=$B$6,$B$13*$B$15/CT98,($B$13*$B$15+$B$12)/CT98)))</f>
        <v/>
      </c>
      <c r="CX97" s="9">
        <f>IF(7=$B$6,-$K$19*$B$12,0)</f>
        <v/>
      </c>
      <c r="CY97" s="9">
        <f>CW97/(CV97-CU97*CY96)</f>
        <v/>
      </c>
      <c r="CZ97" s="9">
        <f>(CX97-CU97*CZ96)/(CV97-CU97*CY96)</f>
        <v/>
      </c>
      <c r="DA97" s="16">
        <f>CZ97-CY97*DA98</f>
        <v/>
      </c>
      <c r="DB97" s="9">
        <f>IF(7&gt;$B$6+$B$7,$G$20*$B$11^$H$20,$E$20*$B$9^$F$20)</f>
        <v/>
      </c>
      <c r="DC97" s="9">
        <f>IF(7=1,0,$B$14)</f>
        <v/>
      </c>
      <c r="DD97" s="9">
        <f>-($B$14+(IF(7&lt;=$B$6,$B$13*$B$15+$B$12,IF(7&lt;=$B$6+$B$7,$B$13*$B$15,$B$13)))/DB97)</f>
        <v/>
      </c>
      <c r="DE97" s="9">
        <f>IF(7=$B$6+$B$7,0,IF(7&gt;$B$6+$B$7,$B$13/DB98,IF(7&gt;=$B$6,$B$13*$B$15/DB98,($B$13*$B$15+$B$12)/DB98)))</f>
        <v/>
      </c>
      <c r="DF97" s="9">
        <f>IF(7=$B$6,-$K$20*$B$12,0)</f>
        <v/>
      </c>
      <c r="DG97" s="9">
        <f>DE97/(DD97-DC97*DG96)</f>
        <v/>
      </c>
      <c r="DH97" s="9">
        <f>(DF97-DC97*DH96)/(DD97-DC97*DG96)</f>
        <v/>
      </c>
      <c r="DI97" s="16">
        <f>DH97-DG97*DI98</f>
        <v/>
      </c>
      <c r="DJ97" s="9">
        <f>IF(7&gt;$B$6+$B$7,$G$21*$B$11^$H$21,$E$21*$B$9^$F$21)</f>
        <v/>
      </c>
      <c r="DK97" s="9">
        <f>IF(7=1,0,$B$14)</f>
        <v/>
      </c>
      <c r="DL97" s="9">
        <f>-($B$14+(IF(7&lt;=$B$6,$B$13*$B$15+$B$12,IF(7&lt;=$B$6+$B$7,$B$13*$B$15,$B$13)))/DJ97)</f>
        <v/>
      </c>
      <c r="DM97" s="9">
        <f>IF(7=$B$6+$B$7,0,IF(7&gt;$B$6+$B$7,$B$13/DJ98,IF(7&gt;=$B$6,$B$13*$B$15/DJ98,($B$13*$B$15+$B$12)/DJ98)))</f>
        <v/>
      </c>
      <c r="DN97" s="9">
        <f>IF(7=$B$6,-$K$21*$B$12,0)</f>
        <v/>
      </c>
      <c r="DO97" s="9">
        <f>DM97/(DL97-DK97*DO96)</f>
        <v/>
      </c>
      <c r="DP97" s="9">
        <f>(DN97-DK97*DP96)/(DL97-DK97*DO96)</f>
        <v/>
      </c>
      <c r="DQ97" s="16">
        <f>DP97-DO97*DQ98</f>
        <v/>
      </c>
      <c r="DR97" s="9">
        <f>IF(7&gt;$B$6+$B$7,$G$22*$B$11^$H$22,$E$22*$B$9^$F$22)</f>
        <v/>
      </c>
      <c r="DS97" s="9">
        <f>IF(7=1,0,$B$14)</f>
        <v/>
      </c>
      <c r="DT97" s="9">
        <f>-($B$14+(IF(7&lt;=$B$6,$B$13*$B$15+$B$12,IF(7&lt;=$B$6+$B$7,$B$13*$B$15,$B$13)))/DR97)</f>
        <v/>
      </c>
      <c r="DU97" s="9">
        <f>IF(7=$B$6+$B$7,0,IF(7&gt;$B$6+$B$7,$B$13/DR98,IF(7&gt;=$B$6,$B$13*$B$15/DR98,($B$13*$B$15+$B$12)/DR98)))</f>
        <v/>
      </c>
      <c r="DV97" s="9">
        <f>IF(7=$B$6,-$K$22*$B$12,0)</f>
        <v/>
      </c>
      <c r="DW97" s="9">
        <f>DU97/(DT97-DS97*DW96)</f>
        <v/>
      </c>
      <c r="DX97" s="9">
        <f>(DV97-DS97*DX96)/(DT97-DS97*DW96)</f>
        <v/>
      </c>
      <c r="DY97" s="16">
        <f>DX97-DW97*DY98</f>
        <v/>
      </c>
      <c r="DZ97" s="9">
        <f>IF(7&gt;$B$6+$B$7,$G$23*$B$11^$H$23,$E$23*$B$9^$F$23)</f>
        <v/>
      </c>
      <c r="EA97" s="9">
        <f>IF(7=1,0,$B$14)</f>
        <v/>
      </c>
      <c r="EB97" s="9">
        <f>-($B$14+(IF(7&lt;=$B$6,$B$13*$B$15+$B$12,IF(7&lt;=$B$6+$B$7,$B$13*$B$15,$B$13)))/DZ97)</f>
        <v/>
      </c>
      <c r="EC97" s="9">
        <f>IF(7=$B$6+$B$7,0,IF(7&gt;$B$6+$B$7,$B$13/DZ98,IF(7&gt;=$B$6,$B$13*$B$15/DZ98,($B$13*$B$15+$B$12)/DZ98)))</f>
        <v/>
      </c>
      <c r="ED97" s="9">
        <f>IF(7=$B$6,-$K$23*$B$12,0)</f>
        <v/>
      </c>
      <c r="EE97" s="9">
        <f>EC97/(EB97-EA97*EE96)</f>
        <v/>
      </c>
      <c r="EF97" s="9">
        <f>(ED97-EA97*EF96)/(EB97-EA97*EE96)</f>
        <v/>
      </c>
      <c r="EG97" s="16">
        <f>EF97-EE97*EG98</f>
        <v/>
      </c>
      <c r="EH97" s="9">
        <f>IF(7&gt;$B$6+$B$7,$G$24*$B$11^$H$24,$E$24*$B$9^$F$24)</f>
        <v/>
      </c>
      <c r="EI97" s="9">
        <f>IF(7=1,0,$B$14)</f>
        <v/>
      </c>
      <c r="EJ97" s="9">
        <f>-($B$14+(IF(7&lt;=$B$6,$B$13*$B$15+$B$12,IF(7&lt;=$B$6+$B$7,$B$13*$B$15,$B$13)))/EH97)</f>
        <v/>
      </c>
      <c r="EK97" s="9">
        <f>IF(7=$B$6+$B$7,0,IF(7&gt;$B$6+$B$7,$B$13/EH98,IF(7&gt;=$B$6,$B$13*$B$15/EH98,($B$13*$B$15+$B$12)/EH98)))</f>
        <v/>
      </c>
      <c r="EL97" s="9">
        <f>IF(7=$B$6,-$K$24*$B$12,0)</f>
        <v/>
      </c>
      <c r="EM97" s="9">
        <f>EK97/(EJ97-EI97*EM96)</f>
        <v/>
      </c>
      <c r="EN97" s="9">
        <f>(EL97-EI97*EN96)/(EJ97-EI97*EM96)</f>
        <v/>
      </c>
      <c r="EO97" s="16">
        <f>EN97-EM97*EO98</f>
        <v/>
      </c>
      <c r="EP97" s="9">
        <f>IF(7&gt;$B$6+$B$7,$G$25*$B$11^$H$25,$E$25*$B$9^$F$25)</f>
        <v/>
      </c>
      <c r="EQ97" s="9">
        <f>IF(7=1,0,$B$14)</f>
        <v/>
      </c>
      <c r="ER97" s="9">
        <f>-($B$14+(IF(7&lt;=$B$6,$B$13*$B$15+$B$12,IF(7&lt;=$B$6+$B$7,$B$13*$B$15,$B$13)))/EP97)</f>
        <v/>
      </c>
      <c r="ES97" s="9">
        <f>IF(7=$B$6+$B$7,0,IF(7&gt;$B$6+$B$7,$B$13/EP98,IF(7&gt;=$B$6,$B$13*$B$15/EP98,($B$13*$B$15+$B$12)/EP98)))</f>
        <v/>
      </c>
      <c r="ET97" s="9">
        <f>IF(7=$B$6,-$K$25*$B$12,0)</f>
        <v/>
      </c>
      <c r="EU97" s="9">
        <f>ES97/(ER97-EQ97*EU96)</f>
        <v/>
      </c>
      <c r="EV97" s="9">
        <f>(ET97-EQ97*EV96)/(ER97-EQ97*EU96)</f>
        <v/>
      </c>
      <c r="EW97" s="16">
        <f>EV97-EU97*EW98</f>
        <v/>
      </c>
      <c r="EX97" s="9">
        <f>IF(7&gt;$B$6+$B$7,$G$26*$B$11^$H$26,$E$26*$B$9^$F$26)</f>
        <v/>
      </c>
      <c r="EY97" s="9">
        <f>IF(7=1,0,$B$14)</f>
        <v/>
      </c>
      <c r="EZ97" s="9">
        <f>-($B$14+(IF(7&lt;=$B$6,$B$13*$B$15+$B$12,IF(7&lt;=$B$6+$B$7,$B$13*$B$15,$B$13)))/EX97)</f>
        <v/>
      </c>
      <c r="FA97" s="9">
        <f>IF(7=$B$6+$B$7,0,IF(7&gt;$B$6+$B$7,$B$13/EX98,IF(7&gt;=$B$6,$B$13*$B$15/EX98,($B$13*$B$15+$B$12)/EX98)))</f>
        <v/>
      </c>
      <c r="FB97" s="9">
        <f>IF(7=$B$6,-$K$26*$B$12,0)</f>
        <v/>
      </c>
      <c r="FC97" s="9">
        <f>FA97/(EZ97-EY97*FC96)</f>
        <v/>
      </c>
      <c r="FD97" s="9">
        <f>(FB97-EY97*FD96)/(EZ97-EY97*FC96)</f>
        <v/>
      </c>
      <c r="FE97" s="16">
        <f>FD97-FC97*FE98</f>
        <v/>
      </c>
      <c r="FF97" s="9">
        <f>IF(7&gt;$B$6+$B$7,$G$27*$B$11^$H$27,$E$27*$B$9^$F$27)</f>
        <v/>
      </c>
      <c r="FG97" s="9">
        <f>IF(7=1,0,$B$14)</f>
        <v/>
      </c>
      <c r="FH97" s="9">
        <f>-($B$14+(IF(7&lt;=$B$6,$B$13*$B$15+$B$12,IF(7&lt;=$B$6+$B$7,$B$13*$B$15,$B$13)))/FF97)</f>
        <v/>
      </c>
      <c r="FI97" s="9">
        <f>IF(7=$B$6+$B$7,0,IF(7&gt;$B$6+$B$7,$B$13/FF98,IF(7&gt;=$B$6,$B$13*$B$15/FF98,($B$13*$B$15+$B$12)/FF98)))</f>
        <v/>
      </c>
      <c r="FJ97" s="9">
        <f>IF(7=$B$6,-$K$27*$B$12,0)</f>
        <v/>
      </c>
      <c r="FK97" s="9">
        <f>FI97/(FH97-FG97*FK96)</f>
        <v/>
      </c>
      <c r="FL97" s="9">
        <f>(FJ97-FG97*FL96)/(FH97-FG97*FK96)</f>
        <v/>
      </c>
      <c r="FM97" s="16">
        <f>FL97-FK97*FM98</f>
        <v/>
      </c>
      <c r="FN97" s="9">
        <f>IF(7&gt;$B$6+$B$7,$G$28*$B$11^$H$28,$E$28*$B$9^$F$28)</f>
        <v/>
      </c>
      <c r="FO97" s="9">
        <f>IF(7=1,0,$B$14)</f>
        <v/>
      </c>
      <c r="FP97" s="9">
        <f>-($B$14+(IF(7&lt;=$B$6,$B$13*$B$15+$B$12,IF(7&lt;=$B$6+$B$7,$B$13*$B$15,$B$13)))/FN97)</f>
        <v/>
      </c>
      <c r="FQ97" s="9">
        <f>IF(7=$B$6+$B$7,0,IF(7&gt;$B$6+$B$7,$B$13/FN98,IF(7&gt;=$B$6,$B$13*$B$15/FN98,($B$13*$B$15+$B$12)/FN98)))</f>
        <v/>
      </c>
      <c r="FR97" s="9">
        <f>IF(7=$B$6,-$K$28*$B$12,0)</f>
        <v/>
      </c>
      <c r="FS97" s="9">
        <f>FQ97/(FP97-FO97*FS96)</f>
        <v/>
      </c>
      <c r="FT97" s="9">
        <f>(FR97-FO97*FT96)/(FP97-FO97*FS96)</f>
        <v/>
      </c>
      <c r="FU97" s="16">
        <f>FT97-FS97*FU98</f>
        <v/>
      </c>
      <c r="FV97" s="9">
        <f>IF(7&gt;$B$6+$B$7,$G$29*$B$11^$H$29,$E$29*$B$9^$F$29)</f>
        <v/>
      </c>
      <c r="FW97" s="9">
        <f>IF(7=1,0,$B$14)</f>
        <v/>
      </c>
      <c r="FX97" s="9">
        <f>-($B$14+(IF(7&lt;=$B$6,$B$13*$B$15+$B$12,IF(7&lt;=$B$6+$B$7,$B$13*$B$15,$B$13)))/FV97)</f>
        <v/>
      </c>
      <c r="FY97" s="9">
        <f>IF(7=$B$6+$B$7,0,IF(7&gt;$B$6+$B$7,$B$13/FV98,IF(7&gt;=$B$6,$B$13*$B$15/FV98,($B$13*$B$15+$B$12)/FV98)))</f>
        <v/>
      </c>
      <c r="FZ97" s="9">
        <f>IF(7=$B$6,-$K$29*$B$12,0)</f>
        <v/>
      </c>
      <c r="GA97" s="9">
        <f>FY97/(FX97-FW97*GA96)</f>
        <v/>
      </c>
      <c r="GB97" s="9">
        <f>(FZ97-FW97*GB96)/(FX97-FW97*GA96)</f>
        <v/>
      </c>
      <c r="GC97" s="16">
        <f>GB97-GA97*GC98</f>
        <v/>
      </c>
      <c r="GD97" s="9">
        <f>IF(7&gt;$B$6+$B$7,$G$30*$B$11^$H$30,$E$30*$B$9^$F$30)</f>
        <v/>
      </c>
      <c r="GE97" s="9">
        <f>IF(7=1,0,$B$14)</f>
        <v/>
      </c>
      <c r="GF97" s="9">
        <f>-($B$14+(IF(7&lt;=$B$6,$B$13*$B$15+$B$12,IF(7&lt;=$B$6+$B$7,$B$13*$B$15,$B$13)))/GD97)</f>
        <v/>
      </c>
      <c r="GG97" s="9">
        <f>IF(7=$B$6+$B$7,0,IF(7&gt;$B$6+$B$7,$B$13/GD98,IF(7&gt;=$B$6,$B$13*$B$15/GD98,($B$13*$B$15+$B$12)/GD98)))</f>
        <v/>
      </c>
      <c r="GH97" s="9">
        <f>IF(7=$B$6,-$K$30*$B$12,0)</f>
        <v/>
      </c>
      <c r="GI97" s="9">
        <f>GG97/(GF97-GE97*GI96)</f>
        <v/>
      </c>
      <c r="GJ97" s="9">
        <f>(GH97-GE97*GJ96)/(GF97-GE97*GI96)</f>
        <v/>
      </c>
      <c r="GK97" s="16">
        <f>GJ97-GI97*GK98</f>
        <v/>
      </c>
      <c r="GL97" s="9">
        <f>IF(7&gt;$B$6+$B$7,$G$31*$B$11^$H$31,$E$31*$B$9^$F$31)</f>
        <v/>
      </c>
      <c r="GM97" s="9">
        <f>IF(7=1,0,$B$14)</f>
        <v/>
      </c>
      <c r="GN97" s="9">
        <f>-($B$14+(IF(7&lt;=$B$6,$B$13*$B$15+$B$12,IF(7&lt;=$B$6+$B$7,$B$13*$B$15,$B$13)))/GL97)</f>
        <v/>
      </c>
      <c r="GO97" s="9">
        <f>IF(7=$B$6+$B$7,0,IF(7&gt;$B$6+$B$7,$B$13/GL98,IF(7&gt;=$B$6,$B$13*$B$15/GL98,($B$13*$B$15+$B$12)/GL98)))</f>
        <v/>
      </c>
      <c r="GP97" s="9">
        <f>IF(7=$B$6,-$K$31*$B$12,0)</f>
        <v/>
      </c>
      <c r="GQ97" s="9">
        <f>GO97/(GN97-GM97*GQ96)</f>
        <v/>
      </c>
      <c r="GR97" s="9">
        <f>(GP97-GM97*GR96)/(GN97-GM97*GQ96)</f>
        <v/>
      </c>
      <c r="GS97" s="16">
        <f>GR97-GQ97*GS98</f>
        <v/>
      </c>
      <c r="GT97" s="9">
        <f>IF(7&gt;$B$6+$B$7,$G$32*$B$11^$H$32,$E$32*$B$9^$F$32)</f>
        <v/>
      </c>
      <c r="GU97" s="9">
        <f>IF(7=1,0,$B$14)</f>
        <v/>
      </c>
      <c r="GV97" s="9">
        <f>-($B$14+(IF(7&lt;=$B$6,$B$13*$B$15+$B$12,IF(7&lt;=$B$6+$B$7,$B$13*$B$15,$B$13)))/GT97)</f>
        <v/>
      </c>
      <c r="GW97" s="9">
        <f>IF(7=$B$6+$B$7,0,IF(7&gt;$B$6+$B$7,$B$13/GT98,IF(7&gt;=$B$6,$B$13*$B$15/GT98,($B$13*$B$15+$B$12)/GT98)))</f>
        <v/>
      </c>
      <c r="GX97" s="9">
        <f>IF(7=$B$6,-$K$32*$B$12,0)</f>
        <v/>
      </c>
      <c r="GY97" s="9">
        <f>GW97/(GV97-GU97*GY96)</f>
        <v/>
      </c>
      <c r="GZ97" s="9">
        <f>(GX97-GU97*GZ96)/(GV97-GU97*GY96)</f>
        <v/>
      </c>
      <c r="HA97" s="16">
        <f>GZ97-GY97*HA98</f>
        <v/>
      </c>
      <c r="HB97" s="12">
        <f>IFERROR(I97/B97,0)</f>
        <v/>
      </c>
      <c r="HC97" s="12">
        <f>IFERROR(Q97/J97,0)</f>
        <v/>
      </c>
      <c r="HD97" s="12">
        <f>IFERROR(Y97/R97,0)</f>
        <v/>
      </c>
      <c r="HE97" s="12">
        <f>IFERROR(AG97/Z97,0)</f>
        <v/>
      </c>
      <c r="HF97" s="12">
        <f>IFERROR(AO97/AH97,0)</f>
        <v/>
      </c>
      <c r="HG97" s="12">
        <f>IFERROR(AW97/AP97,0)</f>
        <v/>
      </c>
      <c r="HH97" s="12">
        <f>IFERROR(BE97/AX97,0)</f>
        <v/>
      </c>
      <c r="HI97" s="12">
        <f>IFERROR(BM97/BF97,0)</f>
        <v/>
      </c>
      <c r="HJ97" s="12">
        <f>IFERROR(BU97/BN97,0)</f>
        <v/>
      </c>
      <c r="HK97" s="12">
        <f>IFERROR(CC97/BV97,0)</f>
        <v/>
      </c>
      <c r="HL97" s="12">
        <f>IFERROR(CK97/CD97,0)</f>
        <v/>
      </c>
      <c r="HM97" s="12">
        <f>IFERROR(CS97/CL97,0)</f>
        <v/>
      </c>
      <c r="HN97" s="12">
        <f>IFERROR(DA97/CT97,0)</f>
        <v/>
      </c>
      <c r="HO97" s="12">
        <f>IFERROR(DI97/DB97,0)</f>
        <v/>
      </c>
      <c r="HP97" s="12">
        <f>IFERROR(DQ97/DJ97,0)</f>
        <v/>
      </c>
      <c r="HQ97" s="12">
        <f>IFERROR(DY97/DR97,0)</f>
        <v/>
      </c>
      <c r="HR97" s="12">
        <f>IFERROR(EG97/DZ97,0)</f>
        <v/>
      </c>
      <c r="HS97" s="12">
        <f>IFERROR(EO97/EH97,0)</f>
        <v/>
      </c>
      <c r="HT97" s="12">
        <f>IFERROR(EW97/EP97,0)</f>
        <v/>
      </c>
      <c r="HU97" s="12">
        <f>IFERROR(FE97/EX97,0)</f>
        <v/>
      </c>
      <c r="HV97" s="12">
        <f>IFERROR(FM97/FF97,0)</f>
        <v/>
      </c>
      <c r="HW97" s="12">
        <f>IFERROR(FU97/FN97,0)</f>
        <v/>
      </c>
      <c r="HX97" s="12">
        <f>IFERROR(GC97/FV97,0)</f>
        <v/>
      </c>
      <c r="HY97" s="12">
        <f>IFERROR(GK97/GD97,0)</f>
        <v/>
      </c>
      <c r="HZ97" s="12">
        <f>IFERROR(GS97/GL97,0)</f>
        <v/>
      </c>
      <c r="IA97" s="12">
        <f>IFERROR(HA97/GT97,0)</f>
        <v/>
      </c>
      <c r="IB97" s="12">
        <f>I97+Q97+Y97+AG97+AO97+AW97+BE97+BM97+BU97+CC97+CK97+CS97+DA97+DI97+DQ97+DY97+EG97+EO97+EW97+FE97+FM97+FU97+GC97+GK97+GS97+HA97</f>
        <v/>
      </c>
      <c r="IC97" s="12">
        <f>HB97+HC97+HD97+HE97+HF97+HG97+HH97+HI97+HJ97+HK97+HL97+HM97+HN97+HO97+HP97+HQ97+HR97+HS97+HT97+HU97+HV97+HW97+HX97+HY97+HZ97+IA97</f>
        <v/>
      </c>
    </row>
    <row r="98" ht="14" customHeight="1">
      <c r="A98" s="29" t="n">
        <v>8</v>
      </c>
      <c r="B98" s="9">
        <f>IF(8&gt;$B$6+$B$7,$G$7*$B$11^$H$7,$E$7*$B$9^$F$7)</f>
        <v/>
      </c>
      <c r="C98" s="9">
        <f>IF(8=1,0,$B$14)</f>
        <v/>
      </c>
      <c r="D98" s="9">
        <f>-($B$14+(IF(8&lt;=$B$6,$B$13*$B$15+$B$12,IF(8&lt;=$B$6+$B$7,$B$13*$B$15,$B$13)))/B98)</f>
        <v/>
      </c>
      <c r="E98" s="9">
        <f>IF(8=$B$6+$B$7,0,IF(8&gt;$B$6+$B$7,$B$13/B99,IF(8&gt;=$B$6,$B$13*$B$15/B99,($B$13*$B$15+$B$12)/B99)))</f>
        <v/>
      </c>
      <c r="F98" s="9">
        <f>IF(8=$B$6,-$K$7*$B$12,0)</f>
        <v/>
      </c>
      <c r="G98" s="9">
        <f>E98/(D98-C98*G97)</f>
        <v/>
      </c>
      <c r="H98" s="9">
        <f>(F98-C98*H97)/(D98-C98*G97)</f>
        <v/>
      </c>
      <c r="I98" s="16">
        <f>H98-G98*I99</f>
        <v/>
      </c>
      <c r="J98" s="9">
        <f>IF(8&gt;$B$6+$B$7,$G$8*$B$11^$H$8,$E$8*$B$9^$F$8)</f>
        <v/>
      </c>
      <c r="K98" s="9">
        <f>IF(8=1,0,$B$14)</f>
        <v/>
      </c>
      <c r="L98" s="9">
        <f>-($B$14+(IF(8&lt;=$B$6,$B$13*$B$15+$B$12,IF(8&lt;=$B$6+$B$7,$B$13*$B$15,$B$13)))/J98)</f>
        <v/>
      </c>
      <c r="M98" s="9">
        <f>IF(8=$B$6+$B$7,0,IF(8&gt;$B$6+$B$7,$B$13/J99,IF(8&gt;=$B$6,$B$13*$B$15/J99,($B$13*$B$15+$B$12)/J99)))</f>
        <v/>
      </c>
      <c r="N98" s="9">
        <f>IF(8=$B$6,-$K$8*$B$12,0)</f>
        <v/>
      </c>
      <c r="O98" s="9">
        <f>M98/(L98-K98*O97)</f>
        <v/>
      </c>
      <c r="P98" s="9">
        <f>(N98-K98*P97)/(L98-K98*O97)</f>
        <v/>
      </c>
      <c r="Q98" s="16">
        <f>P98-O98*Q99</f>
        <v/>
      </c>
      <c r="R98" s="9">
        <f>IF(8&gt;$B$6+$B$7,$G$9*$B$11^$H$9,$E$9*$B$9^$F$9)</f>
        <v/>
      </c>
      <c r="S98" s="9">
        <f>IF(8=1,0,$B$14)</f>
        <v/>
      </c>
      <c r="T98" s="9">
        <f>-($B$14+(IF(8&lt;=$B$6,$B$13*$B$15+$B$12,IF(8&lt;=$B$6+$B$7,$B$13*$B$15,$B$13)))/R98)</f>
        <v/>
      </c>
      <c r="U98" s="9">
        <f>IF(8=$B$6+$B$7,0,IF(8&gt;$B$6+$B$7,$B$13/R99,IF(8&gt;=$B$6,$B$13*$B$15/R99,($B$13*$B$15+$B$12)/R99)))</f>
        <v/>
      </c>
      <c r="V98" s="9">
        <f>IF(8=$B$6,-$K$9*$B$12,0)</f>
        <v/>
      </c>
      <c r="W98" s="9">
        <f>U98/(T98-S98*W97)</f>
        <v/>
      </c>
      <c r="X98" s="9">
        <f>(V98-S98*X97)/(T98-S98*W97)</f>
        <v/>
      </c>
      <c r="Y98" s="16">
        <f>X98-W98*Y99</f>
        <v/>
      </c>
      <c r="Z98" s="9">
        <f>IF(8&gt;$B$6+$B$7,$G$10*$B$11^$H$10,$E$10*$B$9^$F$10)</f>
        <v/>
      </c>
      <c r="AA98" s="9">
        <f>IF(8=1,0,$B$14)</f>
        <v/>
      </c>
      <c r="AB98" s="9">
        <f>-($B$14+(IF(8&lt;=$B$6,$B$13*$B$15+$B$12,IF(8&lt;=$B$6+$B$7,$B$13*$B$15,$B$13)))/Z98)</f>
        <v/>
      </c>
      <c r="AC98" s="9">
        <f>IF(8=$B$6+$B$7,0,IF(8&gt;$B$6+$B$7,$B$13/Z99,IF(8&gt;=$B$6,$B$13*$B$15/Z99,($B$13*$B$15+$B$12)/Z99)))</f>
        <v/>
      </c>
      <c r="AD98" s="9">
        <f>IF(8=$B$6,-$K$10*$B$12,0)</f>
        <v/>
      </c>
      <c r="AE98" s="9">
        <f>AC98/(AB98-AA98*AE97)</f>
        <v/>
      </c>
      <c r="AF98" s="9">
        <f>(AD98-AA98*AF97)/(AB98-AA98*AE97)</f>
        <v/>
      </c>
      <c r="AG98" s="16">
        <f>AF98-AE98*AG99</f>
        <v/>
      </c>
      <c r="AH98" s="9">
        <f>IF(8&gt;$B$6+$B$7,$G$11*$B$11^$H$11,$E$11*$B$9^$F$11)</f>
        <v/>
      </c>
      <c r="AI98" s="9">
        <f>IF(8=1,0,$B$14)</f>
        <v/>
      </c>
      <c r="AJ98" s="9">
        <f>-($B$14+(IF(8&lt;=$B$6,$B$13*$B$15+$B$12,IF(8&lt;=$B$6+$B$7,$B$13*$B$15,$B$13)))/AH98)</f>
        <v/>
      </c>
      <c r="AK98" s="9">
        <f>IF(8=$B$6+$B$7,0,IF(8&gt;$B$6+$B$7,$B$13/AH99,IF(8&gt;=$B$6,$B$13*$B$15/AH99,($B$13*$B$15+$B$12)/AH99)))</f>
        <v/>
      </c>
      <c r="AL98" s="9">
        <f>IF(8=$B$6,-$K$11*$B$12,0)</f>
        <v/>
      </c>
      <c r="AM98" s="9">
        <f>AK98/(AJ98-AI98*AM97)</f>
        <v/>
      </c>
      <c r="AN98" s="9">
        <f>(AL98-AI98*AN97)/(AJ98-AI98*AM97)</f>
        <v/>
      </c>
      <c r="AO98" s="16">
        <f>AN98-AM98*AO99</f>
        <v/>
      </c>
      <c r="AP98" s="9">
        <f>IF(8&gt;$B$6+$B$7,$G$12*$B$11^$H$12,$E$12*$B$9^$F$12)</f>
        <v/>
      </c>
      <c r="AQ98" s="9">
        <f>IF(8=1,0,$B$14)</f>
        <v/>
      </c>
      <c r="AR98" s="9">
        <f>-($B$14+(IF(8&lt;=$B$6,$B$13*$B$15+$B$12,IF(8&lt;=$B$6+$B$7,$B$13*$B$15,$B$13)))/AP98)</f>
        <v/>
      </c>
      <c r="AS98" s="9">
        <f>IF(8=$B$6+$B$7,0,IF(8&gt;$B$6+$B$7,$B$13/AP99,IF(8&gt;=$B$6,$B$13*$B$15/AP99,($B$13*$B$15+$B$12)/AP99)))</f>
        <v/>
      </c>
      <c r="AT98" s="9">
        <f>IF(8=$B$6,-$K$12*$B$12,0)</f>
        <v/>
      </c>
      <c r="AU98" s="9">
        <f>AS98/(AR98-AQ98*AU97)</f>
        <v/>
      </c>
      <c r="AV98" s="9">
        <f>(AT98-AQ98*AV97)/(AR98-AQ98*AU97)</f>
        <v/>
      </c>
      <c r="AW98" s="16">
        <f>AV98-AU98*AW99</f>
        <v/>
      </c>
      <c r="AX98" s="9">
        <f>IF(8&gt;$B$6+$B$7,$G$13*$B$11^$H$13,$E$13*$B$9^$F$13)</f>
        <v/>
      </c>
      <c r="AY98" s="9">
        <f>IF(8=1,0,$B$14)</f>
        <v/>
      </c>
      <c r="AZ98" s="9">
        <f>-($B$14+(IF(8&lt;=$B$6,$B$13*$B$15+$B$12,IF(8&lt;=$B$6+$B$7,$B$13*$B$15,$B$13)))/AX98)</f>
        <v/>
      </c>
      <c r="BA98" s="9">
        <f>IF(8=$B$6+$B$7,0,IF(8&gt;$B$6+$B$7,$B$13/AX99,IF(8&gt;=$B$6,$B$13*$B$15/AX99,($B$13*$B$15+$B$12)/AX99)))</f>
        <v/>
      </c>
      <c r="BB98" s="9">
        <f>IF(8=$B$6,-$K$13*$B$12,0)</f>
        <v/>
      </c>
      <c r="BC98" s="9">
        <f>BA98/(AZ98-AY98*BC97)</f>
        <v/>
      </c>
      <c r="BD98" s="9">
        <f>(BB98-AY98*BD97)/(AZ98-AY98*BC97)</f>
        <v/>
      </c>
      <c r="BE98" s="16">
        <f>BD98-BC98*BE99</f>
        <v/>
      </c>
      <c r="BF98" s="9">
        <f>IF(8&gt;$B$6+$B$7,$G$14*$B$11^$H$14,$E$14*$B$9^$F$14)</f>
        <v/>
      </c>
      <c r="BG98" s="9">
        <f>IF(8=1,0,$B$14)</f>
        <v/>
      </c>
      <c r="BH98" s="9">
        <f>-($B$14+(IF(8&lt;=$B$6,$B$13*$B$15+$B$12,IF(8&lt;=$B$6+$B$7,$B$13*$B$15,$B$13)))/BF98)</f>
        <v/>
      </c>
      <c r="BI98" s="9">
        <f>IF(8=$B$6+$B$7,0,IF(8&gt;$B$6+$B$7,$B$13/BF99,IF(8&gt;=$B$6,$B$13*$B$15/BF99,($B$13*$B$15+$B$12)/BF99)))</f>
        <v/>
      </c>
      <c r="BJ98" s="9">
        <f>IF(8=$B$6,-$K$14*$B$12,0)</f>
        <v/>
      </c>
      <c r="BK98" s="9">
        <f>BI98/(BH98-BG98*BK97)</f>
        <v/>
      </c>
      <c r="BL98" s="9">
        <f>(BJ98-BG98*BL97)/(BH98-BG98*BK97)</f>
        <v/>
      </c>
      <c r="BM98" s="16">
        <f>BL98-BK98*BM99</f>
        <v/>
      </c>
      <c r="BN98" s="9">
        <f>IF(8&gt;$B$6+$B$7,$G$15*$B$11^$H$15,$E$15*$B$9^$F$15)</f>
        <v/>
      </c>
      <c r="BO98" s="9">
        <f>IF(8=1,0,$B$14)</f>
        <v/>
      </c>
      <c r="BP98" s="9">
        <f>-($B$14+(IF(8&lt;=$B$6,$B$13*$B$15+$B$12,IF(8&lt;=$B$6+$B$7,$B$13*$B$15,$B$13)))/BN98)</f>
        <v/>
      </c>
      <c r="BQ98" s="9">
        <f>IF(8=$B$6+$B$7,0,IF(8&gt;$B$6+$B$7,$B$13/BN99,IF(8&gt;=$B$6,$B$13*$B$15/BN99,($B$13*$B$15+$B$12)/BN99)))</f>
        <v/>
      </c>
      <c r="BR98" s="9">
        <f>IF(8=$B$6,-$K$15*$B$12,0)</f>
        <v/>
      </c>
      <c r="BS98" s="9">
        <f>BQ98/(BP98-BO98*BS97)</f>
        <v/>
      </c>
      <c r="BT98" s="9">
        <f>(BR98-BO98*BT97)/(BP98-BO98*BS97)</f>
        <v/>
      </c>
      <c r="BU98" s="16">
        <f>BT98-BS98*BU99</f>
        <v/>
      </c>
      <c r="BV98" s="9">
        <f>IF(8&gt;$B$6+$B$7,$G$16*$B$11^$H$16,$E$16*$B$9^$F$16)</f>
        <v/>
      </c>
      <c r="BW98" s="9">
        <f>IF(8=1,0,$B$14)</f>
        <v/>
      </c>
      <c r="BX98" s="9">
        <f>-($B$14+(IF(8&lt;=$B$6,$B$13*$B$15+$B$12,IF(8&lt;=$B$6+$B$7,$B$13*$B$15,$B$13)))/BV98)</f>
        <v/>
      </c>
      <c r="BY98" s="9">
        <f>IF(8=$B$6+$B$7,0,IF(8&gt;$B$6+$B$7,$B$13/BV99,IF(8&gt;=$B$6,$B$13*$B$15/BV99,($B$13*$B$15+$B$12)/BV99)))</f>
        <v/>
      </c>
      <c r="BZ98" s="9">
        <f>IF(8=$B$6,-$K$16*$B$12,0)</f>
        <v/>
      </c>
      <c r="CA98" s="9">
        <f>BY98/(BX98-BW98*CA97)</f>
        <v/>
      </c>
      <c r="CB98" s="9">
        <f>(BZ98-BW98*CB97)/(BX98-BW98*CA97)</f>
        <v/>
      </c>
      <c r="CC98" s="16">
        <f>CB98-CA98*CC99</f>
        <v/>
      </c>
      <c r="CD98" s="9">
        <f>IF(8&gt;$B$6+$B$7,$G$17*$B$11^$H$17,$E$17*$B$9^$F$17)</f>
        <v/>
      </c>
      <c r="CE98" s="9">
        <f>IF(8=1,0,$B$14)</f>
        <v/>
      </c>
      <c r="CF98" s="9">
        <f>-($B$14+(IF(8&lt;=$B$6,$B$13*$B$15+$B$12,IF(8&lt;=$B$6+$B$7,$B$13*$B$15,$B$13)))/CD98)</f>
        <v/>
      </c>
      <c r="CG98" s="9">
        <f>IF(8=$B$6+$B$7,0,IF(8&gt;$B$6+$B$7,$B$13/CD99,IF(8&gt;=$B$6,$B$13*$B$15/CD99,($B$13*$B$15+$B$12)/CD99)))</f>
        <v/>
      </c>
      <c r="CH98" s="9">
        <f>IF(8=$B$6,-$K$17*$B$12,0)</f>
        <v/>
      </c>
      <c r="CI98" s="9">
        <f>CG98/(CF98-CE98*CI97)</f>
        <v/>
      </c>
      <c r="CJ98" s="9">
        <f>(CH98-CE98*CJ97)/(CF98-CE98*CI97)</f>
        <v/>
      </c>
      <c r="CK98" s="16">
        <f>CJ98-CI98*CK99</f>
        <v/>
      </c>
      <c r="CL98" s="9">
        <f>IF(8&gt;$B$6+$B$7,$G$18*$B$11^$H$18,$E$18*$B$9^$F$18)</f>
        <v/>
      </c>
      <c r="CM98" s="9">
        <f>IF(8=1,0,$B$14)</f>
        <v/>
      </c>
      <c r="CN98" s="9">
        <f>-($B$14+(IF(8&lt;=$B$6,$B$13*$B$15+$B$12,IF(8&lt;=$B$6+$B$7,$B$13*$B$15,$B$13)))/CL98)</f>
        <v/>
      </c>
      <c r="CO98" s="9">
        <f>IF(8=$B$6+$B$7,0,IF(8&gt;$B$6+$B$7,$B$13/CL99,IF(8&gt;=$B$6,$B$13*$B$15/CL99,($B$13*$B$15+$B$12)/CL99)))</f>
        <v/>
      </c>
      <c r="CP98" s="9">
        <f>IF(8=$B$6,-$K$18*$B$12,0)</f>
        <v/>
      </c>
      <c r="CQ98" s="9">
        <f>CO98/(CN98-CM98*CQ97)</f>
        <v/>
      </c>
      <c r="CR98" s="9">
        <f>(CP98-CM98*CR97)/(CN98-CM98*CQ97)</f>
        <v/>
      </c>
      <c r="CS98" s="16">
        <f>CR98-CQ98*CS99</f>
        <v/>
      </c>
      <c r="CT98" s="9">
        <f>IF(8&gt;$B$6+$B$7,$G$19*$B$11^$H$19,$E$19*$B$9^$F$19)</f>
        <v/>
      </c>
      <c r="CU98" s="9">
        <f>IF(8=1,0,$B$14)</f>
        <v/>
      </c>
      <c r="CV98" s="9">
        <f>-($B$14+(IF(8&lt;=$B$6,$B$13*$B$15+$B$12,IF(8&lt;=$B$6+$B$7,$B$13*$B$15,$B$13)))/CT98)</f>
        <v/>
      </c>
      <c r="CW98" s="9">
        <f>IF(8=$B$6+$B$7,0,IF(8&gt;$B$6+$B$7,$B$13/CT99,IF(8&gt;=$B$6,$B$13*$B$15/CT99,($B$13*$B$15+$B$12)/CT99)))</f>
        <v/>
      </c>
      <c r="CX98" s="9">
        <f>IF(8=$B$6,-$K$19*$B$12,0)</f>
        <v/>
      </c>
      <c r="CY98" s="9">
        <f>CW98/(CV98-CU98*CY97)</f>
        <v/>
      </c>
      <c r="CZ98" s="9">
        <f>(CX98-CU98*CZ97)/(CV98-CU98*CY97)</f>
        <v/>
      </c>
      <c r="DA98" s="16">
        <f>CZ98-CY98*DA99</f>
        <v/>
      </c>
      <c r="DB98" s="9">
        <f>IF(8&gt;$B$6+$B$7,$G$20*$B$11^$H$20,$E$20*$B$9^$F$20)</f>
        <v/>
      </c>
      <c r="DC98" s="9">
        <f>IF(8=1,0,$B$14)</f>
        <v/>
      </c>
      <c r="DD98" s="9">
        <f>-($B$14+(IF(8&lt;=$B$6,$B$13*$B$15+$B$12,IF(8&lt;=$B$6+$B$7,$B$13*$B$15,$B$13)))/DB98)</f>
        <v/>
      </c>
      <c r="DE98" s="9">
        <f>IF(8=$B$6+$B$7,0,IF(8&gt;$B$6+$B$7,$B$13/DB99,IF(8&gt;=$B$6,$B$13*$B$15/DB99,($B$13*$B$15+$B$12)/DB99)))</f>
        <v/>
      </c>
      <c r="DF98" s="9">
        <f>IF(8=$B$6,-$K$20*$B$12,0)</f>
        <v/>
      </c>
      <c r="DG98" s="9">
        <f>DE98/(DD98-DC98*DG97)</f>
        <v/>
      </c>
      <c r="DH98" s="9">
        <f>(DF98-DC98*DH97)/(DD98-DC98*DG97)</f>
        <v/>
      </c>
      <c r="DI98" s="16">
        <f>DH98-DG98*DI99</f>
        <v/>
      </c>
      <c r="DJ98" s="9">
        <f>IF(8&gt;$B$6+$B$7,$G$21*$B$11^$H$21,$E$21*$B$9^$F$21)</f>
        <v/>
      </c>
      <c r="DK98" s="9">
        <f>IF(8=1,0,$B$14)</f>
        <v/>
      </c>
      <c r="DL98" s="9">
        <f>-($B$14+(IF(8&lt;=$B$6,$B$13*$B$15+$B$12,IF(8&lt;=$B$6+$B$7,$B$13*$B$15,$B$13)))/DJ98)</f>
        <v/>
      </c>
      <c r="DM98" s="9">
        <f>IF(8=$B$6+$B$7,0,IF(8&gt;$B$6+$B$7,$B$13/DJ99,IF(8&gt;=$B$6,$B$13*$B$15/DJ99,($B$13*$B$15+$B$12)/DJ99)))</f>
        <v/>
      </c>
      <c r="DN98" s="9">
        <f>IF(8=$B$6,-$K$21*$B$12,0)</f>
        <v/>
      </c>
      <c r="DO98" s="9">
        <f>DM98/(DL98-DK98*DO97)</f>
        <v/>
      </c>
      <c r="DP98" s="9">
        <f>(DN98-DK98*DP97)/(DL98-DK98*DO97)</f>
        <v/>
      </c>
      <c r="DQ98" s="16">
        <f>DP98-DO98*DQ99</f>
        <v/>
      </c>
      <c r="DR98" s="9">
        <f>IF(8&gt;$B$6+$B$7,$G$22*$B$11^$H$22,$E$22*$B$9^$F$22)</f>
        <v/>
      </c>
      <c r="DS98" s="9">
        <f>IF(8=1,0,$B$14)</f>
        <v/>
      </c>
      <c r="DT98" s="9">
        <f>-($B$14+(IF(8&lt;=$B$6,$B$13*$B$15+$B$12,IF(8&lt;=$B$6+$B$7,$B$13*$B$15,$B$13)))/DR98)</f>
        <v/>
      </c>
      <c r="DU98" s="9">
        <f>IF(8=$B$6+$B$7,0,IF(8&gt;$B$6+$B$7,$B$13/DR99,IF(8&gt;=$B$6,$B$13*$B$15/DR99,($B$13*$B$15+$B$12)/DR99)))</f>
        <v/>
      </c>
      <c r="DV98" s="9">
        <f>IF(8=$B$6,-$K$22*$B$12,0)</f>
        <v/>
      </c>
      <c r="DW98" s="9">
        <f>DU98/(DT98-DS98*DW97)</f>
        <v/>
      </c>
      <c r="DX98" s="9">
        <f>(DV98-DS98*DX97)/(DT98-DS98*DW97)</f>
        <v/>
      </c>
      <c r="DY98" s="16">
        <f>DX98-DW98*DY99</f>
        <v/>
      </c>
      <c r="DZ98" s="9">
        <f>IF(8&gt;$B$6+$B$7,$G$23*$B$11^$H$23,$E$23*$B$9^$F$23)</f>
        <v/>
      </c>
      <c r="EA98" s="9">
        <f>IF(8=1,0,$B$14)</f>
        <v/>
      </c>
      <c r="EB98" s="9">
        <f>-($B$14+(IF(8&lt;=$B$6,$B$13*$B$15+$B$12,IF(8&lt;=$B$6+$B$7,$B$13*$B$15,$B$13)))/DZ98)</f>
        <v/>
      </c>
      <c r="EC98" s="9">
        <f>IF(8=$B$6+$B$7,0,IF(8&gt;$B$6+$B$7,$B$13/DZ99,IF(8&gt;=$B$6,$B$13*$B$15/DZ99,($B$13*$B$15+$B$12)/DZ99)))</f>
        <v/>
      </c>
      <c r="ED98" s="9">
        <f>IF(8=$B$6,-$K$23*$B$12,0)</f>
        <v/>
      </c>
      <c r="EE98" s="9">
        <f>EC98/(EB98-EA98*EE97)</f>
        <v/>
      </c>
      <c r="EF98" s="9">
        <f>(ED98-EA98*EF97)/(EB98-EA98*EE97)</f>
        <v/>
      </c>
      <c r="EG98" s="16">
        <f>EF98-EE98*EG99</f>
        <v/>
      </c>
      <c r="EH98" s="9">
        <f>IF(8&gt;$B$6+$B$7,$G$24*$B$11^$H$24,$E$24*$B$9^$F$24)</f>
        <v/>
      </c>
      <c r="EI98" s="9">
        <f>IF(8=1,0,$B$14)</f>
        <v/>
      </c>
      <c r="EJ98" s="9">
        <f>-($B$14+(IF(8&lt;=$B$6,$B$13*$B$15+$B$12,IF(8&lt;=$B$6+$B$7,$B$13*$B$15,$B$13)))/EH98)</f>
        <v/>
      </c>
      <c r="EK98" s="9">
        <f>IF(8=$B$6+$B$7,0,IF(8&gt;$B$6+$B$7,$B$13/EH99,IF(8&gt;=$B$6,$B$13*$B$15/EH99,($B$13*$B$15+$B$12)/EH99)))</f>
        <v/>
      </c>
      <c r="EL98" s="9">
        <f>IF(8=$B$6,-$K$24*$B$12,0)</f>
        <v/>
      </c>
      <c r="EM98" s="9">
        <f>EK98/(EJ98-EI98*EM97)</f>
        <v/>
      </c>
      <c r="EN98" s="9">
        <f>(EL98-EI98*EN97)/(EJ98-EI98*EM97)</f>
        <v/>
      </c>
      <c r="EO98" s="16">
        <f>EN98-EM98*EO99</f>
        <v/>
      </c>
      <c r="EP98" s="9">
        <f>IF(8&gt;$B$6+$B$7,$G$25*$B$11^$H$25,$E$25*$B$9^$F$25)</f>
        <v/>
      </c>
      <c r="EQ98" s="9">
        <f>IF(8=1,0,$B$14)</f>
        <v/>
      </c>
      <c r="ER98" s="9">
        <f>-($B$14+(IF(8&lt;=$B$6,$B$13*$B$15+$B$12,IF(8&lt;=$B$6+$B$7,$B$13*$B$15,$B$13)))/EP98)</f>
        <v/>
      </c>
      <c r="ES98" s="9">
        <f>IF(8=$B$6+$B$7,0,IF(8&gt;$B$6+$B$7,$B$13/EP99,IF(8&gt;=$B$6,$B$13*$B$15/EP99,($B$13*$B$15+$B$12)/EP99)))</f>
        <v/>
      </c>
      <c r="ET98" s="9">
        <f>IF(8=$B$6,-$K$25*$B$12,0)</f>
        <v/>
      </c>
      <c r="EU98" s="9">
        <f>ES98/(ER98-EQ98*EU97)</f>
        <v/>
      </c>
      <c r="EV98" s="9">
        <f>(ET98-EQ98*EV97)/(ER98-EQ98*EU97)</f>
        <v/>
      </c>
      <c r="EW98" s="16">
        <f>EV98-EU98*EW99</f>
        <v/>
      </c>
      <c r="EX98" s="9">
        <f>IF(8&gt;$B$6+$B$7,$G$26*$B$11^$H$26,$E$26*$B$9^$F$26)</f>
        <v/>
      </c>
      <c r="EY98" s="9">
        <f>IF(8=1,0,$B$14)</f>
        <v/>
      </c>
      <c r="EZ98" s="9">
        <f>-($B$14+(IF(8&lt;=$B$6,$B$13*$B$15+$B$12,IF(8&lt;=$B$6+$B$7,$B$13*$B$15,$B$13)))/EX98)</f>
        <v/>
      </c>
      <c r="FA98" s="9">
        <f>IF(8=$B$6+$B$7,0,IF(8&gt;$B$6+$B$7,$B$13/EX99,IF(8&gt;=$B$6,$B$13*$B$15/EX99,($B$13*$B$15+$B$12)/EX99)))</f>
        <v/>
      </c>
      <c r="FB98" s="9">
        <f>IF(8=$B$6,-$K$26*$B$12,0)</f>
        <v/>
      </c>
      <c r="FC98" s="9">
        <f>FA98/(EZ98-EY98*FC97)</f>
        <v/>
      </c>
      <c r="FD98" s="9">
        <f>(FB98-EY98*FD97)/(EZ98-EY98*FC97)</f>
        <v/>
      </c>
      <c r="FE98" s="16">
        <f>FD98-FC98*FE99</f>
        <v/>
      </c>
      <c r="FF98" s="9">
        <f>IF(8&gt;$B$6+$B$7,$G$27*$B$11^$H$27,$E$27*$B$9^$F$27)</f>
        <v/>
      </c>
      <c r="FG98" s="9">
        <f>IF(8=1,0,$B$14)</f>
        <v/>
      </c>
      <c r="FH98" s="9">
        <f>-($B$14+(IF(8&lt;=$B$6,$B$13*$B$15+$B$12,IF(8&lt;=$B$6+$B$7,$B$13*$B$15,$B$13)))/FF98)</f>
        <v/>
      </c>
      <c r="FI98" s="9">
        <f>IF(8=$B$6+$B$7,0,IF(8&gt;$B$6+$B$7,$B$13/FF99,IF(8&gt;=$B$6,$B$13*$B$15/FF99,($B$13*$B$15+$B$12)/FF99)))</f>
        <v/>
      </c>
      <c r="FJ98" s="9">
        <f>IF(8=$B$6,-$K$27*$B$12,0)</f>
        <v/>
      </c>
      <c r="FK98" s="9">
        <f>FI98/(FH98-FG98*FK97)</f>
        <v/>
      </c>
      <c r="FL98" s="9">
        <f>(FJ98-FG98*FL97)/(FH98-FG98*FK97)</f>
        <v/>
      </c>
      <c r="FM98" s="16">
        <f>FL98-FK98*FM99</f>
        <v/>
      </c>
      <c r="FN98" s="9">
        <f>IF(8&gt;$B$6+$B$7,$G$28*$B$11^$H$28,$E$28*$B$9^$F$28)</f>
        <v/>
      </c>
      <c r="FO98" s="9">
        <f>IF(8=1,0,$B$14)</f>
        <v/>
      </c>
      <c r="FP98" s="9">
        <f>-($B$14+(IF(8&lt;=$B$6,$B$13*$B$15+$B$12,IF(8&lt;=$B$6+$B$7,$B$13*$B$15,$B$13)))/FN98)</f>
        <v/>
      </c>
      <c r="FQ98" s="9">
        <f>IF(8=$B$6+$B$7,0,IF(8&gt;$B$6+$B$7,$B$13/FN99,IF(8&gt;=$B$6,$B$13*$B$15/FN99,($B$13*$B$15+$B$12)/FN99)))</f>
        <v/>
      </c>
      <c r="FR98" s="9">
        <f>IF(8=$B$6,-$K$28*$B$12,0)</f>
        <v/>
      </c>
      <c r="FS98" s="9">
        <f>FQ98/(FP98-FO98*FS97)</f>
        <v/>
      </c>
      <c r="FT98" s="9">
        <f>(FR98-FO98*FT97)/(FP98-FO98*FS97)</f>
        <v/>
      </c>
      <c r="FU98" s="16">
        <f>FT98-FS98*FU99</f>
        <v/>
      </c>
      <c r="FV98" s="9">
        <f>IF(8&gt;$B$6+$B$7,$G$29*$B$11^$H$29,$E$29*$B$9^$F$29)</f>
        <v/>
      </c>
      <c r="FW98" s="9">
        <f>IF(8=1,0,$B$14)</f>
        <v/>
      </c>
      <c r="FX98" s="9">
        <f>-($B$14+(IF(8&lt;=$B$6,$B$13*$B$15+$B$12,IF(8&lt;=$B$6+$B$7,$B$13*$B$15,$B$13)))/FV98)</f>
        <v/>
      </c>
      <c r="FY98" s="9">
        <f>IF(8=$B$6+$B$7,0,IF(8&gt;$B$6+$B$7,$B$13/FV99,IF(8&gt;=$B$6,$B$13*$B$15/FV99,($B$13*$B$15+$B$12)/FV99)))</f>
        <v/>
      </c>
      <c r="FZ98" s="9">
        <f>IF(8=$B$6,-$K$29*$B$12,0)</f>
        <v/>
      </c>
      <c r="GA98" s="9">
        <f>FY98/(FX98-FW98*GA97)</f>
        <v/>
      </c>
      <c r="GB98" s="9">
        <f>(FZ98-FW98*GB97)/(FX98-FW98*GA97)</f>
        <v/>
      </c>
      <c r="GC98" s="16">
        <f>GB98-GA98*GC99</f>
        <v/>
      </c>
      <c r="GD98" s="9">
        <f>IF(8&gt;$B$6+$B$7,$G$30*$B$11^$H$30,$E$30*$B$9^$F$30)</f>
        <v/>
      </c>
      <c r="GE98" s="9">
        <f>IF(8=1,0,$B$14)</f>
        <v/>
      </c>
      <c r="GF98" s="9">
        <f>-($B$14+(IF(8&lt;=$B$6,$B$13*$B$15+$B$12,IF(8&lt;=$B$6+$B$7,$B$13*$B$15,$B$13)))/GD98)</f>
        <v/>
      </c>
      <c r="GG98" s="9">
        <f>IF(8=$B$6+$B$7,0,IF(8&gt;$B$6+$B$7,$B$13/GD99,IF(8&gt;=$B$6,$B$13*$B$15/GD99,($B$13*$B$15+$B$12)/GD99)))</f>
        <v/>
      </c>
      <c r="GH98" s="9">
        <f>IF(8=$B$6,-$K$30*$B$12,0)</f>
        <v/>
      </c>
      <c r="GI98" s="9">
        <f>GG98/(GF98-GE98*GI97)</f>
        <v/>
      </c>
      <c r="GJ98" s="9">
        <f>(GH98-GE98*GJ97)/(GF98-GE98*GI97)</f>
        <v/>
      </c>
      <c r="GK98" s="16">
        <f>GJ98-GI98*GK99</f>
        <v/>
      </c>
      <c r="GL98" s="9">
        <f>IF(8&gt;$B$6+$B$7,$G$31*$B$11^$H$31,$E$31*$B$9^$F$31)</f>
        <v/>
      </c>
      <c r="GM98" s="9">
        <f>IF(8=1,0,$B$14)</f>
        <v/>
      </c>
      <c r="GN98" s="9">
        <f>-($B$14+(IF(8&lt;=$B$6,$B$13*$B$15+$B$12,IF(8&lt;=$B$6+$B$7,$B$13*$B$15,$B$13)))/GL98)</f>
        <v/>
      </c>
      <c r="GO98" s="9">
        <f>IF(8=$B$6+$B$7,0,IF(8&gt;$B$6+$B$7,$B$13/GL99,IF(8&gt;=$B$6,$B$13*$B$15/GL99,($B$13*$B$15+$B$12)/GL99)))</f>
        <v/>
      </c>
      <c r="GP98" s="9">
        <f>IF(8=$B$6,-$K$31*$B$12,0)</f>
        <v/>
      </c>
      <c r="GQ98" s="9">
        <f>GO98/(GN98-GM98*GQ97)</f>
        <v/>
      </c>
      <c r="GR98" s="9">
        <f>(GP98-GM98*GR97)/(GN98-GM98*GQ97)</f>
        <v/>
      </c>
      <c r="GS98" s="16">
        <f>GR98-GQ98*GS99</f>
        <v/>
      </c>
      <c r="GT98" s="9">
        <f>IF(8&gt;$B$6+$B$7,$G$32*$B$11^$H$32,$E$32*$B$9^$F$32)</f>
        <v/>
      </c>
      <c r="GU98" s="9">
        <f>IF(8=1,0,$B$14)</f>
        <v/>
      </c>
      <c r="GV98" s="9">
        <f>-($B$14+(IF(8&lt;=$B$6,$B$13*$B$15+$B$12,IF(8&lt;=$B$6+$B$7,$B$13*$B$15,$B$13)))/GT98)</f>
        <v/>
      </c>
      <c r="GW98" s="9">
        <f>IF(8=$B$6+$B$7,0,IF(8&gt;$B$6+$B$7,$B$13/GT99,IF(8&gt;=$B$6,$B$13*$B$15/GT99,($B$13*$B$15+$B$12)/GT99)))</f>
        <v/>
      </c>
      <c r="GX98" s="9">
        <f>IF(8=$B$6,-$K$32*$B$12,0)</f>
        <v/>
      </c>
      <c r="GY98" s="9">
        <f>GW98/(GV98-GU98*GY97)</f>
        <v/>
      </c>
      <c r="GZ98" s="9">
        <f>(GX98-GU98*GZ97)/(GV98-GU98*GY97)</f>
        <v/>
      </c>
      <c r="HA98" s="16">
        <f>GZ98-GY98*HA99</f>
        <v/>
      </c>
      <c r="HB98" s="12">
        <f>IFERROR(I98/B98,0)</f>
        <v/>
      </c>
      <c r="HC98" s="12">
        <f>IFERROR(Q98/J98,0)</f>
        <v/>
      </c>
      <c r="HD98" s="12">
        <f>IFERROR(Y98/R98,0)</f>
        <v/>
      </c>
      <c r="HE98" s="12">
        <f>IFERROR(AG98/Z98,0)</f>
        <v/>
      </c>
      <c r="HF98" s="12">
        <f>IFERROR(AO98/AH98,0)</f>
        <v/>
      </c>
      <c r="HG98" s="12">
        <f>IFERROR(AW98/AP98,0)</f>
        <v/>
      </c>
      <c r="HH98" s="12">
        <f>IFERROR(BE98/AX98,0)</f>
        <v/>
      </c>
      <c r="HI98" s="12">
        <f>IFERROR(BM98/BF98,0)</f>
        <v/>
      </c>
      <c r="HJ98" s="12">
        <f>IFERROR(BU98/BN98,0)</f>
        <v/>
      </c>
      <c r="HK98" s="12">
        <f>IFERROR(CC98/BV98,0)</f>
        <v/>
      </c>
      <c r="HL98" s="12">
        <f>IFERROR(CK98/CD98,0)</f>
        <v/>
      </c>
      <c r="HM98" s="12">
        <f>IFERROR(CS98/CL98,0)</f>
        <v/>
      </c>
      <c r="HN98" s="12">
        <f>IFERROR(DA98/CT98,0)</f>
        <v/>
      </c>
      <c r="HO98" s="12">
        <f>IFERROR(DI98/DB98,0)</f>
        <v/>
      </c>
      <c r="HP98" s="12">
        <f>IFERROR(DQ98/DJ98,0)</f>
        <v/>
      </c>
      <c r="HQ98" s="12">
        <f>IFERROR(DY98/DR98,0)</f>
        <v/>
      </c>
      <c r="HR98" s="12">
        <f>IFERROR(EG98/DZ98,0)</f>
        <v/>
      </c>
      <c r="HS98" s="12">
        <f>IFERROR(EO98/EH98,0)</f>
        <v/>
      </c>
      <c r="HT98" s="12">
        <f>IFERROR(EW98/EP98,0)</f>
        <v/>
      </c>
      <c r="HU98" s="12">
        <f>IFERROR(FE98/EX98,0)</f>
        <v/>
      </c>
      <c r="HV98" s="12">
        <f>IFERROR(FM98/FF98,0)</f>
        <v/>
      </c>
      <c r="HW98" s="12">
        <f>IFERROR(FU98/FN98,0)</f>
        <v/>
      </c>
      <c r="HX98" s="12">
        <f>IFERROR(GC98/FV98,0)</f>
        <v/>
      </c>
      <c r="HY98" s="12">
        <f>IFERROR(GK98/GD98,0)</f>
        <v/>
      </c>
      <c r="HZ98" s="12">
        <f>IFERROR(GS98/GL98,0)</f>
        <v/>
      </c>
      <c r="IA98" s="12">
        <f>IFERROR(HA98/GT98,0)</f>
        <v/>
      </c>
      <c r="IB98" s="12">
        <f>I98+Q98+Y98+AG98+AO98+AW98+BE98+BM98+BU98+CC98+CK98+CS98+DA98+DI98+DQ98+DY98+EG98+EO98+EW98+FE98+FM98+FU98+GC98+GK98+GS98+HA98</f>
        <v/>
      </c>
      <c r="IC98" s="12">
        <f>HB98+HC98+HD98+HE98+HF98+HG98+HH98+HI98+HJ98+HK98+HL98+HM98+HN98+HO98+HP98+HQ98+HR98+HS98+HT98+HU98+HV98+HW98+HX98+HY98+HZ98+IA98</f>
        <v/>
      </c>
    </row>
    <row r="99" ht="14" customHeight="1">
      <c r="A99" s="29" t="n">
        <v>9</v>
      </c>
      <c r="B99" s="9">
        <f>IF(9&gt;$B$6+$B$7,$G$7*$B$11^$H$7,$E$7*$B$9^$F$7)</f>
        <v/>
      </c>
      <c r="C99" s="9">
        <f>IF(9=1,0,$B$14)</f>
        <v/>
      </c>
      <c r="D99" s="9">
        <f>-($B$14+(IF(9&lt;=$B$6,$B$13*$B$15+$B$12,IF(9&lt;=$B$6+$B$7,$B$13*$B$15,$B$13)))/B99)</f>
        <v/>
      </c>
      <c r="E99" s="9">
        <f>IF(9=$B$6+$B$7,0,IF(9&gt;$B$6+$B$7,$B$13/B100,IF(9&gt;=$B$6,$B$13*$B$15/B100,($B$13*$B$15+$B$12)/B100)))</f>
        <v/>
      </c>
      <c r="F99" s="9">
        <f>IF(9=$B$6,-$K$7*$B$12,0)</f>
        <v/>
      </c>
      <c r="G99" s="9">
        <f>E99/(D99-C99*G98)</f>
        <v/>
      </c>
      <c r="H99" s="9">
        <f>(F99-C99*H98)/(D99-C99*G98)</f>
        <v/>
      </c>
      <c r="I99" s="16">
        <f>H99-G99*I100</f>
        <v/>
      </c>
      <c r="J99" s="9">
        <f>IF(9&gt;$B$6+$B$7,$G$8*$B$11^$H$8,$E$8*$B$9^$F$8)</f>
        <v/>
      </c>
      <c r="K99" s="9">
        <f>IF(9=1,0,$B$14)</f>
        <v/>
      </c>
      <c r="L99" s="9">
        <f>-($B$14+(IF(9&lt;=$B$6,$B$13*$B$15+$B$12,IF(9&lt;=$B$6+$B$7,$B$13*$B$15,$B$13)))/J99)</f>
        <v/>
      </c>
      <c r="M99" s="9">
        <f>IF(9=$B$6+$B$7,0,IF(9&gt;$B$6+$B$7,$B$13/J100,IF(9&gt;=$B$6,$B$13*$B$15/J100,($B$13*$B$15+$B$12)/J100)))</f>
        <v/>
      </c>
      <c r="N99" s="9">
        <f>IF(9=$B$6,-$K$8*$B$12,0)</f>
        <v/>
      </c>
      <c r="O99" s="9">
        <f>M99/(L99-K99*O98)</f>
        <v/>
      </c>
      <c r="P99" s="9">
        <f>(N99-K99*P98)/(L99-K99*O98)</f>
        <v/>
      </c>
      <c r="Q99" s="16">
        <f>P99-O99*Q100</f>
        <v/>
      </c>
      <c r="R99" s="9">
        <f>IF(9&gt;$B$6+$B$7,$G$9*$B$11^$H$9,$E$9*$B$9^$F$9)</f>
        <v/>
      </c>
      <c r="S99" s="9">
        <f>IF(9=1,0,$B$14)</f>
        <v/>
      </c>
      <c r="T99" s="9">
        <f>-($B$14+(IF(9&lt;=$B$6,$B$13*$B$15+$B$12,IF(9&lt;=$B$6+$B$7,$B$13*$B$15,$B$13)))/R99)</f>
        <v/>
      </c>
      <c r="U99" s="9">
        <f>IF(9=$B$6+$B$7,0,IF(9&gt;$B$6+$B$7,$B$13/R100,IF(9&gt;=$B$6,$B$13*$B$15/R100,($B$13*$B$15+$B$12)/R100)))</f>
        <v/>
      </c>
      <c r="V99" s="9">
        <f>IF(9=$B$6,-$K$9*$B$12,0)</f>
        <v/>
      </c>
      <c r="W99" s="9">
        <f>U99/(T99-S99*W98)</f>
        <v/>
      </c>
      <c r="X99" s="9">
        <f>(V99-S99*X98)/(T99-S99*W98)</f>
        <v/>
      </c>
      <c r="Y99" s="16">
        <f>X99-W99*Y100</f>
        <v/>
      </c>
      <c r="Z99" s="9">
        <f>IF(9&gt;$B$6+$B$7,$G$10*$B$11^$H$10,$E$10*$B$9^$F$10)</f>
        <v/>
      </c>
      <c r="AA99" s="9">
        <f>IF(9=1,0,$B$14)</f>
        <v/>
      </c>
      <c r="AB99" s="9">
        <f>-($B$14+(IF(9&lt;=$B$6,$B$13*$B$15+$B$12,IF(9&lt;=$B$6+$B$7,$B$13*$B$15,$B$13)))/Z99)</f>
        <v/>
      </c>
      <c r="AC99" s="9">
        <f>IF(9=$B$6+$B$7,0,IF(9&gt;$B$6+$B$7,$B$13/Z100,IF(9&gt;=$B$6,$B$13*$B$15/Z100,($B$13*$B$15+$B$12)/Z100)))</f>
        <v/>
      </c>
      <c r="AD99" s="9">
        <f>IF(9=$B$6,-$K$10*$B$12,0)</f>
        <v/>
      </c>
      <c r="AE99" s="9">
        <f>AC99/(AB99-AA99*AE98)</f>
        <v/>
      </c>
      <c r="AF99" s="9">
        <f>(AD99-AA99*AF98)/(AB99-AA99*AE98)</f>
        <v/>
      </c>
      <c r="AG99" s="16">
        <f>AF99-AE99*AG100</f>
        <v/>
      </c>
      <c r="AH99" s="9">
        <f>IF(9&gt;$B$6+$B$7,$G$11*$B$11^$H$11,$E$11*$B$9^$F$11)</f>
        <v/>
      </c>
      <c r="AI99" s="9">
        <f>IF(9=1,0,$B$14)</f>
        <v/>
      </c>
      <c r="AJ99" s="9">
        <f>-($B$14+(IF(9&lt;=$B$6,$B$13*$B$15+$B$12,IF(9&lt;=$B$6+$B$7,$B$13*$B$15,$B$13)))/AH99)</f>
        <v/>
      </c>
      <c r="AK99" s="9">
        <f>IF(9=$B$6+$B$7,0,IF(9&gt;$B$6+$B$7,$B$13/AH100,IF(9&gt;=$B$6,$B$13*$B$15/AH100,($B$13*$B$15+$B$12)/AH100)))</f>
        <v/>
      </c>
      <c r="AL99" s="9">
        <f>IF(9=$B$6,-$K$11*$B$12,0)</f>
        <v/>
      </c>
      <c r="AM99" s="9">
        <f>AK99/(AJ99-AI99*AM98)</f>
        <v/>
      </c>
      <c r="AN99" s="9">
        <f>(AL99-AI99*AN98)/(AJ99-AI99*AM98)</f>
        <v/>
      </c>
      <c r="AO99" s="16">
        <f>AN99-AM99*AO100</f>
        <v/>
      </c>
      <c r="AP99" s="9">
        <f>IF(9&gt;$B$6+$B$7,$G$12*$B$11^$H$12,$E$12*$B$9^$F$12)</f>
        <v/>
      </c>
      <c r="AQ99" s="9">
        <f>IF(9=1,0,$B$14)</f>
        <v/>
      </c>
      <c r="AR99" s="9">
        <f>-($B$14+(IF(9&lt;=$B$6,$B$13*$B$15+$B$12,IF(9&lt;=$B$6+$B$7,$B$13*$B$15,$B$13)))/AP99)</f>
        <v/>
      </c>
      <c r="AS99" s="9">
        <f>IF(9=$B$6+$B$7,0,IF(9&gt;$B$6+$B$7,$B$13/AP100,IF(9&gt;=$B$6,$B$13*$B$15/AP100,($B$13*$B$15+$B$12)/AP100)))</f>
        <v/>
      </c>
      <c r="AT99" s="9">
        <f>IF(9=$B$6,-$K$12*$B$12,0)</f>
        <v/>
      </c>
      <c r="AU99" s="9">
        <f>AS99/(AR99-AQ99*AU98)</f>
        <v/>
      </c>
      <c r="AV99" s="9">
        <f>(AT99-AQ99*AV98)/(AR99-AQ99*AU98)</f>
        <v/>
      </c>
      <c r="AW99" s="16">
        <f>AV99-AU99*AW100</f>
        <v/>
      </c>
      <c r="AX99" s="9">
        <f>IF(9&gt;$B$6+$B$7,$G$13*$B$11^$H$13,$E$13*$B$9^$F$13)</f>
        <v/>
      </c>
      <c r="AY99" s="9">
        <f>IF(9=1,0,$B$14)</f>
        <v/>
      </c>
      <c r="AZ99" s="9">
        <f>-($B$14+(IF(9&lt;=$B$6,$B$13*$B$15+$B$12,IF(9&lt;=$B$6+$B$7,$B$13*$B$15,$B$13)))/AX99)</f>
        <v/>
      </c>
      <c r="BA99" s="9">
        <f>IF(9=$B$6+$B$7,0,IF(9&gt;$B$6+$B$7,$B$13/AX100,IF(9&gt;=$B$6,$B$13*$B$15/AX100,($B$13*$B$15+$B$12)/AX100)))</f>
        <v/>
      </c>
      <c r="BB99" s="9">
        <f>IF(9=$B$6,-$K$13*$B$12,0)</f>
        <v/>
      </c>
      <c r="BC99" s="9">
        <f>BA99/(AZ99-AY99*BC98)</f>
        <v/>
      </c>
      <c r="BD99" s="9">
        <f>(BB99-AY99*BD98)/(AZ99-AY99*BC98)</f>
        <v/>
      </c>
      <c r="BE99" s="16">
        <f>BD99-BC99*BE100</f>
        <v/>
      </c>
      <c r="BF99" s="9">
        <f>IF(9&gt;$B$6+$B$7,$G$14*$B$11^$H$14,$E$14*$B$9^$F$14)</f>
        <v/>
      </c>
      <c r="BG99" s="9">
        <f>IF(9=1,0,$B$14)</f>
        <v/>
      </c>
      <c r="BH99" s="9">
        <f>-($B$14+(IF(9&lt;=$B$6,$B$13*$B$15+$B$12,IF(9&lt;=$B$6+$B$7,$B$13*$B$15,$B$13)))/BF99)</f>
        <v/>
      </c>
      <c r="BI99" s="9">
        <f>IF(9=$B$6+$B$7,0,IF(9&gt;$B$6+$B$7,$B$13/BF100,IF(9&gt;=$B$6,$B$13*$B$15/BF100,($B$13*$B$15+$B$12)/BF100)))</f>
        <v/>
      </c>
      <c r="BJ99" s="9">
        <f>IF(9=$B$6,-$K$14*$B$12,0)</f>
        <v/>
      </c>
      <c r="BK99" s="9">
        <f>BI99/(BH99-BG99*BK98)</f>
        <v/>
      </c>
      <c r="BL99" s="9">
        <f>(BJ99-BG99*BL98)/(BH99-BG99*BK98)</f>
        <v/>
      </c>
      <c r="BM99" s="16">
        <f>BL99-BK99*BM100</f>
        <v/>
      </c>
      <c r="BN99" s="9">
        <f>IF(9&gt;$B$6+$B$7,$G$15*$B$11^$H$15,$E$15*$B$9^$F$15)</f>
        <v/>
      </c>
      <c r="BO99" s="9">
        <f>IF(9=1,0,$B$14)</f>
        <v/>
      </c>
      <c r="BP99" s="9">
        <f>-($B$14+(IF(9&lt;=$B$6,$B$13*$B$15+$B$12,IF(9&lt;=$B$6+$B$7,$B$13*$B$15,$B$13)))/BN99)</f>
        <v/>
      </c>
      <c r="BQ99" s="9">
        <f>IF(9=$B$6+$B$7,0,IF(9&gt;$B$6+$B$7,$B$13/BN100,IF(9&gt;=$B$6,$B$13*$B$15/BN100,($B$13*$B$15+$B$12)/BN100)))</f>
        <v/>
      </c>
      <c r="BR99" s="9">
        <f>IF(9=$B$6,-$K$15*$B$12,0)</f>
        <v/>
      </c>
      <c r="BS99" s="9">
        <f>BQ99/(BP99-BO99*BS98)</f>
        <v/>
      </c>
      <c r="BT99" s="9">
        <f>(BR99-BO99*BT98)/(BP99-BO99*BS98)</f>
        <v/>
      </c>
      <c r="BU99" s="16">
        <f>BT99-BS99*BU100</f>
        <v/>
      </c>
      <c r="BV99" s="9">
        <f>IF(9&gt;$B$6+$B$7,$G$16*$B$11^$H$16,$E$16*$B$9^$F$16)</f>
        <v/>
      </c>
      <c r="BW99" s="9">
        <f>IF(9=1,0,$B$14)</f>
        <v/>
      </c>
      <c r="BX99" s="9">
        <f>-($B$14+(IF(9&lt;=$B$6,$B$13*$B$15+$B$12,IF(9&lt;=$B$6+$B$7,$B$13*$B$15,$B$13)))/BV99)</f>
        <v/>
      </c>
      <c r="BY99" s="9">
        <f>IF(9=$B$6+$B$7,0,IF(9&gt;$B$6+$B$7,$B$13/BV100,IF(9&gt;=$B$6,$B$13*$B$15/BV100,($B$13*$B$15+$B$12)/BV100)))</f>
        <v/>
      </c>
      <c r="BZ99" s="9">
        <f>IF(9=$B$6,-$K$16*$B$12,0)</f>
        <v/>
      </c>
      <c r="CA99" s="9">
        <f>BY99/(BX99-BW99*CA98)</f>
        <v/>
      </c>
      <c r="CB99" s="9">
        <f>(BZ99-BW99*CB98)/(BX99-BW99*CA98)</f>
        <v/>
      </c>
      <c r="CC99" s="16">
        <f>CB99-CA99*CC100</f>
        <v/>
      </c>
      <c r="CD99" s="9">
        <f>IF(9&gt;$B$6+$B$7,$G$17*$B$11^$H$17,$E$17*$B$9^$F$17)</f>
        <v/>
      </c>
      <c r="CE99" s="9">
        <f>IF(9=1,0,$B$14)</f>
        <v/>
      </c>
      <c r="CF99" s="9">
        <f>-($B$14+(IF(9&lt;=$B$6,$B$13*$B$15+$B$12,IF(9&lt;=$B$6+$B$7,$B$13*$B$15,$B$13)))/CD99)</f>
        <v/>
      </c>
      <c r="CG99" s="9">
        <f>IF(9=$B$6+$B$7,0,IF(9&gt;$B$6+$B$7,$B$13/CD100,IF(9&gt;=$B$6,$B$13*$B$15/CD100,($B$13*$B$15+$B$12)/CD100)))</f>
        <v/>
      </c>
      <c r="CH99" s="9">
        <f>IF(9=$B$6,-$K$17*$B$12,0)</f>
        <v/>
      </c>
      <c r="CI99" s="9">
        <f>CG99/(CF99-CE99*CI98)</f>
        <v/>
      </c>
      <c r="CJ99" s="9">
        <f>(CH99-CE99*CJ98)/(CF99-CE99*CI98)</f>
        <v/>
      </c>
      <c r="CK99" s="16">
        <f>CJ99-CI99*CK100</f>
        <v/>
      </c>
      <c r="CL99" s="9">
        <f>IF(9&gt;$B$6+$B$7,$G$18*$B$11^$H$18,$E$18*$B$9^$F$18)</f>
        <v/>
      </c>
      <c r="CM99" s="9">
        <f>IF(9=1,0,$B$14)</f>
        <v/>
      </c>
      <c r="CN99" s="9">
        <f>-($B$14+(IF(9&lt;=$B$6,$B$13*$B$15+$B$12,IF(9&lt;=$B$6+$B$7,$B$13*$B$15,$B$13)))/CL99)</f>
        <v/>
      </c>
      <c r="CO99" s="9">
        <f>IF(9=$B$6+$B$7,0,IF(9&gt;$B$6+$B$7,$B$13/CL100,IF(9&gt;=$B$6,$B$13*$B$15/CL100,($B$13*$B$15+$B$12)/CL100)))</f>
        <v/>
      </c>
      <c r="CP99" s="9">
        <f>IF(9=$B$6,-$K$18*$B$12,0)</f>
        <v/>
      </c>
      <c r="CQ99" s="9">
        <f>CO99/(CN99-CM99*CQ98)</f>
        <v/>
      </c>
      <c r="CR99" s="9">
        <f>(CP99-CM99*CR98)/(CN99-CM99*CQ98)</f>
        <v/>
      </c>
      <c r="CS99" s="16">
        <f>CR99-CQ99*CS100</f>
        <v/>
      </c>
      <c r="CT99" s="9">
        <f>IF(9&gt;$B$6+$B$7,$G$19*$B$11^$H$19,$E$19*$B$9^$F$19)</f>
        <v/>
      </c>
      <c r="CU99" s="9">
        <f>IF(9=1,0,$B$14)</f>
        <v/>
      </c>
      <c r="CV99" s="9">
        <f>-($B$14+(IF(9&lt;=$B$6,$B$13*$B$15+$B$12,IF(9&lt;=$B$6+$B$7,$B$13*$B$15,$B$13)))/CT99)</f>
        <v/>
      </c>
      <c r="CW99" s="9">
        <f>IF(9=$B$6+$B$7,0,IF(9&gt;$B$6+$B$7,$B$13/CT100,IF(9&gt;=$B$6,$B$13*$B$15/CT100,($B$13*$B$15+$B$12)/CT100)))</f>
        <v/>
      </c>
      <c r="CX99" s="9">
        <f>IF(9=$B$6,-$K$19*$B$12,0)</f>
        <v/>
      </c>
      <c r="CY99" s="9">
        <f>CW99/(CV99-CU99*CY98)</f>
        <v/>
      </c>
      <c r="CZ99" s="9">
        <f>(CX99-CU99*CZ98)/(CV99-CU99*CY98)</f>
        <v/>
      </c>
      <c r="DA99" s="16">
        <f>CZ99-CY99*DA100</f>
        <v/>
      </c>
      <c r="DB99" s="9">
        <f>IF(9&gt;$B$6+$B$7,$G$20*$B$11^$H$20,$E$20*$B$9^$F$20)</f>
        <v/>
      </c>
      <c r="DC99" s="9">
        <f>IF(9=1,0,$B$14)</f>
        <v/>
      </c>
      <c r="DD99" s="9">
        <f>-($B$14+(IF(9&lt;=$B$6,$B$13*$B$15+$B$12,IF(9&lt;=$B$6+$B$7,$B$13*$B$15,$B$13)))/DB99)</f>
        <v/>
      </c>
      <c r="DE99" s="9">
        <f>IF(9=$B$6+$B$7,0,IF(9&gt;$B$6+$B$7,$B$13/DB100,IF(9&gt;=$B$6,$B$13*$B$15/DB100,($B$13*$B$15+$B$12)/DB100)))</f>
        <v/>
      </c>
      <c r="DF99" s="9">
        <f>IF(9=$B$6,-$K$20*$B$12,0)</f>
        <v/>
      </c>
      <c r="DG99" s="9">
        <f>DE99/(DD99-DC99*DG98)</f>
        <v/>
      </c>
      <c r="DH99" s="9">
        <f>(DF99-DC99*DH98)/(DD99-DC99*DG98)</f>
        <v/>
      </c>
      <c r="DI99" s="16">
        <f>DH99-DG99*DI100</f>
        <v/>
      </c>
      <c r="DJ99" s="9">
        <f>IF(9&gt;$B$6+$B$7,$G$21*$B$11^$H$21,$E$21*$B$9^$F$21)</f>
        <v/>
      </c>
      <c r="DK99" s="9">
        <f>IF(9=1,0,$B$14)</f>
        <v/>
      </c>
      <c r="DL99" s="9">
        <f>-($B$14+(IF(9&lt;=$B$6,$B$13*$B$15+$B$12,IF(9&lt;=$B$6+$B$7,$B$13*$B$15,$B$13)))/DJ99)</f>
        <v/>
      </c>
      <c r="DM99" s="9">
        <f>IF(9=$B$6+$B$7,0,IF(9&gt;$B$6+$B$7,$B$13/DJ100,IF(9&gt;=$B$6,$B$13*$B$15/DJ100,($B$13*$B$15+$B$12)/DJ100)))</f>
        <v/>
      </c>
      <c r="DN99" s="9">
        <f>IF(9=$B$6,-$K$21*$B$12,0)</f>
        <v/>
      </c>
      <c r="DO99" s="9">
        <f>DM99/(DL99-DK99*DO98)</f>
        <v/>
      </c>
      <c r="DP99" s="9">
        <f>(DN99-DK99*DP98)/(DL99-DK99*DO98)</f>
        <v/>
      </c>
      <c r="DQ99" s="16">
        <f>DP99-DO99*DQ100</f>
        <v/>
      </c>
      <c r="DR99" s="9">
        <f>IF(9&gt;$B$6+$B$7,$G$22*$B$11^$H$22,$E$22*$B$9^$F$22)</f>
        <v/>
      </c>
      <c r="DS99" s="9">
        <f>IF(9=1,0,$B$14)</f>
        <v/>
      </c>
      <c r="DT99" s="9">
        <f>-($B$14+(IF(9&lt;=$B$6,$B$13*$B$15+$B$12,IF(9&lt;=$B$6+$B$7,$B$13*$B$15,$B$13)))/DR99)</f>
        <v/>
      </c>
      <c r="DU99" s="9">
        <f>IF(9=$B$6+$B$7,0,IF(9&gt;$B$6+$B$7,$B$13/DR100,IF(9&gt;=$B$6,$B$13*$B$15/DR100,($B$13*$B$15+$B$12)/DR100)))</f>
        <v/>
      </c>
      <c r="DV99" s="9">
        <f>IF(9=$B$6,-$K$22*$B$12,0)</f>
        <v/>
      </c>
      <c r="DW99" s="9">
        <f>DU99/(DT99-DS99*DW98)</f>
        <v/>
      </c>
      <c r="DX99" s="9">
        <f>(DV99-DS99*DX98)/(DT99-DS99*DW98)</f>
        <v/>
      </c>
      <c r="DY99" s="16">
        <f>DX99-DW99*DY100</f>
        <v/>
      </c>
      <c r="DZ99" s="9">
        <f>IF(9&gt;$B$6+$B$7,$G$23*$B$11^$H$23,$E$23*$B$9^$F$23)</f>
        <v/>
      </c>
      <c r="EA99" s="9">
        <f>IF(9=1,0,$B$14)</f>
        <v/>
      </c>
      <c r="EB99" s="9">
        <f>-($B$14+(IF(9&lt;=$B$6,$B$13*$B$15+$B$12,IF(9&lt;=$B$6+$B$7,$B$13*$B$15,$B$13)))/DZ99)</f>
        <v/>
      </c>
      <c r="EC99" s="9">
        <f>IF(9=$B$6+$B$7,0,IF(9&gt;$B$6+$B$7,$B$13/DZ100,IF(9&gt;=$B$6,$B$13*$B$15/DZ100,($B$13*$B$15+$B$12)/DZ100)))</f>
        <v/>
      </c>
      <c r="ED99" s="9">
        <f>IF(9=$B$6,-$K$23*$B$12,0)</f>
        <v/>
      </c>
      <c r="EE99" s="9">
        <f>EC99/(EB99-EA99*EE98)</f>
        <v/>
      </c>
      <c r="EF99" s="9">
        <f>(ED99-EA99*EF98)/(EB99-EA99*EE98)</f>
        <v/>
      </c>
      <c r="EG99" s="16">
        <f>EF99-EE99*EG100</f>
        <v/>
      </c>
      <c r="EH99" s="9">
        <f>IF(9&gt;$B$6+$B$7,$G$24*$B$11^$H$24,$E$24*$B$9^$F$24)</f>
        <v/>
      </c>
      <c r="EI99" s="9">
        <f>IF(9=1,0,$B$14)</f>
        <v/>
      </c>
      <c r="EJ99" s="9">
        <f>-($B$14+(IF(9&lt;=$B$6,$B$13*$B$15+$B$12,IF(9&lt;=$B$6+$B$7,$B$13*$B$15,$B$13)))/EH99)</f>
        <v/>
      </c>
      <c r="EK99" s="9">
        <f>IF(9=$B$6+$B$7,0,IF(9&gt;$B$6+$B$7,$B$13/EH100,IF(9&gt;=$B$6,$B$13*$B$15/EH100,($B$13*$B$15+$B$12)/EH100)))</f>
        <v/>
      </c>
      <c r="EL99" s="9">
        <f>IF(9=$B$6,-$K$24*$B$12,0)</f>
        <v/>
      </c>
      <c r="EM99" s="9">
        <f>EK99/(EJ99-EI99*EM98)</f>
        <v/>
      </c>
      <c r="EN99" s="9">
        <f>(EL99-EI99*EN98)/(EJ99-EI99*EM98)</f>
        <v/>
      </c>
      <c r="EO99" s="16">
        <f>EN99-EM99*EO100</f>
        <v/>
      </c>
      <c r="EP99" s="9">
        <f>IF(9&gt;$B$6+$B$7,$G$25*$B$11^$H$25,$E$25*$B$9^$F$25)</f>
        <v/>
      </c>
      <c r="EQ99" s="9">
        <f>IF(9=1,0,$B$14)</f>
        <v/>
      </c>
      <c r="ER99" s="9">
        <f>-($B$14+(IF(9&lt;=$B$6,$B$13*$B$15+$B$12,IF(9&lt;=$B$6+$B$7,$B$13*$B$15,$B$13)))/EP99)</f>
        <v/>
      </c>
      <c r="ES99" s="9">
        <f>IF(9=$B$6+$B$7,0,IF(9&gt;$B$6+$B$7,$B$13/EP100,IF(9&gt;=$B$6,$B$13*$B$15/EP100,($B$13*$B$15+$B$12)/EP100)))</f>
        <v/>
      </c>
      <c r="ET99" s="9">
        <f>IF(9=$B$6,-$K$25*$B$12,0)</f>
        <v/>
      </c>
      <c r="EU99" s="9">
        <f>ES99/(ER99-EQ99*EU98)</f>
        <v/>
      </c>
      <c r="EV99" s="9">
        <f>(ET99-EQ99*EV98)/(ER99-EQ99*EU98)</f>
        <v/>
      </c>
      <c r="EW99" s="16">
        <f>EV99-EU99*EW100</f>
        <v/>
      </c>
      <c r="EX99" s="9">
        <f>IF(9&gt;$B$6+$B$7,$G$26*$B$11^$H$26,$E$26*$B$9^$F$26)</f>
        <v/>
      </c>
      <c r="EY99" s="9">
        <f>IF(9=1,0,$B$14)</f>
        <v/>
      </c>
      <c r="EZ99" s="9">
        <f>-($B$14+(IF(9&lt;=$B$6,$B$13*$B$15+$B$12,IF(9&lt;=$B$6+$B$7,$B$13*$B$15,$B$13)))/EX99)</f>
        <v/>
      </c>
      <c r="FA99" s="9">
        <f>IF(9=$B$6+$B$7,0,IF(9&gt;$B$6+$B$7,$B$13/EX100,IF(9&gt;=$B$6,$B$13*$B$15/EX100,($B$13*$B$15+$B$12)/EX100)))</f>
        <v/>
      </c>
      <c r="FB99" s="9">
        <f>IF(9=$B$6,-$K$26*$B$12,0)</f>
        <v/>
      </c>
      <c r="FC99" s="9">
        <f>FA99/(EZ99-EY99*FC98)</f>
        <v/>
      </c>
      <c r="FD99" s="9">
        <f>(FB99-EY99*FD98)/(EZ99-EY99*FC98)</f>
        <v/>
      </c>
      <c r="FE99" s="16">
        <f>FD99-FC99*FE100</f>
        <v/>
      </c>
      <c r="FF99" s="9">
        <f>IF(9&gt;$B$6+$B$7,$G$27*$B$11^$H$27,$E$27*$B$9^$F$27)</f>
        <v/>
      </c>
      <c r="FG99" s="9">
        <f>IF(9=1,0,$B$14)</f>
        <v/>
      </c>
      <c r="FH99" s="9">
        <f>-($B$14+(IF(9&lt;=$B$6,$B$13*$B$15+$B$12,IF(9&lt;=$B$6+$B$7,$B$13*$B$15,$B$13)))/FF99)</f>
        <v/>
      </c>
      <c r="FI99" s="9">
        <f>IF(9=$B$6+$B$7,0,IF(9&gt;$B$6+$B$7,$B$13/FF100,IF(9&gt;=$B$6,$B$13*$B$15/FF100,($B$13*$B$15+$B$12)/FF100)))</f>
        <v/>
      </c>
      <c r="FJ99" s="9">
        <f>IF(9=$B$6,-$K$27*$B$12,0)</f>
        <v/>
      </c>
      <c r="FK99" s="9">
        <f>FI99/(FH99-FG99*FK98)</f>
        <v/>
      </c>
      <c r="FL99" s="9">
        <f>(FJ99-FG99*FL98)/(FH99-FG99*FK98)</f>
        <v/>
      </c>
      <c r="FM99" s="16">
        <f>FL99-FK99*FM100</f>
        <v/>
      </c>
      <c r="FN99" s="9">
        <f>IF(9&gt;$B$6+$B$7,$G$28*$B$11^$H$28,$E$28*$B$9^$F$28)</f>
        <v/>
      </c>
      <c r="FO99" s="9">
        <f>IF(9=1,0,$B$14)</f>
        <v/>
      </c>
      <c r="FP99" s="9">
        <f>-($B$14+(IF(9&lt;=$B$6,$B$13*$B$15+$B$12,IF(9&lt;=$B$6+$B$7,$B$13*$B$15,$B$13)))/FN99)</f>
        <v/>
      </c>
      <c r="FQ99" s="9">
        <f>IF(9=$B$6+$B$7,0,IF(9&gt;$B$6+$B$7,$B$13/FN100,IF(9&gt;=$B$6,$B$13*$B$15/FN100,($B$13*$B$15+$B$12)/FN100)))</f>
        <v/>
      </c>
      <c r="FR99" s="9">
        <f>IF(9=$B$6,-$K$28*$B$12,0)</f>
        <v/>
      </c>
      <c r="FS99" s="9">
        <f>FQ99/(FP99-FO99*FS98)</f>
        <v/>
      </c>
      <c r="FT99" s="9">
        <f>(FR99-FO99*FT98)/(FP99-FO99*FS98)</f>
        <v/>
      </c>
      <c r="FU99" s="16">
        <f>FT99-FS99*FU100</f>
        <v/>
      </c>
      <c r="FV99" s="9">
        <f>IF(9&gt;$B$6+$B$7,$G$29*$B$11^$H$29,$E$29*$B$9^$F$29)</f>
        <v/>
      </c>
      <c r="FW99" s="9">
        <f>IF(9=1,0,$B$14)</f>
        <v/>
      </c>
      <c r="FX99" s="9">
        <f>-($B$14+(IF(9&lt;=$B$6,$B$13*$B$15+$B$12,IF(9&lt;=$B$6+$B$7,$B$13*$B$15,$B$13)))/FV99)</f>
        <v/>
      </c>
      <c r="FY99" s="9">
        <f>IF(9=$B$6+$B$7,0,IF(9&gt;$B$6+$B$7,$B$13/FV100,IF(9&gt;=$B$6,$B$13*$B$15/FV100,($B$13*$B$15+$B$12)/FV100)))</f>
        <v/>
      </c>
      <c r="FZ99" s="9">
        <f>IF(9=$B$6,-$K$29*$B$12,0)</f>
        <v/>
      </c>
      <c r="GA99" s="9">
        <f>FY99/(FX99-FW99*GA98)</f>
        <v/>
      </c>
      <c r="GB99" s="9">
        <f>(FZ99-FW99*GB98)/(FX99-FW99*GA98)</f>
        <v/>
      </c>
      <c r="GC99" s="16">
        <f>GB99-GA99*GC100</f>
        <v/>
      </c>
      <c r="GD99" s="9">
        <f>IF(9&gt;$B$6+$B$7,$G$30*$B$11^$H$30,$E$30*$B$9^$F$30)</f>
        <v/>
      </c>
      <c r="GE99" s="9">
        <f>IF(9=1,0,$B$14)</f>
        <v/>
      </c>
      <c r="GF99" s="9">
        <f>-($B$14+(IF(9&lt;=$B$6,$B$13*$B$15+$B$12,IF(9&lt;=$B$6+$B$7,$B$13*$B$15,$B$13)))/GD99)</f>
        <v/>
      </c>
      <c r="GG99" s="9">
        <f>IF(9=$B$6+$B$7,0,IF(9&gt;$B$6+$B$7,$B$13/GD100,IF(9&gt;=$B$6,$B$13*$B$15/GD100,($B$13*$B$15+$B$12)/GD100)))</f>
        <v/>
      </c>
      <c r="GH99" s="9">
        <f>IF(9=$B$6,-$K$30*$B$12,0)</f>
        <v/>
      </c>
      <c r="GI99" s="9">
        <f>GG99/(GF99-GE99*GI98)</f>
        <v/>
      </c>
      <c r="GJ99" s="9">
        <f>(GH99-GE99*GJ98)/(GF99-GE99*GI98)</f>
        <v/>
      </c>
      <c r="GK99" s="16">
        <f>GJ99-GI99*GK100</f>
        <v/>
      </c>
      <c r="GL99" s="9">
        <f>IF(9&gt;$B$6+$B$7,$G$31*$B$11^$H$31,$E$31*$B$9^$F$31)</f>
        <v/>
      </c>
      <c r="GM99" s="9">
        <f>IF(9=1,0,$B$14)</f>
        <v/>
      </c>
      <c r="GN99" s="9">
        <f>-($B$14+(IF(9&lt;=$B$6,$B$13*$B$15+$B$12,IF(9&lt;=$B$6+$B$7,$B$13*$B$15,$B$13)))/GL99)</f>
        <v/>
      </c>
      <c r="GO99" s="9">
        <f>IF(9=$B$6+$B$7,0,IF(9&gt;$B$6+$B$7,$B$13/GL100,IF(9&gt;=$B$6,$B$13*$B$15/GL100,($B$13*$B$15+$B$12)/GL100)))</f>
        <v/>
      </c>
      <c r="GP99" s="9">
        <f>IF(9=$B$6,-$K$31*$B$12,0)</f>
        <v/>
      </c>
      <c r="GQ99" s="9">
        <f>GO99/(GN99-GM99*GQ98)</f>
        <v/>
      </c>
      <c r="GR99" s="9">
        <f>(GP99-GM99*GR98)/(GN99-GM99*GQ98)</f>
        <v/>
      </c>
      <c r="GS99" s="16">
        <f>GR99-GQ99*GS100</f>
        <v/>
      </c>
      <c r="GT99" s="9">
        <f>IF(9&gt;$B$6+$B$7,$G$32*$B$11^$H$32,$E$32*$B$9^$F$32)</f>
        <v/>
      </c>
      <c r="GU99" s="9">
        <f>IF(9=1,0,$B$14)</f>
        <v/>
      </c>
      <c r="GV99" s="9">
        <f>-($B$14+(IF(9&lt;=$B$6,$B$13*$B$15+$B$12,IF(9&lt;=$B$6+$B$7,$B$13*$B$15,$B$13)))/GT99)</f>
        <v/>
      </c>
      <c r="GW99" s="9">
        <f>IF(9=$B$6+$B$7,0,IF(9&gt;$B$6+$B$7,$B$13/GT100,IF(9&gt;=$B$6,$B$13*$B$15/GT100,($B$13*$B$15+$B$12)/GT100)))</f>
        <v/>
      </c>
      <c r="GX99" s="9">
        <f>IF(9=$B$6,-$K$32*$B$12,0)</f>
        <v/>
      </c>
      <c r="GY99" s="9">
        <f>GW99/(GV99-GU99*GY98)</f>
        <v/>
      </c>
      <c r="GZ99" s="9">
        <f>(GX99-GU99*GZ98)/(GV99-GU99*GY98)</f>
        <v/>
      </c>
      <c r="HA99" s="16">
        <f>GZ99-GY99*HA100</f>
        <v/>
      </c>
      <c r="HB99" s="12">
        <f>IFERROR(I99/B99,0)</f>
        <v/>
      </c>
      <c r="HC99" s="12">
        <f>IFERROR(Q99/J99,0)</f>
        <v/>
      </c>
      <c r="HD99" s="12">
        <f>IFERROR(Y99/R99,0)</f>
        <v/>
      </c>
      <c r="HE99" s="12">
        <f>IFERROR(AG99/Z99,0)</f>
        <v/>
      </c>
      <c r="HF99" s="12">
        <f>IFERROR(AO99/AH99,0)</f>
        <v/>
      </c>
      <c r="HG99" s="12">
        <f>IFERROR(AW99/AP99,0)</f>
        <v/>
      </c>
      <c r="HH99" s="12">
        <f>IFERROR(BE99/AX99,0)</f>
        <v/>
      </c>
      <c r="HI99" s="12">
        <f>IFERROR(BM99/BF99,0)</f>
        <v/>
      </c>
      <c r="HJ99" s="12">
        <f>IFERROR(BU99/BN99,0)</f>
        <v/>
      </c>
      <c r="HK99" s="12">
        <f>IFERROR(CC99/BV99,0)</f>
        <v/>
      </c>
      <c r="HL99" s="12">
        <f>IFERROR(CK99/CD99,0)</f>
        <v/>
      </c>
      <c r="HM99" s="12">
        <f>IFERROR(CS99/CL99,0)</f>
        <v/>
      </c>
      <c r="HN99" s="12">
        <f>IFERROR(DA99/CT99,0)</f>
        <v/>
      </c>
      <c r="HO99" s="12">
        <f>IFERROR(DI99/DB99,0)</f>
        <v/>
      </c>
      <c r="HP99" s="12">
        <f>IFERROR(DQ99/DJ99,0)</f>
        <v/>
      </c>
      <c r="HQ99" s="12">
        <f>IFERROR(DY99/DR99,0)</f>
        <v/>
      </c>
      <c r="HR99" s="12">
        <f>IFERROR(EG99/DZ99,0)</f>
        <v/>
      </c>
      <c r="HS99" s="12">
        <f>IFERROR(EO99/EH99,0)</f>
        <v/>
      </c>
      <c r="HT99" s="12">
        <f>IFERROR(EW99/EP99,0)</f>
        <v/>
      </c>
      <c r="HU99" s="12">
        <f>IFERROR(FE99/EX99,0)</f>
        <v/>
      </c>
      <c r="HV99" s="12">
        <f>IFERROR(FM99/FF99,0)</f>
        <v/>
      </c>
      <c r="HW99" s="12">
        <f>IFERROR(FU99/FN99,0)</f>
        <v/>
      </c>
      <c r="HX99" s="12">
        <f>IFERROR(GC99/FV99,0)</f>
        <v/>
      </c>
      <c r="HY99" s="12">
        <f>IFERROR(GK99/GD99,0)</f>
        <v/>
      </c>
      <c r="HZ99" s="12">
        <f>IFERROR(GS99/GL99,0)</f>
        <v/>
      </c>
      <c r="IA99" s="12">
        <f>IFERROR(HA99/GT99,0)</f>
        <v/>
      </c>
      <c r="IB99" s="12">
        <f>I99+Q99+Y99+AG99+AO99+AW99+BE99+BM99+BU99+CC99+CK99+CS99+DA99+DI99+DQ99+DY99+EG99+EO99+EW99+FE99+FM99+FU99+GC99+GK99+GS99+HA99</f>
        <v/>
      </c>
      <c r="IC99" s="12">
        <f>HB99+HC99+HD99+HE99+HF99+HG99+HH99+HI99+HJ99+HK99+HL99+HM99+HN99+HO99+HP99+HQ99+HR99+HS99+HT99+HU99+HV99+HW99+HX99+HY99+HZ99+IA99</f>
        <v/>
      </c>
    </row>
    <row r="100" ht="14" customHeight="1">
      <c r="A100" s="29" t="n">
        <v>10</v>
      </c>
      <c r="B100" s="9">
        <f>IF(10&gt;$B$6+$B$7,$G$7*$B$11^$H$7,$E$7*$B$9^$F$7)</f>
        <v/>
      </c>
      <c r="C100" s="9">
        <f>IF(10=1,0,$B$14)</f>
        <v/>
      </c>
      <c r="D100" s="9">
        <f>-($B$14+(IF(10&lt;=$B$6,$B$13*$B$15+$B$12,IF(10&lt;=$B$6+$B$7,$B$13*$B$15,$B$13)))/B100)</f>
        <v/>
      </c>
      <c r="E100" s="9">
        <f>IF(10=$B$6+$B$7,0,IF(10&gt;$B$6+$B$7,$B$13/B101,IF(10&gt;=$B$6,$B$13*$B$15/B101,($B$13*$B$15+$B$12)/B101)))</f>
        <v/>
      </c>
      <c r="F100" s="9">
        <f>IF(10=$B$6,-$K$7*$B$12,0)</f>
        <v/>
      </c>
      <c r="G100" s="9">
        <f>E100/(D100-C100*G99)</f>
        <v/>
      </c>
      <c r="H100" s="9">
        <f>(F100-C100*H99)/(D100-C100*G99)</f>
        <v/>
      </c>
      <c r="I100" s="16">
        <f>H100-G100*I101</f>
        <v/>
      </c>
      <c r="J100" s="9">
        <f>IF(10&gt;$B$6+$B$7,$G$8*$B$11^$H$8,$E$8*$B$9^$F$8)</f>
        <v/>
      </c>
      <c r="K100" s="9">
        <f>IF(10=1,0,$B$14)</f>
        <v/>
      </c>
      <c r="L100" s="9">
        <f>-($B$14+(IF(10&lt;=$B$6,$B$13*$B$15+$B$12,IF(10&lt;=$B$6+$B$7,$B$13*$B$15,$B$13)))/J100)</f>
        <v/>
      </c>
      <c r="M100" s="9">
        <f>IF(10=$B$6+$B$7,0,IF(10&gt;$B$6+$B$7,$B$13/J101,IF(10&gt;=$B$6,$B$13*$B$15/J101,($B$13*$B$15+$B$12)/J101)))</f>
        <v/>
      </c>
      <c r="N100" s="9">
        <f>IF(10=$B$6,-$K$8*$B$12,0)</f>
        <v/>
      </c>
      <c r="O100" s="9">
        <f>M100/(L100-K100*O99)</f>
        <v/>
      </c>
      <c r="P100" s="9">
        <f>(N100-K100*P99)/(L100-K100*O99)</f>
        <v/>
      </c>
      <c r="Q100" s="16">
        <f>P100-O100*Q101</f>
        <v/>
      </c>
      <c r="R100" s="9">
        <f>IF(10&gt;$B$6+$B$7,$G$9*$B$11^$H$9,$E$9*$B$9^$F$9)</f>
        <v/>
      </c>
      <c r="S100" s="9">
        <f>IF(10=1,0,$B$14)</f>
        <v/>
      </c>
      <c r="T100" s="9">
        <f>-($B$14+(IF(10&lt;=$B$6,$B$13*$B$15+$B$12,IF(10&lt;=$B$6+$B$7,$B$13*$B$15,$B$13)))/R100)</f>
        <v/>
      </c>
      <c r="U100" s="9">
        <f>IF(10=$B$6+$B$7,0,IF(10&gt;$B$6+$B$7,$B$13/R101,IF(10&gt;=$B$6,$B$13*$B$15/R101,($B$13*$B$15+$B$12)/R101)))</f>
        <v/>
      </c>
      <c r="V100" s="9">
        <f>IF(10=$B$6,-$K$9*$B$12,0)</f>
        <v/>
      </c>
      <c r="W100" s="9">
        <f>U100/(T100-S100*W99)</f>
        <v/>
      </c>
      <c r="X100" s="9">
        <f>(V100-S100*X99)/(T100-S100*W99)</f>
        <v/>
      </c>
      <c r="Y100" s="16">
        <f>X100-W100*Y101</f>
        <v/>
      </c>
      <c r="Z100" s="9">
        <f>IF(10&gt;$B$6+$B$7,$G$10*$B$11^$H$10,$E$10*$B$9^$F$10)</f>
        <v/>
      </c>
      <c r="AA100" s="9">
        <f>IF(10=1,0,$B$14)</f>
        <v/>
      </c>
      <c r="AB100" s="9">
        <f>-($B$14+(IF(10&lt;=$B$6,$B$13*$B$15+$B$12,IF(10&lt;=$B$6+$B$7,$B$13*$B$15,$B$13)))/Z100)</f>
        <v/>
      </c>
      <c r="AC100" s="9">
        <f>IF(10=$B$6+$B$7,0,IF(10&gt;$B$6+$B$7,$B$13/Z101,IF(10&gt;=$B$6,$B$13*$B$15/Z101,($B$13*$B$15+$B$12)/Z101)))</f>
        <v/>
      </c>
      <c r="AD100" s="9">
        <f>IF(10=$B$6,-$K$10*$B$12,0)</f>
        <v/>
      </c>
      <c r="AE100" s="9">
        <f>AC100/(AB100-AA100*AE99)</f>
        <v/>
      </c>
      <c r="AF100" s="9">
        <f>(AD100-AA100*AF99)/(AB100-AA100*AE99)</f>
        <v/>
      </c>
      <c r="AG100" s="16">
        <f>AF100-AE100*AG101</f>
        <v/>
      </c>
      <c r="AH100" s="9">
        <f>IF(10&gt;$B$6+$B$7,$G$11*$B$11^$H$11,$E$11*$B$9^$F$11)</f>
        <v/>
      </c>
      <c r="AI100" s="9">
        <f>IF(10=1,0,$B$14)</f>
        <v/>
      </c>
      <c r="AJ100" s="9">
        <f>-($B$14+(IF(10&lt;=$B$6,$B$13*$B$15+$B$12,IF(10&lt;=$B$6+$B$7,$B$13*$B$15,$B$13)))/AH100)</f>
        <v/>
      </c>
      <c r="AK100" s="9">
        <f>IF(10=$B$6+$B$7,0,IF(10&gt;$B$6+$B$7,$B$13/AH101,IF(10&gt;=$B$6,$B$13*$B$15/AH101,($B$13*$B$15+$B$12)/AH101)))</f>
        <v/>
      </c>
      <c r="AL100" s="9">
        <f>IF(10=$B$6,-$K$11*$B$12,0)</f>
        <v/>
      </c>
      <c r="AM100" s="9">
        <f>AK100/(AJ100-AI100*AM99)</f>
        <v/>
      </c>
      <c r="AN100" s="9">
        <f>(AL100-AI100*AN99)/(AJ100-AI100*AM99)</f>
        <v/>
      </c>
      <c r="AO100" s="16">
        <f>AN100-AM100*AO101</f>
        <v/>
      </c>
      <c r="AP100" s="9">
        <f>IF(10&gt;$B$6+$B$7,$G$12*$B$11^$H$12,$E$12*$B$9^$F$12)</f>
        <v/>
      </c>
      <c r="AQ100" s="9">
        <f>IF(10=1,0,$B$14)</f>
        <v/>
      </c>
      <c r="AR100" s="9">
        <f>-($B$14+(IF(10&lt;=$B$6,$B$13*$B$15+$B$12,IF(10&lt;=$B$6+$B$7,$B$13*$B$15,$B$13)))/AP100)</f>
        <v/>
      </c>
      <c r="AS100" s="9">
        <f>IF(10=$B$6+$B$7,0,IF(10&gt;$B$6+$B$7,$B$13/AP101,IF(10&gt;=$B$6,$B$13*$B$15/AP101,($B$13*$B$15+$B$12)/AP101)))</f>
        <v/>
      </c>
      <c r="AT100" s="9">
        <f>IF(10=$B$6,-$K$12*$B$12,0)</f>
        <v/>
      </c>
      <c r="AU100" s="9">
        <f>AS100/(AR100-AQ100*AU99)</f>
        <v/>
      </c>
      <c r="AV100" s="9">
        <f>(AT100-AQ100*AV99)/(AR100-AQ100*AU99)</f>
        <v/>
      </c>
      <c r="AW100" s="16">
        <f>AV100-AU100*AW101</f>
        <v/>
      </c>
      <c r="AX100" s="9">
        <f>IF(10&gt;$B$6+$B$7,$G$13*$B$11^$H$13,$E$13*$B$9^$F$13)</f>
        <v/>
      </c>
      <c r="AY100" s="9">
        <f>IF(10=1,0,$B$14)</f>
        <v/>
      </c>
      <c r="AZ100" s="9">
        <f>-($B$14+(IF(10&lt;=$B$6,$B$13*$B$15+$B$12,IF(10&lt;=$B$6+$B$7,$B$13*$B$15,$B$13)))/AX100)</f>
        <v/>
      </c>
      <c r="BA100" s="9">
        <f>IF(10=$B$6+$B$7,0,IF(10&gt;$B$6+$B$7,$B$13/AX101,IF(10&gt;=$B$6,$B$13*$B$15/AX101,($B$13*$B$15+$B$12)/AX101)))</f>
        <v/>
      </c>
      <c r="BB100" s="9">
        <f>IF(10=$B$6,-$K$13*$B$12,0)</f>
        <v/>
      </c>
      <c r="BC100" s="9">
        <f>BA100/(AZ100-AY100*BC99)</f>
        <v/>
      </c>
      <c r="BD100" s="9">
        <f>(BB100-AY100*BD99)/(AZ100-AY100*BC99)</f>
        <v/>
      </c>
      <c r="BE100" s="16">
        <f>BD100-BC100*BE101</f>
        <v/>
      </c>
      <c r="BF100" s="9">
        <f>IF(10&gt;$B$6+$B$7,$G$14*$B$11^$H$14,$E$14*$B$9^$F$14)</f>
        <v/>
      </c>
      <c r="BG100" s="9">
        <f>IF(10=1,0,$B$14)</f>
        <v/>
      </c>
      <c r="BH100" s="9">
        <f>-($B$14+(IF(10&lt;=$B$6,$B$13*$B$15+$B$12,IF(10&lt;=$B$6+$B$7,$B$13*$B$15,$B$13)))/BF100)</f>
        <v/>
      </c>
      <c r="BI100" s="9">
        <f>IF(10=$B$6+$B$7,0,IF(10&gt;$B$6+$B$7,$B$13/BF101,IF(10&gt;=$B$6,$B$13*$B$15/BF101,($B$13*$B$15+$B$12)/BF101)))</f>
        <v/>
      </c>
      <c r="BJ100" s="9">
        <f>IF(10=$B$6,-$K$14*$B$12,0)</f>
        <v/>
      </c>
      <c r="BK100" s="9">
        <f>BI100/(BH100-BG100*BK99)</f>
        <v/>
      </c>
      <c r="BL100" s="9">
        <f>(BJ100-BG100*BL99)/(BH100-BG100*BK99)</f>
        <v/>
      </c>
      <c r="BM100" s="16">
        <f>BL100-BK100*BM101</f>
        <v/>
      </c>
      <c r="BN100" s="9">
        <f>IF(10&gt;$B$6+$B$7,$G$15*$B$11^$H$15,$E$15*$B$9^$F$15)</f>
        <v/>
      </c>
      <c r="BO100" s="9">
        <f>IF(10=1,0,$B$14)</f>
        <v/>
      </c>
      <c r="BP100" s="9">
        <f>-($B$14+(IF(10&lt;=$B$6,$B$13*$B$15+$B$12,IF(10&lt;=$B$6+$B$7,$B$13*$B$15,$B$13)))/BN100)</f>
        <v/>
      </c>
      <c r="BQ100" s="9">
        <f>IF(10=$B$6+$B$7,0,IF(10&gt;$B$6+$B$7,$B$13/BN101,IF(10&gt;=$B$6,$B$13*$B$15/BN101,($B$13*$B$15+$B$12)/BN101)))</f>
        <v/>
      </c>
      <c r="BR100" s="9">
        <f>IF(10=$B$6,-$K$15*$B$12,0)</f>
        <v/>
      </c>
      <c r="BS100" s="9">
        <f>BQ100/(BP100-BO100*BS99)</f>
        <v/>
      </c>
      <c r="BT100" s="9">
        <f>(BR100-BO100*BT99)/(BP100-BO100*BS99)</f>
        <v/>
      </c>
      <c r="BU100" s="16">
        <f>BT100-BS100*BU101</f>
        <v/>
      </c>
      <c r="BV100" s="9">
        <f>IF(10&gt;$B$6+$B$7,$G$16*$B$11^$H$16,$E$16*$B$9^$F$16)</f>
        <v/>
      </c>
      <c r="BW100" s="9">
        <f>IF(10=1,0,$B$14)</f>
        <v/>
      </c>
      <c r="BX100" s="9">
        <f>-($B$14+(IF(10&lt;=$B$6,$B$13*$B$15+$B$12,IF(10&lt;=$B$6+$B$7,$B$13*$B$15,$B$13)))/BV100)</f>
        <v/>
      </c>
      <c r="BY100" s="9">
        <f>IF(10=$B$6+$B$7,0,IF(10&gt;$B$6+$B$7,$B$13/BV101,IF(10&gt;=$B$6,$B$13*$B$15/BV101,($B$13*$B$15+$B$12)/BV101)))</f>
        <v/>
      </c>
      <c r="BZ100" s="9">
        <f>IF(10=$B$6,-$K$16*$B$12,0)</f>
        <v/>
      </c>
      <c r="CA100" s="9">
        <f>BY100/(BX100-BW100*CA99)</f>
        <v/>
      </c>
      <c r="CB100" s="9">
        <f>(BZ100-BW100*CB99)/(BX100-BW100*CA99)</f>
        <v/>
      </c>
      <c r="CC100" s="16">
        <f>CB100-CA100*CC101</f>
        <v/>
      </c>
      <c r="CD100" s="9">
        <f>IF(10&gt;$B$6+$B$7,$G$17*$B$11^$H$17,$E$17*$B$9^$F$17)</f>
        <v/>
      </c>
      <c r="CE100" s="9">
        <f>IF(10=1,0,$B$14)</f>
        <v/>
      </c>
      <c r="CF100" s="9">
        <f>-($B$14+(IF(10&lt;=$B$6,$B$13*$B$15+$B$12,IF(10&lt;=$B$6+$B$7,$B$13*$B$15,$B$13)))/CD100)</f>
        <v/>
      </c>
      <c r="CG100" s="9">
        <f>IF(10=$B$6+$B$7,0,IF(10&gt;$B$6+$B$7,$B$13/CD101,IF(10&gt;=$B$6,$B$13*$B$15/CD101,($B$13*$B$15+$B$12)/CD101)))</f>
        <v/>
      </c>
      <c r="CH100" s="9">
        <f>IF(10=$B$6,-$K$17*$B$12,0)</f>
        <v/>
      </c>
      <c r="CI100" s="9">
        <f>CG100/(CF100-CE100*CI99)</f>
        <v/>
      </c>
      <c r="CJ100" s="9">
        <f>(CH100-CE100*CJ99)/(CF100-CE100*CI99)</f>
        <v/>
      </c>
      <c r="CK100" s="16">
        <f>CJ100-CI100*CK101</f>
        <v/>
      </c>
      <c r="CL100" s="9">
        <f>IF(10&gt;$B$6+$B$7,$G$18*$B$11^$H$18,$E$18*$B$9^$F$18)</f>
        <v/>
      </c>
      <c r="CM100" s="9">
        <f>IF(10=1,0,$B$14)</f>
        <v/>
      </c>
      <c r="CN100" s="9">
        <f>-($B$14+(IF(10&lt;=$B$6,$B$13*$B$15+$B$12,IF(10&lt;=$B$6+$B$7,$B$13*$B$15,$B$13)))/CL100)</f>
        <v/>
      </c>
      <c r="CO100" s="9">
        <f>IF(10=$B$6+$B$7,0,IF(10&gt;$B$6+$B$7,$B$13/CL101,IF(10&gt;=$B$6,$B$13*$B$15/CL101,($B$13*$B$15+$B$12)/CL101)))</f>
        <v/>
      </c>
      <c r="CP100" s="9">
        <f>IF(10=$B$6,-$K$18*$B$12,0)</f>
        <v/>
      </c>
      <c r="CQ100" s="9">
        <f>CO100/(CN100-CM100*CQ99)</f>
        <v/>
      </c>
      <c r="CR100" s="9">
        <f>(CP100-CM100*CR99)/(CN100-CM100*CQ99)</f>
        <v/>
      </c>
      <c r="CS100" s="16">
        <f>CR100-CQ100*CS101</f>
        <v/>
      </c>
      <c r="CT100" s="9">
        <f>IF(10&gt;$B$6+$B$7,$G$19*$B$11^$H$19,$E$19*$B$9^$F$19)</f>
        <v/>
      </c>
      <c r="CU100" s="9">
        <f>IF(10=1,0,$B$14)</f>
        <v/>
      </c>
      <c r="CV100" s="9">
        <f>-($B$14+(IF(10&lt;=$B$6,$B$13*$B$15+$B$12,IF(10&lt;=$B$6+$B$7,$B$13*$B$15,$B$13)))/CT100)</f>
        <v/>
      </c>
      <c r="CW100" s="9">
        <f>IF(10=$B$6+$B$7,0,IF(10&gt;$B$6+$B$7,$B$13/CT101,IF(10&gt;=$B$6,$B$13*$B$15/CT101,($B$13*$B$15+$B$12)/CT101)))</f>
        <v/>
      </c>
      <c r="CX100" s="9">
        <f>IF(10=$B$6,-$K$19*$B$12,0)</f>
        <v/>
      </c>
      <c r="CY100" s="9">
        <f>CW100/(CV100-CU100*CY99)</f>
        <v/>
      </c>
      <c r="CZ100" s="9">
        <f>(CX100-CU100*CZ99)/(CV100-CU100*CY99)</f>
        <v/>
      </c>
      <c r="DA100" s="16">
        <f>CZ100-CY100*DA101</f>
        <v/>
      </c>
      <c r="DB100" s="9">
        <f>IF(10&gt;$B$6+$B$7,$G$20*$B$11^$H$20,$E$20*$B$9^$F$20)</f>
        <v/>
      </c>
      <c r="DC100" s="9">
        <f>IF(10=1,0,$B$14)</f>
        <v/>
      </c>
      <c r="DD100" s="9">
        <f>-($B$14+(IF(10&lt;=$B$6,$B$13*$B$15+$B$12,IF(10&lt;=$B$6+$B$7,$B$13*$B$15,$B$13)))/DB100)</f>
        <v/>
      </c>
      <c r="DE100" s="9">
        <f>IF(10=$B$6+$B$7,0,IF(10&gt;$B$6+$B$7,$B$13/DB101,IF(10&gt;=$B$6,$B$13*$B$15/DB101,($B$13*$B$15+$B$12)/DB101)))</f>
        <v/>
      </c>
      <c r="DF100" s="9">
        <f>IF(10=$B$6,-$K$20*$B$12,0)</f>
        <v/>
      </c>
      <c r="DG100" s="9">
        <f>DE100/(DD100-DC100*DG99)</f>
        <v/>
      </c>
      <c r="DH100" s="9">
        <f>(DF100-DC100*DH99)/(DD100-DC100*DG99)</f>
        <v/>
      </c>
      <c r="DI100" s="16">
        <f>DH100-DG100*DI101</f>
        <v/>
      </c>
      <c r="DJ100" s="9">
        <f>IF(10&gt;$B$6+$B$7,$G$21*$B$11^$H$21,$E$21*$B$9^$F$21)</f>
        <v/>
      </c>
      <c r="DK100" s="9">
        <f>IF(10=1,0,$B$14)</f>
        <v/>
      </c>
      <c r="DL100" s="9">
        <f>-($B$14+(IF(10&lt;=$B$6,$B$13*$B$15+$B$12,IF(10&lt;=$B$6+$B$7,$B$13*$B$15,$B$13)))/DJ100)</f>
        <v/>
      </c>
      <c r="DM100" s="9">
        <f>IF(10=$B$6+$B$7,0,IF(10&gt;$B$6+$B$7,$B$13/DJ101,IF(10&gt;=$B$6,$B$13*$B$15/DJ101,($B$13*$B$15+$B$12)/DJ101)))</f>
        <v/>
      </c>
      <c r="DN100" s="9">
        <f>IF(10=$B$6,-$K$21*$B$12,0)</f>
        <v/>
      </c>
      <c r="DO100" s="9">
        <f>DM100/(DL100-DK100*DO99)</f>
        <v/>
      </c>
      <c r="DP100" s="9">
        <f>(DN100-DK100*DP99)/(DL100-DK100*DO99)</f>
        <v/>
      </c>
      <c r="DQ100" s="16">
        <f>DP100-DO100*DQ101</f>
        <v/>
      </c>
      <c r="DR100" s="9">
        <f>IF(10&gt;$B$6+$B$7,$G$22*$B$11^$H$22,$E$22*$B$9^$F$22)</f>
        <v/>
      </c>
      <c r="DS100" s="9">
        <f>IF(10=1,0,$B$14)</f>
        <v/>
      </c>
      <c r="DT100" s="9">
        <f>-($B$14+(IF(10&lt;=$B$6,$B$13*$B$15+$B$12,IF(10&lt;=$B$6+$B$7,$B$13*$B$15,$B$13)))/DR100)</f>
        <v/>
      </c>
      <c r="DU100" s="9">
        <f>IF(10=$B$6+$B$7,0,IF(10&gt;$B$6+$B$7,$B$13/DR101,IF(10&gt;=$B$6,$B$13*$B$15/DR101,($B$13*$B$15+$B$12)/DR101)))</f>
        <v/>
      </c>
      <c r="DV100" s="9">
        <f>IF(10=$B$6,-$K$22*$B$12,0)</f>
        <v/>
      </c>
      <c r="DW100" s="9">
        <f>DU100/(DT100-DS100*DW99)</f>
        <v/>
      </c>
      <c r="DX100" s="9">
        <f>(DV100-DS100*DX99)/(DT100-DS100*DW99)</f>
        <v/>
      </c>
      <c r="DY100" s="16">
        <f>DX100-DW100*DY101</f>
        <v/>
      </c>
      <c r="DZ100" s="9">
        <f>IF(10&gt;$B$6+$B$7,$G$23*$B$11^$H$23,$E$23*$B$9^$F$23)</f>
        <v/>
      </c>
      <c r="EA100" s="9">
        <f>IF(10=1,0,$B$14)</f>
        <v/>
      </c>
      <c r="EB100" s="9">
        <f>-($B$14+(IF(10&lt;=$B$6,$B$13*$B$15+$B$12,IF(10&lt;=$B$6+$B$7,$B$13*$B$15,$B$13)))/DZ100)</f>
        <v/>
      </c>
      <c r="EC100" s="9">
        <f>IF(10=$B$6+$B$7,0,IF(10&gt;$B$6+$B$7,$B$13/DZ101,IF(10&gt;=$B$6,$B$13*$B$15/DZ101,($B$13*$B$15+$B$12)/DZ101)))</f>
        <v/>
      </c>
      <c r="ED100" s="9">
        <f>IF(10=$B$6,-$K$23*$B$12,0)</f>
        <v/>
      </c>
      <c r="EE100" s="9">
        <f>EC100/(EB100-EA100*EE99)</f>
        <v/>
      </c>
      <c r="EF100" s="9">
        <f>(ED100-EA100*EF99)/(EB100-EA100*EE99)</f>
        <v/>
      </c>
      <c r="EG100" s="16">
        <f>EF100-EE100*EG101</f>
        <v/>
      </c>
      <c r="EH100" s="9">
        <f>IF(10&gt;$B$6+$B$7,$G$24*$B$11^$H$24,$E$24*$B$9^$F$24)</f>
        <v/>
      </c>
      <c r="EI100" s="9">
        <f>IF(10=1,0,$B$14)</f>
        <v/>
      </c>
      <c r="EJ100" s="9">
        <f>-($B$14+(IF(10&lt;=$B$6,$B$13*$B$15+$B$12,IF(10&lt;=$B$6+$B$7,$B$13*$B$15,$B$13)))/EH100)</f>
        <v/>
      </c>
      <c r="EK100" s="9">
        <f>IF(10=$B$6+$B$7,0,IF(10&gt;$B$6+$B$7,$B$13/EH101,IF(10&gt;=$B$6,$B$13*$B$15/EH101,($B$13*$B$15+$B$12)/EH101)))</f>
        <v/>
      </c>
      <c r="EL100" s="9">
        <f>IF(10=$B$6,-$K$24*$B$12,0)</f>
        <v/>
      </c>
      <c r="EM100" s="9">
        <f>EK100/(EJ100-EI100*EM99)</f>
        <v/>
      </c>
      <c r="EN100" s="9">
        <f>(EL100-EI100*EN99)/(EJ100-EI100*EM99)</f>
        <v/>
      </c>
      <c r="EO100" s="16">
        <f>EN100-EM100*EO101</f>
        <v/>
      </c>
      <c r="EP100" s="9">
        <f>IF(10&gt;$B$6+$B$7,$G$25*$B$11^$H$25,$E$25*$B$9^$F$25)</f>
        <v/>
      </c>
      <c r="EQ100" s="9">
        <f>IF(10=1,0,$B$14)</f>
        <v/>
      </c>
      <c r="ER100" s="9">
        <f>-($B$14+(IF(10&lt;=$B$6,$B$13*$B$15+$B$12,IF(10&lt;=$B$6+$B$7,$B$13*$B$15,$B$13)))/EP100)</f>
        <v/>
      </c>
      <c r="ES100" s="9">
        <f>IF(10=$B$6+$B$7,0,IF(10&gt;$B$6+$B$7,$B$13/EP101,IF(10&gt;=$B$6,$B$13*$B$15/EP101,($B$13*$B$15+$B$12)/EP101)))</f>
        <v/>
      </c>
      <c r="ET100" s="9">
        <f>IF(10=$B$6,-$K$25*$B$12,0)</f>
        <v/>
      </c>
      <c r="EU100" s="9">
        <f>ES100/(ER100-EQ100*EU99)</f>
        <v/>
      </c>
      <c r="EV100" s="9">
        <f>(ET100-EQ100*EV99)/(ER100-EQ100*EU99)</f>
        <v/>
      </c>
      <c r="EW100" s="16">
        <f>EV100-EU100*EW101</f>
        <v/>
      </c>
      <c r="EX100" s="9">
        <f>IF(10&gt;$B$6+$B$7,$G$26*$B$11^$H$26,$E$26*$B$9^$F$26)</f>
        <v/>
      </c>
      <c r="EY100" s="9">
        <f>IF(10=1,0,$B$14)</f>
        <v/>
      </c>
      <c r="EZ100" s="9">
        <f>-($B$14+(IF(10&lt;=$B$6,$B$13*$B$15+$B$12,IF(10&lt;=$B$6+$B$7,$B$13*$B$15,$B$13)))/EX100)</f>
        <v/>
      </c>
      <c r="FA100" s="9">
        <f>IF(10=$B$6+$B$7,0,IF(10&gt;$B$6+$B$7,$B$13/EX101,IF(10&gt;=$B$6,$B$13*$B$15/EX101,($B$13*$B$15+$B$12)/EX101)))</f>
        <v/>
      </c>
      <c r="FB100" s="9">
        <f>IF(10=$B$6,-$K$26*$B$12,0)</f>
        <v/>
      </c>
      <c r="FC100" s="9">
        <f>FA100/(EZ100-EY100*FC99)</f>
        <v/>
      </c>
      <c r="FD100" s="9">
        <f>(FB100-EY100*FD99)/(EZ100-EY100*FC99)</f>
        <v/>
      </c>
      <c r="FE100" s="16">
        <f>FD100-FC100*FE101</f>
        <v/>
      </c>
      <c r="FF100" s="9">
        <f>IF(10&gt;$B$6+$B$7,$G$27*$B$11^$H$27,$E$27*$B$9^$F$27)</f>
        <v/>
      </c>
      <c r="FG100" s="9">
        <f>IF(10=1,0,$B$14)</f>
        <v/>
      </c>
      <c r="FH100" s="9">
        <f>-($B$14+(IF(10&lt;=$B$6,$B$13*$B$15+$B$12,IF(10&lt;=$B$6+$B$7,$B$13*$B$15,$B$13)))/FF100)</f>
        <v/>
      </c>
      <c r="FI100" s="9">
        <f>IF(10=$B$6+$B$7,0,IF(10&gt;$B$6+$B$7,$B$13/FF101,IF(10&gt;=$B$6,$B$13*$B$15/FF101,($B$13*$B$15+$B$12)/FF101)))</f>
        <v/>
      </c>
      <c r="FJ100" s="9">
        <f>IF(10=$B$6,-$K$27*$B$12,0)</f>
        <v/>
      </c>
      <c r="FK100" s="9">
        <f>FI100/(FH100-FG100*FK99)</f>
        <v/>
      </c>
      <c r="FL100" s="9">
        <f>(FJ100-FG100*FL99)/(FH100-FG100*FK99)</f>
        <v/>
      </c>
      <c r="FM100" s="16">
        <f>FL100-FK100*FM101</f>
        <v/>
      </c>
      <c r="FN100" s="9">
        <f>IF(10&gt;$B$6+$B$7,$G$28*$B$11^$H$28,$E$28*$B$9^$F$28)</f>
        <v/>
      </c>
      <c r="FO100" s="9">
        <f>IF(10=1,0,$B$14)</f>
        <v/>
      </c>
      <c r="FP100" s="9">
        <f>-($B$14+(IF(10&lt;=$B$6,$B$13*$B$15+$B$12,IF(10&lt;=$B$6+$B$7,$B$13*$B$15,$B$13)))/FN100)</f>
        <v/>
      </c>
      <c r="FQ100" s="9">
        <f>IF(10=$B$6+$B$7,0,IF(10&gt;$B$6+$B$7,$B$13/FN101,IF(10&gt;=$B$6,$B$13*$B$15/FN101,($B$13*$B$15+$B$12)/FN101)))</f>
        <v/>
      </c>
      <c r="FR100" s="9">
        <f>IF(10=$B$6,-$K$28*$B$12,0)</f>
        <v/>
      </c>
      <c r="FS100" s="9">
        <f>FQ100/(FP100-FO100*FS99)</f>
        <v/>
      </c>
      <c r="FT100" s="9">
        <f>(FR100-FO100*FT99)/(FP100-FO100*FS99)</f>
        <v/>
      </c>
      <c r="FU100" s="16">
        <f>FT100-FS100*FU101</f>
        <v/>
      </c>
      <c r="FV100" s="9">
        <f>IF(10&gt;$B$6+$B$7,$G$29*$B$11^$H$29,$E$29*$B$9^$F$29)</f>
        <v/>
      </c>
      <c r="FW100" s="9">
        <f>IF(10=1,0,$B$14)</f>
        <v/>
      </c>
      <c r="FX100" s="9">
        <f>-($B$14+(IF(10&lt;=$B$6,$B$13*$B$15+$B$12,IF(10&lt;=$B$6+$B$7,$B$13*$B$15,$B$13)))/FV100)</f>
        <v/>
      </c>
      <c r="FY100" s="9">
        <f>IF(10=$B$6+$B$7,0,IF(10&gt;$B$6+$B$7,$B$13/FV101,IF(10&gt;=$B$6,$B$13*$B$15/FV101,($B$13*$B$15+$B$12)/FV101)))</f>
        <v/>
      </c>
      <c r="FZ100" s="9">
        <f>IF(10=$B$6,-$K$29*$B$12,0)</f>
        <v/>
      </c>
      <c r="GA100" s="9">
        <f>FY100/(FX100-FW100*GA99)</f>
        <v/>
      </c>
      <c r="GB100" s="9">
        <f>(FZ100-FW100*GB99)/(FX100-FW100*GA99)</f>
        <v/>
      </c>
      <c r="GC100" s="16">
        <f>GB100-GA100*GC101</f>
        <v/>
      </c>
      <c r="GD100" s="9">
        <f>IF(10&gt;$B$6+$B$7,$G$30*$B$11^$H$30,$E$30*$B$9^$F$30)</f>
        <v/>
      </c>
      <c r="GE100" s="9">
        <f>IF(10=1,0,$B$14)</f>
        <v/>
      </c>
      <c r="GF100" s="9">
        <f>-($B$14+(IF(10&lt;=$B$6,$B$13*$B$15+$B$12,IF(10&lt;=$B$6+$B$7,$B$13*$B$15,$B$13)))/GD100)</f>
        <v/>
      </c>
      <c r="GG100" s="9">
        <f>IF(10=$B$6+$B$7,0,IF(10&gt;$B$6+$B$7,$B$13/GD101,IF(10&gt;=$B$6,$B$13*$B$15/GD101,($B$13*$B$15+$B$12)/GD101)))</f>
        <v/>
      </c>
      <c r="GH100" s="9">
        <f>IF(10=$B$6,-$K$30*$B$12,0)</f>
        <v/>
      </c>
      <c r="GI100" s="9">
        <f>GG100/(GF100-GE100*GI99)</f>
        <v/>
      </c>
      <c r="GJ100" s="9">
        <f>(GH100-GE100*GJ99)/(GF100-GE100*GI99)</f>
        <v/>
      </c>
      <c r="GK100" s="16">
        <f>GJ100-GI100*GK101</f>
        <v/>
      </c>
      <c r="GL100" s="9">
        <f>IF(10&gt;$B$6+$B$7,$G$31*$B$11^$H$31,$E$31*$B$9^$F$31)</f>
        <v/>
      </c>
      <c r="GM100" s="9">
        <f>IF(10=1,0,$B$14)</f>
        <v/>
      </c>
      <c r="GN100" s="9">
        <f>-($B$14+(IF(10&lt;=$B$6,$B$13*$B$15+$B$12,IF(10&lt;=$B$6+$B$7,$B$13*$B$15,$B$13)))/GL100)</f>
        <v/>
      </c>
      <c r="GO100" s="9">
        <f>IF(10=$B$6+$B$7,0,IF(10&gt;$B$6+$B$7,$B$13/GL101,IF(10&gt;=$B$6,$B$13*$B$15/GL101,($B$13*$B$15+$B$12)/GL101)))</f>
        <v/>
      </c>
      <c r="GP100" s="9">
        <f>IF(10=$B$6,-$K$31*$B$12,0)</f>
        <v/>
      </c>
      <c r="GQ100" s="9">
        <f>GO100/(GN100-GM100*GQ99)</f>
        <v/>
      </c>
      <c r="GR100" s="9">
        <f>(GP100-GM100*GR99)/(GN100-GM100*GQ99)</f>
        <v/>
      </c>
      <c r="GS100" s="16">
        <f>GR100-GQ100*GS101</f>
        <v/>
      </c>
      <c r="GT100" s="9">
        <f>IF(10&gt;$B$6+$B$7,$G$32*$B$11^$H$32,$E$32*$B$9^$F$32)</f>
        <v/>
      </c>
      <c r="GU100" s="9">
        <f>IF(10=1,0,$B$14)</f>
        <v/>
      </c>
      <c r="GV100" s="9">
        <f>-($B$14+(IF(10&lt;=$B$6,$B$13*$B$15+$B$12,IF(10&lt;=$B$6+$B$7,$B$13*$B$15,$B$13)))/GT100)</f>
        <v/>
      </c>
      <c r="GW100" s="9">
        <f>IF(10=$B$6+$B$7,0,IF(10&gt;$B$6+$B$7,$B$13/GT101,IF(10&gt;=$B$6,$B$13*$B$15/GT101,($B$13*$B$15+$B$12)/GT101)))</f>
        <v/>
      </c>
      <c r="GX100" s="9">
        <f>IF(10=$B$6,-$K$32*$B$12,0)</f>
        <v/>
      </c>
      <c r="GY100" s="9">
        <f>GW100/(GV100-GU100*GY99)</f>
        <v/>
      </c>
      <c r="GZ100" s="9">
        <f>(GX100-GU100*GZ99)/(GV100-GU100*GY99)</f>
        <v/>
      </c>
      <c r="HA100" s="16">
        <f>GZ100-GY100*HA101</f>
        <v/>
      </c>
      <c r="HB100" s="12">
        <f>IFERROR(I100/B100,0)</f>
        <v/>
      </c>
      <c r="HC100" s="12">
        <f>IFERROR(Q100/J100,0)</f>
        <v/>
      </c>
      <c r="HD100" s="12">
        <f>IFERROR(Y100/R100,0)</f>
        <v/>
      </c>
      <c r="HE100" s="12">
        <f>IFERROR(AG100/Z100,0)</f>
        <v/>
      </c>
      <c r="HF100" s="12">
        <f>IFERROR(AO100/AH100,0)</f>
        <v/>
      </c>
      <c r="HG100" s="12">
        <f>IFERROR(AW100/AP100,0)</f>
        <v/>
      </c>
      <c r="HH100" s="12">
        <f>IFERROR(BE100/AX100,0)</f>
        <v/>
      </c>
      <c r="HI100" s="12">
        <f>IFERROR(BM100/BF100,0)</f>
        <v/>
      </c>
      <c r="HJ100" s="12">
        <f>IFERROR(BU100/BN100,0)</f>
        <v/>
      </c>
      <c r="HK100" s="12">
        <f>IFERROR(CC100/BV100,0)</f>
        <v/>
      </c>
      <c r="HL100" s="12">
        <f>IFERROR(CK100/CD100,0)</f>
        <v/>
      </c>
      <c r="HM100" s="12">
        <f>IFERROR(CS100/CL100,0)</f>
        <v/>
      </c>
      <c r="HN100" s="12">
        <f>IFERROR(DA100/CT100,0)</f>
        <v/>
      </c>
      <c r="HO100" s="12">
        <f>IFERROR(DI100/DB100,0)</f>
        <v/>
      </c>
      <c r="HP100" s="12">
        <f>IFERROR(DQ100/DJ100,0)</f>
        <v/>
      </c>
      <c r="HQ100" s="12">
        <f>IFERROR(DY100/DR100,0)</f>
        <v/>
      </c>
      <c r="HR100" s="12">
        <f>IFERROR(EG100/DZ100,0)</f>
        <v/>
      </c>
      <c r="HS100" s="12">
        <f>IFERROR(EO100/EH100,0)</f>
        <v/>
      </c>
      <c r="HT100" s="12">
        <f>IFERROR(EW100/EP100,0)</f>
        <v/>
      </c>
      <c r="HU100" s="12">
        <f>IFERROR(FE100/EX100,0)</f>
        <v/>
      </c>
      <c r="HV100" s="12">
        <f>IFERROR(FM100/FF100,0)</f>
        <v/>
      </c>
      <c r="HW100" s="12">
        <f>IFERROR(FU100/FN100,0)</f>
        <v/>
      </c>
      <c r="HX100" s="12">
        <f>IFERROR(GC100/FV100,0)</f>
        <v/>
      </c>
      <c r="HY100" s="12">
        <f>IFERROR(GK100/GD100,0)</f>
        <v/>
      </c>
      <c r="HZ100" s="12">
        <f>IFERROR(GS100/GL100,0)</f>
        <v/>
      </c>
      <c r="IA100" s="12">
        <f>IFERROR(HA100/GT100,0)</f>
        <v/>
      </c>
      <c r="IB100" s="12">
        <f>I100+Q100+Y100+AG100+AO100+AW100+BE100+BM100+BU100+CC100+CK100+CS100+DA100+DI100+DQ100+DY100+EG100+EO100+EW100+FE100+FM100+FU100+GC100+GK100+GS100+HA100</f>
        <v/>
      </c>
      <c r="IC100" s="12">
        <f>HB100+HC100+HD100+HE100+HF100+HG100+HH100+HI100+HJ100+HK100+HL100+HM100+HN100+HO100+HP100+HQ100+HR100+HS100+HT100+HU100+HV100+HW100+HX100+HY100+HZ100+IA100</f>
        <v/>
      </c>
    </row>
    <row r="101" ht="14" customHeight="1">
      <c r="A101" s="29" t="n">
        <v>11</v>
      </c>
      <c r="B101" s="9">
        <f>IF(11&gt;$B$6+$B$7,$G$7*$B$11^$H$7,$E$7*$B$9^$F$7)</f>
        <v/>
      </c>
      <c r="C101" s="9">
        <f>IF(11=1,0,$B$14)</f>
        <v/>
      </c>
      <c r="D101" s="9">
        <f>-($B$14+(IF(11&lt;=$B$6,$B$13*$B$15+$B$12,IF(11&lt;=$B$6+$B$7,$B$13*$B$15,$B$13)))/B101)</f>
        <v/>
      </c>
      <c r="E101" s="9">
        <f>IF(11=$B$6+$B$7,0,IF(11&gt;$B$6+$B$7,$B$13/B102,IF(11&gt;=$B$6,$B$13*$B$15/B102,($B$13*$B$15+$B$12)/B102)))</f>
        <v/>
      </c>
      <c r="F101" s="9">
        <f>IF(11=$B$6,-$K$7*$B$12,0)</f>
        <v/>
      </c>
      <c r="G101" s="9">
        <f>E101/(D101-C101*G100)</f>
        <v/>
      </c>
      <c r="H101" s="9">
        <f>(F101-C101*H100)/(D101-C101*G100)</f>
        <v/>
      </c>
      <c r="I101" s="16">
        <f>H101-G101*I102</f>
        <v/>
      </c>
      <c r="J101" s="9">
        <f>IF(11&gt;$B$6+$B$7,$G$8*$B$11^$H$8,$E$8*$B$9^$F$8)</f>
        <v/>
      </c>
      <c r="K101" s="9">
        <f>IF(11=1,0,$B$14)</f>
        <v/>
      </c>
      <c r="L101" s="9">
        <f>-($B$14+(IF(11&lt;=$B$6,$B$13*$B$15+$B$12,IF(11&lt;=$B$6+$B$7,$B$13*$B$15,$B$13)))/J101)</f>
        <v/>
      </c>
      <c r="M101" s="9">
        <f>IF(11=$B$6+$B$7,0,IF(11&gt;$B$6+$B$7,$B$13/J102,IF(11&gt;=$B$6,$B$13*$B$15/J102,($B$13*$B$15+$B$12)/J102)))</f>
        <v/>
      </c>
      <c r="N101" s="9">
        <f>IF(11=$B$6,-$K$8*$B$12,0)</f>
        <v/>
      </c>
      <c r="O101" s="9">
        <f>M101/(L101-K101*O100)</f>
        <v/>
      </c>
      <c r="P101" s="9">
        <f>(N101-K101*P100)/(L101-K101*O100)</f>
        <v/>
      </c>
      <c r="Q101" s="16">
        <f>P101-O101*Q102</f>
        <v/>
      </c>
      <c r="R101" s="9">
        <f>IF(11&gt;$B$6+$B$7,$G$9*$B$11^$H$9,$E$9*$B$9^$F$9)</f>
        <v/>
      </c>
      <c r="S101" s="9">
        <f>IF(11=1,0,$B$14)</f>
        <v/>
      </c>
      <c r="T101" s="9">
        <f>-($B$14+(IF(11&lt;=$B$6,$B$13*$B$15+$B$12,IF(11&lt;=$B$6+$B$7,$B$13*$B$15,$B$13)))/R101)</f>
        <v/>
      </c>
      <c r="U101" s="9">
        <f>IF(11=$B$6+$B$7,0,IF(11&gt;$B$6+$B$7,$B$13/R102,IF(11&gt;=$B$6,$B$13*$B$15/R102,($B$13*$B$15+$B$12)/R102)))</f>
        <v/>
      </c>
      <c r="V101" s="9">
        <f>IF(11=$B$6,-$K$9*$B$12,0)</f>
        <v/>
      </c>
      <c r="W101" s="9">
        <f>U101/(T101-S101*W100)</f>
        <v/>
      </c>
      <c r="X101" s="9">
        <f>(V101-S101*X100)/(T101-S101*W100)</f>
        <v/>
      </c>
      <c r="Y101" s="16">
        <f>X101-W101*Y102</f>
        <v/>
      </c>
      <c r="Z101" s="9">
        <f>IF(11&gt;$B$6+$B$7,$G$10*$B$11^$H$10,$E$10*$B$9^$F$10)</f>
        <v/>
      </c>
      <c r="AA101" s="9">
        <f>IF(11=1,0,$B$14)</f>
        <v/>
      </c>
      <c r="AB101" s="9">
        <f>-($B$14+(IF(11&lt;=$B$6,$B$13*$B$15+$B$12,IF(11&lt;=$B$6+$B$7,$B$13*$B$15,$B$13)))/Z101)</f>
        <v/>
      </c>
      <c r="AC101" s="9">
        <f>IF(11=$B$6+$B$7,0,IF(11&gt;$B$6+$B$7,$B$13/Z102,IF(11&gt;=$B$6,$B$13*$B$15/Z102,($B$13*$B$15+$B$12)/Z102)))</f>
        <v/>
      </c>
      <c r="AD101" s="9">
        <f>IF(11=$B$6,-$K$10*$B$12,0)</f>
        <v/>
      </c>
      <c r="AE101" s="9">
        <f>AC101/(AB101-AA101*AE100)</f>
        <v/>
      </c>
      <c r="AF101" s="9">
        <f>(AD101-AA101*AF100)/(AB101-AA101*AE100)</f>
        <v/>
      </c>
      <c r="AG101" s="16">
        <f>AF101-AE101*AG102</f>
        <v/>
      </c>
      <c r="AH101" s="9">
        <f>IF(11&gt;$B$6+$B$7,$G$11*$B$11^$H$11,$E$11*$B$9^$F$11)</f>
        <v/>
      </c>
      <c r="AI101" s="9">
        <f>IF(11=1,0,$B$14)</f>
        <v/>
      </c>
      <c r="AJ101" s="9">
        <f>-($B$14+(IF(11&lt;=$B$6,$B$13*$B$15+$B$12,IF(11&lt;=$B$6+$B$7,$B$13*$B$15,$B$13)))/AH101)</f>
        <v/>
      </c>
      <c r="AK101" s="9">
        <f>IF(11=$B$6+$B$7,0,IF(11&gt;$B$6+$B$7,$B$13/AH102,IF(11&gt;=$B$6,$B$13*$B$15/AH102,($B$13*$B$15+$B$12)/AH102)))</f>
        <v/>
      </c>
      <c r="AL101" s="9">
        <f>IF(11=$B$6,-$K$11*$B$12,0)</f>
        <v/>
      </c>
      <c r="AM101" s="9">
        <f>AK101/(AJ101-AI101*AM100)</f>
        <v/>
      </c>
      <c r="AN101" s="9">
        <f>(AL101-AI101*AN100)/(AJ101-AI101*AM100)</f>
        <v/>
      </c>
      <c r="AO101" s="16">
        <f>AN101-AM101*AO102</f>
        <v/>
      </c>
      <c r="AP101" s="9">
        <f>IF(11&gt;$B$6+$B$7,$G$12*$B$11^$H$12,$E$12*$B$9^$F$12)</f>
        <v/>
      </c>
      <c r="AQ101" s="9">
        <f>IF(11=1,0,$B$14)</f>
        <v/>
      </c>
      <c r="AR101" s="9">
        <f>-($B$14+(IF(11&lt;=$B$6,$B$13*$B$15+$B$12,IF(11&lt;=$B$6+$B$7,$B$13*$B$15,$B$13)))/AP101)</f>
        <v/>
      </c>
      <c r="AS101" s="9">
        <f>IF(11=$B$6+$B$7,0,IF(11&gt;$B$6+$B$7,$B$13/AP102,IF(11&gt;=$B$6,$B$13*$B$15/AP102,($B$13*$B$15+$B$12)/AP102)))</f>
        <v/>
      </c>
      <c r="AT101" s="9">
        <f>IF(11=$B$6,-$K$12*$B$12,0)</f>
        <v/>
      </c>
      <c r="AU101" s="9">
        <f>AS101/(AR101-AQ101*AU100)</f>
        <v/>
      </c>
      <c r="AV101" s="9">
        <f>(AT101-AQ101*AV100)/(AR101-AQ101*AU100)</f>
        <v/>
      </c>
      <c r="AW101" s="16">
        <f>AV101-AU101*AW102</f>
        <v/>
      </c>
      <c r="AX101" s="9">
        <f>IF(11&gt;$B$6+$B$7,$G$13*$B$11^$H$13,$E$13*$B$9^$F$13)</f>
        <v/>
      </c>
      <c r="AY101" s="9">
        <f>IF(11=1,0,$B$14)</f>
        <v/>
      </c>
      <c r="AZ101" s="9">
        <f>-($B$14+(IF(11&lt;=$B$6,$B$13*$B$15+$B$12,IF(11&lt;=$B$6+$B$7,$B$13*$B$15,$B$13)))/AX101)</f>
        <v/>
      </c>
      <c r="BA101" s="9">
        <f>IF(11=$B$6+$B$7,0,IF(11&gt;$B$6+$B$7,$B$13/AX102,IF(11&gt;=$B$6,$B$13*$B$15/AX102,($B$13*$B$15+$B$12)/AX102)))</f>
        <v/>
      </c>
      <c r="BB101" s="9">
        <f>IF(11=$B$6,-$K$13*$B$12,0)</f>
        <v/>
      </c>
      <c r="BC101" s="9">
        <f>BA101/(AZ101-AY101*BC100)</f>
        <v/>
      </c>
      <c r="BD101" s="9">
        <f>(BB101-AY101*BD100)/(AZ101-AY101*BC100)</f>
        <v/>
      </c>
      <c r="BE101" s="16">
        <f>BD101-BC101*BE102</f>
        <v/>
      </c>
      <c r="BF101" s="9">
        <f>IF(11&gt;$B$6+$B$7,$G$14*$B$11^$H$14,$E$14*$B$9^$F$14)</f>
        <v/>
      </c>
      <c r="BG101" s="9">
        <f>IF(11=1,0,$B$14)</f>
        <v/>
      </c>
      <c r="BH101" s="9">
        <f>-($B$14+(IF(11&lt;=$B$6,$B$13*$B$15+$B$12,IF(11&lt;=$B$6+$B$7,$B$13*$B$15,$B$13)))/BF101)</f>
        <v/>
      </c>
      <c r="BI101" s="9">
        <f>IF(11=$B$6+$B$7,0,IF(11&gt;$B$6+$B$7,$B$13/BF102,IF(11&gt;=$B$6,$B$13*$B$15/BF102,($B$13*$B$15+$B$12)/BF102)))</f>
        <v/>
      </c>
      <c r="BJ101" s="9">
        <f>IF(11=$B$6,-$K$14*$B$12,0)</f>
        <v/>
      </c>
      <c r="BK101" s="9">
        <f>BI101/(BH101-BG101*BK100)</f>
        <v/>
      </c>
      <c r="BL101" s="9">
        <f>(BJ101-BG101*BL100)/(BH101-BG101*BK100)</f>
        <v/>
      </c>
      <c r="BM101" s="16">
        <f>BL101-BK101*BM102</f>
        <v/>
      </c>
      <c r="BN101" s="9">
        <f>IF(11&gt;$B$6+$B$7,$G$15*$B$11^$H$15,$E$15*$B$9^$F$15)</f>
        <v/>
      </c>
      <c r="BO101" s="9">
        <f>IF(11=1,0,$B$14)</f>
        <v/>
      </c>
      <c r="BP101" s="9">
        <f>-($B$14+(IF(11&lt;=$B$6,$B$13*$B$15+$B$12,IF(11&lt;=$B$6+$B$7,$B$13*$B$15,$B$13)))/BN101)</f>
        <v/>
      </c>
      <c r="BQ101" s="9">
        <f>IF(11=$B$6+$B$7,0,IF(11&gt;$B$6+$B$7,$B$13/BN102,IF(11&gt;=$B$6,$B$13*$B$15/BN102,($B$13*$B$15+$B$12)/BN102)))</f>
        <v/>
      </c>
      <c r="BR101" s="9">
        <f>IF(11=$B$6,-$K$15*$B$12,0)</f>
        <v/>
      </c>
      <c r="BS101" s="9">
        <f>BQ101/(BP101-BO101*BS100)</f>
        <v/>
      </c>
      <c r="BT101" s="9">
        <f>(BR101-BO101*BT100)/(BP101-BO101*BS100)</f>
        <v/>
      </c>
      <c r="BU101" s="16">
        <f>BT101-BS101*BU102</f>
        <v/>
      </c>
      <c r="BV101" s="9">
        <f>IF(11&gt;$B$6+$B$7,$G$16*$B$11^$H$16,$E$16*$B$9^$F$16)</f>
        <v/>
      </c>
      <c r="BW101" s="9">
        <f>IF(11=1,0,$B$14)</f>
        <v/>
      </c>
      <c r="BX101" s="9">
        <f>-($B$14+(IF(11&lt;=$B$6,$B$13*$B$15+$B$12,IF(11&lt;=$B$6+$B$7,$B$13*$B$15,$B$13)))/BV101)</f>
        <v/>
      </c>
      <c r="BY101" s="9">
        <f>IF(11=$B$6+$B$7,0,IF(11&gt;$B$6+$B$7,$B$13/BV102,IF(11&gt;=$B$6,$B$13*$B$15/BV102,($B$13*$B$15+$B$12)/BV102)))</f>
        <v/>
      </c>
      <c r="BZ101" s="9">
        <f>IF(11=$B$6,-$K$16*$B$12,0)</f>
        <v/>
      </c>
      <c r="CA101" s="9">
        <f>BY101/(BX101-BW101*CA100)</f>
        <v/>
      </c>
      <c r="CB101" s="9">
        <f>(BZ101-BW101*CB100)/(BX101-BW101*CA100)</f>
        <v/>
      </c>
      <c r="CC101" s="16">
        <f>CB101-CA101*CC102</f>
        <v/>
      </c>
      <c r="CD101" s="9">
        <f>IF(11&gt;$B$6+$B$7,$G$17*$B$11^$H$17,$E$17*$B$9^$F$17)</f>
        <v/>
      </c>
      <c r="CE101" s="9">
        <f>IF(11=1,0,$B$14)</f>
        <v/>
      </c>
      <c r="CF101" s="9">
        <f>-($B$14+(IF(11&lt;=$B$6,$B$13*$B$15+$B$12,IF(11&lt;=$B$6+$B$7,$B$13*$B$15,$B$13)))/CD101)</f>
        <v/>
      </c>
      <c r="CG101" s="9">
        <f>IF(11=$B$6+$B$7,0,IF(11&gt;$B$6+$B$7,$B$13/CD102,IF(11&gt;=$B$6,$B$13*$B$15/CD102,($B$13*$B$15+$B$12)/CD102)))</f>
        <v/>
      </c>
      <c r="CH101" s="9">
        <f>IF(11=$B$6,-$K$17*$B$12,0)</f>
        <v/>
      </c>
      <c r="CI101" s="9">
        <f>CG101/(CF101-CE101*CI100)</f>
        <v/>
      </c>
      <c r="CJ101" s="9">
        <f>(CH101-CE101*CJ100)/(CF101-CE101*CI100)</f>
        <v/>
      </c>
      <c r="CK101" s="16">
        <f>CJ101-CI101*CK102</f>
        <v/>
      </c>
      <c r="CL101" s="9">
        <f>IF(11&gt;$B$6+$B$7,$G$18*$B$11^$H$18,$E$18*$B$9^$F$18)</f>
        <v/>
      </c>
      <c r="CM101" s="9">
        <f>IF(11=1,0,$B$14)</f>
        <v/>
      </c>
      <c r="CN101" s="9">
        <f>-($B$14+(IF(11&lt;=$B$6,$B$13*$B$15+$B$12,IF(11&lt;=$B$6+$B$7,$B$13*$B$15,$B$13)))/CL101)</f>
        <v/>
      </c>
      <c r="CO101" s="9">
        <f>IF(11=$B$6+$B$7,0,IF(11&gt;$B$6+$B$7,$B$13/CL102,IF(11&gt;=$B$6,$B$13*$B$15/CL102,($B$13*$B$15+$B$12)/CL102)))</f>
        <v/>
      </c>
      <c r="CP101" s="9">
        <f>IF(11=$B$6,-$K$18*$B$12,0)</f>
        <v/>
      </c>
      <c r="CQ101" s="9">
        <f>CO101/(CN101-CM101*CQ100)</f>
        <v/>
      </c>
      <c r="CR101" s="9">
        <f>(CP101-CM101*CR100)/(CN101-CM101*CQ100)</f>
        <v/>
      </c>
      <c r="CS101" s="16">
        <f>CR101-CQ101*CS102</f>
        <v/>
      </c>
      <c r="CT101" s="9">
        <f>IF(11&gt;$B$6+$B$7,$G$19*$B$11^$H$19,$E$19*$B$9^$F$19)</f>
        <v/>
      </c>
      <c r="CU101" s="9">
        <f>IF(11=1,0,$B$14)</f>
        <v/>
      </c>
      <c r="CV101" s="9">
        <f>-($B$14+(IF(11&lt;=$B$6,$B$13*$B$15+$B$12,IF(11&lt;=$B$6+$B$7,$B$13*$B$15,$B$13)))/CT101)</f>
        <v/>
      </c>
      <c r="CW101" s="9">
        <f>IF(11=$B$6+$B$7,0,IF(11&gt;$B$6+$B$7,$B$13/CT102,IF(11&gt;=$B$6,$B$13*$B$15/CT102,($B$13*$B$15+$B$12)/CT102)))</f>
        <v/>
      </c>
      <c r="CX101" s="9">
        <f>IF(11=$B$6,-$K$19*$B$12,0)</f>
        <v/>
      </c>
      <c r="CY101" s="9">
        <f>CW101/(CV101-CU101*CY100)</f>
        <v/>
      </c>
      <c r="CZ101" s="9">
        <f>(CX101-CU101*CZ100)/(CV101-CU101*CY100)</f>
        <v/>
      </c>
      <c r="DA101" s="16">
        <f>CZ101-CY101*DA102</f>
        <v/>
      </c>
      <c r="DB101" s="9">
        <f>IF(11&gt;$B$6+$B$7,$G$20*$B$11^$H$20,$E$20*$B$9^$F$20)</f>
        <v/>
      </c>
      <c r="DC101" s="9">
        <f>IF(11=1,0,$B$14)</f>
        <v/>
      </c>
      <c r="DD101" s="9">
        <f>-($B$14+(IF(11&lt;=$B$6,$B$13*$B$15+$B$12,IF(11&lt;=$B$6+$B$7,$B$13*$B$15,$B$13)))/DB101)</f>
        <v/>
      </c>
      <c r="DE101" s="9">
        <f>IF(11=$B$6+$B$7,0,IF(11&gt;$B$6+$B$7,$B$13/DB102,IF(11&gt;=$B$6,$B$13*$B$15/DB102,($B$13*$B$15+$B$12)/DB102)))</f>
        <v/>
      </c>
      <c r="DF101" s="9">
        <f>IF(11=$B$6,-$K$20*$B$12,0)</f>
        <v/>
      </c>
      <c r="DG101" s="9">
        <f>DE101/(DD101-DC101*DG100)</f>
        <v/>
      </c>
      <c r="DH101" s="9">
        <f>(DF101-DC101*DH100)/(DD101-DC101*DG100)</f>
        <v/>
      </c>
      <c r="DI101" s="16">
        <f>DH101-DG101*DI102</f>
        <v/>
      </c>
      <c r="DJ101" s="9">
        <f>IF(11&gt;$B$6+$B$7,$G$21*$B$11^$H$21,$E$21*$B$9^$F$21)</f>
        <v/>
      </c>
      <c r="DK101" s="9">
        <f>IF(11=1,0,$B$14)</f>
        <v/>
      </c>
      <c r="DL101" s="9">
        <f>-($B$14+(IF(11&lt;=$B$6,$B$13*$B$15+$B$12,IF(11&lt;=$B$6+$B$7,$B$13*$B$15,$B$13)))/DJ101)</f>
        <v/>
      </c>
      <c r="DM101" s="9">
        <f>IF(11=$B$6+$B$7,0,IF(11&gt;$B$6+$B$7,$B$13/DJ102,IF(11&gt;=$B$6,$B$13*$B$15/DJ102,($B$13*$B$15+$B$12)/DJ102)))</f>
        <v/>
      </c>
      <c r="DN101" s="9">
        <f>IF(11=$B$6,-$K$21*$B$12,0)</f>
        <v/>
      </c>
      <c r="DO101" s="9">
        <f>DM101/(DL101-DK101*DO100)</f>
        <v/>
      </c>
      <c r="DP101" s="9">
        <f>(DN101-DK101*DP100)/(DL101-DK101*DO100)</f>
        <v/>
      </c>
      <c r="DQ101" s="16">
        <f>DP101-DO101*DQ102</f>
        <v/>
      </c>
      <c r="DR101" s="9">
        <f>IF(11&gt;$B$6+$B$7,$G$22*$B$11^$H$22,$E$22*$B$9^$F$22)</f>
        <v/>
      </c>
      <c r="DS101" s="9">
        <f>IF(11=1,0,$B$14)</f>
        <v/>
      </c>
      <c r="DT101" s="9">
        <f>-($B$14+(IF(11&lt;=$B$6,$B$13*$B$15+$B$12,IF(11&lt;=$B$6+$B$7,$B$13*$B$15,$B$13)))/DR101)</f>
        <v/>
      </c>
      <c r="DU101" s="9">
        <f>IF(11=$B$6+$B$7,0,IF(11&gt;$B$6+$B$7,$B$13/DR102,IF(11&gt;=$B$6,$B$13*$B$15/DR102,($B$13*$B$15+$B$12)/DR102)))</f>
        <v/>
      </c>
      <c r="DV101" s="9">
        <f>IF(11=$B$6,-$K$22*$B$12,0)</f>
        <v/>
      </c>
      <c r="DW101" s="9">
        <f>DU101/(DT101-DS101*DW100)</f>
        <v/>
      </c>
      <c r="DX101" s="9">
        <f>(DV101-DS101*DX100)/(DT101-DS101*DW100)</f>
        <v/>
      </c>
      <c r="DY101" s="16">
        <f>DX101-DW101*DY102</f>
        <v/>
      </c>
      <c r="DZ101" s="9">
        <f>IF(11&gt;$B$6+$B$7,$G$23*$B$11^$H$23,$E$23*$B$9^$F$23)</f>
        <v/>
      </c>
      <c r="EA101" s="9">
        <f>IF(11=1,0,$B$14)</f>
        <v/>
      </c>
      <c r="EB101" s="9">
        <f>-($B$14+(IF(11&lt;=$B$6,$B$13*$B$15+$B$12,IF(11&lt;=$B$6+$B$7,$B$13*$B$15,$B$13)))/DZ101)</f>
        <v/>
      </c>
      <c r="EC101" s="9">
        <f>IF(11=$B$6+$B$7,0,IF(11&gt;$B$6+$B$7,$B$13/DZ102,IF(11&gt;=$B$6,$B$13*$B$15/DZ102,($B$13*$B$15+$B$12)/DZ102)))</f>
        <v/>
      </c>
      <c r="ED101" s="9">
        <f>IF(11=$B$6,-$K$23*$B$12,0)</f>
        <v/>
      </c>
      <c r="EE101" s="9">
        <f>EC101/(EB101-EA101*EE100)</f>
        <v/>
      </c>
      <c r="EF101" s="9">
        <f>(ED101-EA101*EF100)/(EB101-EA101*EE100)</f>
        <v/>
      </c>
      <c r="EG101" s="16">
        <f>EF101-EE101*EG102</f>
        <v/>
      </c>
      <c r="EH101" s="9">
        <f>IF(11&gt;$B$6+$B$7,$G$24*$B$11^$H$24,$E$24*$B$9^$F$24)</f>
        <v/>
      </c>
      <c r="EI101" s="9">
        <f>IF(11=1,0,$B$14)</f>
        <v/>
      </c>
      <c r="EJ101" s="9">
        <f>-($B$14+(IF(11&lt;=$B$6,$B$13*$B$15+$B$12,IF(11&lt;=$B$6+$B$7,$B$13*$B$15,$B$13)))/EH101)</f>
        <v/>
      </c>
      <c r="EK101" s="9">
        <f>IF(11=$B$6+$B$7,0,IF(11&gt;$B$6+$B$7,$B$13/EH102,IF(11&gt;=$B$6,$B$13*$B$15/EH102,($B$13*$B$15+$B$12)/EH102)))</f>
        <v/>
      </c>
      <c r="EL101" s="9">
        <f>IF(11=$B$6,-$K$24*$B$12,0)</f>
        <v/>
      </c>
      <c r="EM101" s="9">
        <f>EK101/(EJ101-EI101*EM100)</f>
        <v/>
      </c>
      <c r="EN101" s="9">
        <f>(EL101-EI101*EN100)/(EJ101-EI101*EM100)</f>
        <v/>
      </c>
      <c r="EO101" s="16">
        <f>EN101-EM101*EO102</f>
        <v/>
      </c>
      <c r="EP101" s="9">
        <f>IF(11&gt;$B$6+$B$7,$G$25*$B$11^$H$25,$E$25*$B$9^$F$25)</f>
        <v/>
      </c>
      <c r="EQ101" s="9">
        <f>IF(11=1,0,$B$14)</f>
        <v/>
      </c>
      <c r="ER101" s="9">
        <f>-($B$14+(IF(11&lt;=$B$6,$B$13*$B$15+$B$12,IF(11&lt;=$B$6+$B$7,$B$13*$B$15,$B$13)))/EP101)</f>
        <v/>
      </c>
      <c r="ES101" s="9">
        <f>IF(11=$B$6+$B$7,0,IF(11&gt;$B$6+$B$7,$B$13/EP102,IF(11&gt;=$B$6,$B$13*$B$15/EP102,($B$13*$B$15+$B$12)/EP102)))</f>
        <v/>
      </c>
      <c r="ET101" s="9">
        <f>IF(11=$B$6,-$K$25*$B$12,0)</f>
        <v/>
      </c>
      <c r="EU101" s="9">
        <f>ES101/(ER101-EQ101*EU100)</f>
        <v/>
      </c>
      <c r="EV101" s="9">
        <f>(ET101-EQ101*EV100)/(ER101-EQ101*EU100)</f>
        <v/>
      </c>
      <c r="EW101" s="16">
        <f>EV101-EU101*EW102</f>
        <v/>
      </c>
      <c r="EX101" s="9">
        <f>IF(11&gt;$B$6+$B$7,$G$26*$B$11^$H$26,$E$26*$B$9^$F$26)</f>
        <v/>
      </c>
      <c r="EY101" s="9">
        <f>IF(11=1,0,$B$14)</f>
        <v/>
      </c>
      <c r="EZ101" s="9">
        <f>-($B$14+(IF(11&lt;=$B$6,$B$13*$B$15+$B$12,IF(11&lt;=$B$6+$B$7,$B$13*$B$15,$B$13)))/EX101)</f>
        <v/>
      </c>
      <c r="FA101" s="9">
        <f>IF(11=$B$6+$B$7,0,IF(11&gt;$B$6+$B$7,$B$13/EX102,IF(11&gt;=$B$6,$B$13*$B$15/EX102,($B$13*$B$15+$B$12)/EX102)))</f>
        <v/>
      </c>
      <c r="FB101" s="9">
        <f>IF(11=$B$6,-$K$26*$B$12,0)</f>
        <v/>
      </c>
      <c r="FC101" s="9">
        <f>FA101/(EZ101-EY101*FC100)</f>
        <v/>
      </c>
      <c r="FD101" s="9">
        <f>(FB101-EY101*FD100)/(EZ101-EY101*FC100)</f>
        <v/>
      </c>
      <c r="FE101" s="16">
        <f>FD101-FC101*FE102</f>
        <v/>
      </c>
      <c r="FF101" s="9">
        <f>IF(11&gt;$B$6+$B$7,$G$27*$B$11^$H$27,$E$27*$B$9^$F$27)</f>
        <v/>
      </c>
      <c r="FG101" s="9">
        <f>IF(11=1,0,$B$14)</f>
        <v/>
      </c>
      <c r="FH101" s="9">
        <f>-($B$14+(IF(11&lt;=$B$6,$B$13*$B$15+$B$12,IF(11&lt;=$B$6+$B$7,$B$13*$B$15,$B$13)))/FF101)</f>
        <v/>
      </c>
      <c r="FI101" s="9">
        <f>IF(11=$B$6+$B$7,0,IF(11&gt;$B$6+$B$7,$B$13/FF102,IF(11&gt;=$B$6,$B$13*$B$15/FF102,($B$13*$B$15+$B$12)/FF102)))</f>
        <v/>
      </c>
      <c r="FJ101" s="9">
        <f>IF(11=$B$6,-$K$27*$B$12,0)</f>
        <v/>
      </c>
      <c r="FK101" s="9">
        <f>FI101/(FH101-FG101*FK100)</f>
        <v/>
      </c>
      <c r="FL101" s="9">
        <f>(FJ101-FG101*FL100)/(FH101-FG101*FK100)</f>
        <v/>
      </c>
      <c r="FM101" s="16">
        <f>FL101-FK101*FM102</f>
        <v/>
      </c>
      <c r="FN101" s="9">
        <f>IF(11&gt;$B$6+$B$7,$G$28*$B$11^$H$28,$E$28*$B$9^$F$28)</f>
        <v/>
      </c>
      <c r="FO101" s="9">
        <f>IF(11=1,0,$B$14)</f>
        <v/>
      </c>
      <c r="FP101" s="9">
        <f>-($B$14+(IF(11&lt;=$B$6,$B$13*$B$15+$B$12,IF(11&lt;=$B$6+$B$7,$B$13*$B$15,$B$13)))/FN101)</f>
        <v/>
      </c>
      <c r="FQ101" s="9">
        <f>IF(11=$B$6+$B$7,0,IF(11&gt;$B$6+$B$7,$B$13/FN102,IF(11&gt;=$B$6,$B$13*$B$15/FN102,($B$13*$B$15+$B$12)/FN102)))</f>
        <v/>
      </c>
      <c r="FR101" s="9">
        <f>IF(11=$B$6,-$K$28*$B$12,0)</f>
        <v/>
      </c>
      <c r="FS101" s="9">
        <f>FQ101/(FP101-FO101*FS100)</f>
        <v/>
      </c>
      <c r="FT101" s="9">
        <f>(FR101-FO101*FT100)/(FP101-FO101*FS100)</f>
        <v/>
      </c>
      <c r="FU101" s="16">
        <f>FT101-FS101*FU102</f>
        <v/>
      </c>
      <c r="FV101" s="9">
        <f>IF(11&gt;$B$6+$B$7,$G$29*$B$11^$H$29,$E$29*$B$9^$F$29)</f>
        <v/>
      </c>
      <c r="FW101" s="9">
        <f>IF(11=1,0,$B$14)</f>
        <v/>
      </c>
      <c r="FX101" s="9">
        <f>-($B$14+(IF(11&lt;=$B$6,$B$13*$B$15+$B$12,IF(11&lt;=$B$6+$B$7,$B$13*$B$15,$B$13)))/FV101)</f>
        <v/>
      </c>
      <c r="FY101" s="9">
        <f>IF(11=$B$6+$B$7,0,IF(11&gt;$B$6+$B$7,$B$13/FV102,IF(11&gt;=$B$6,$B$13*$B$15/FV102,($B$13*$B$15+$B$12)/FV102)))</f>
        <v/>
      </c>
      <c r="FZ101" s="9">
        <f>IF(11=$B$6,-$K$29*$B$12,0)</f>
        <v/>
      </c>
      <c r="GA101" s="9">
        <f>FY101/(FX101-FW101*GA100)</f>
        <v/>
      </c>
      <c r="GB101" s="9">
        <f>(FZ101-FW101*GB100)/(FX101-FW101*GA100)</f>
        <v/>
      </c>
      <c r="GC101" s="16">
        <f>GB101-GA101*GC102</f>
        <v/>
      </c>
      <c r="GD101" s="9">
        <f>IF(11&gt;$B$6+$B$7,$G$30*$B$11^$H$30,$E$30*$B$9^$F$30)</f>
        <v/>
      </c>
      <c r="GE101" s="9">
        <f>IF(11=1,0,$B$14)</f>
        <v/>
      </c>
      <c r="GF101" s="9">
        <f>-($B$14+(IF(11&lt;=$B$6,$B$13*$B$15+$B$12,IF(11&lt;=$B$6+$B$7,$B$13*$B$15,$B$13)))/GD101)</f>
        <v/>
      </c>
      <c r="GG101" s="9">
        <f>IF(11=$B$6+$B$7,0,IF(11&gt;$B$6+$B$7,$B$13/GD102,IF(11&gt;=$B$6,$B$13*$B$15/GD102,($B$13*$B$15+$B$12)/GD102)))</f>
        <v/>
      </c>
      <c r="GH101" s="9">
        <f>IF(11=$B$6,-$K$30*$B$12,0)</f>
        <v/>
      </c>
      <c r="GI101" s="9">
        <f>GG101/(GF101-GE101*GI100)</f>
        <v/>
      </c>
      <c r="GJ101" s="9">
        <f>(GH101-GE101*GJ100)/(GF101-GE101*GI100)</f>
        <v/>
      </c>
      <c r="GK101" s="16">
        <f>GJ101-GI101*GK102</f>
        <v/>
      </c>
      <c r="GL101" s="9">
        <f>IF(11&gt;$B$6+$B$7,$G$31*$B$11^$H$31,$E$31*$B$9^$F$31)</f>
        <v/>
      </c>
      <c r="GM101" s="9">
        <f>IF(11=1,0,$B$14)</f>
        <v/>
      </c>
      <c r="GN101" s="9">
        <f>-($B$14+(IF(11&lt;=$B$6,$B$13*$B$15+$B$12,IF(11&lt;=$B$6+$B$7,$B$13*$B$15,$B$13)))/GL101)</f>
        <v/>
      </c>
      <c r="GO101" s="9">
        <f>IF(11=$B$6+$B$7,0,IF(11&gt;$B$6+$B$7,$B$13/GL102,IF(11&gt;=$B$6,$B$13*$B$15/GL102,($B$13*$B$15+$B$12)/GL102)))</f>
        <v/>
      </c>
      <c r="GP101" s="9">
        <f>IF(11=$B$6,-$K$31*$B$12,0)</f>
        <v/>
      </c>
      <c r="GQ101" s="9">
        <f>GO101/(GN101-GM101*GQ100)</f>
        <v/>
      </c>
      <c r="GR101" s="9">
        <f>(GP101-GM101*GR100)/(GN101-GM101*GQ100)</f>
        <v/>
      </c>
      <c r="GS101" s="16">
        <f>GR101-GQ101*GS102</f>
        <v/>
      </c>
      <c r="GT101" s="9">
        <f>IF(11&gt;$B$6+$B$7,$G$32*$B$11^$H$32,$E$32*$B$9^$F$32)</f>
        <v/>
      </c>
      <c r="GU101" s="9">
        <f>IF(11=1,0,$B$14)</f>
        <v/>
      </c>
      <c r="GV101" s="9">
        <f>-($B$14+(IF(11&lt;=$B$6,$B$13*$B$15+$B$12,IF(11&lt;=$B$6+$B$7,$B$13*$B$15,$B$13)))/GT101)</f>
        <v/>
      </c>
      <c r="GW101" s="9">
        <f>IF(11=$B$6+$B$7,0,IF(11&gt;$B$6+$B$7,$B$13/GT102,IF(11&gt;=$B$6,$B$13*$B$15/GT102,($B$13*$B$15+$B$12)/GT102)))</f>
        <v/>
      </c>
      <c r="GX101" s="9">
        <f>IF(11=$B$6,-$K$32*$B$12,0)</f>
        <v/>
      </c>
      <c r="GY101" s="9">
        <f>GW101/(GV101-GU101*GY100)</f>
        <v/>
      </c>
      <c r="GZ101" s="9">
        <f>(GX101-GU101*GZ100)/(GV101-GU101*GY100)</f>
        <v/>
      </c>
      <c r="HA101" s="16">
        <f>GZ101-GY101*HA102</f>
        <v/>
      </c>
      <c r="HB101" s="12">
        <f>IFERROR(I101/B101,0)</f>
        <v/>
      </c>
      <c r="HC101" s="12">
        <f>IFERROR(Q101/J101,0)</f>
        <v/>
      </c>
      <c r="HD101" s="12">
        <f>IFERROR(Y101/R101,0)</f>
        <v/>
      </c>
      <c r="HE101" s="12">
        <f>IFERROR(AG101/Z101,0)</f>
        <v/>
      </c>
      <c r="HF101" s="12">
        <f>IFERROR(AO101/AH101,0)</f>
        <v/>
      </c>
      <c r="HG101" s="12">
        <f>IFERROR(AW101/AP101,0)</f>
        <v/>
      </c>
      <c r="HH101" s="12">
        <f>IFERROR(BE101/AX101,0)</f>
        <v/>
      </c>
      <c r="HI101" s="12">
        <f>IFERROR(BM101/BF101,0)</f>
        <v/>
      </c>
      <c r="HJ101" s="12">
        <f>IFERROR(BU101/BN101,0)</f>
        <v/>
      </c>
      <c r="HK101" s="12">
        <f>IFERROR(CC101/BV101,0)</f>
        <v/>
      </c>
      <c r="HL101" s="12">
        <f>IFERROR(CK101/CD101,0)</f>
        <v/>
      </c>
      <c r="HM101" s="12">
        <f>IFERROR(CS101/CL101,0)</f>
        <v/>
      </c>
      <c r="HN101" s="12">
        <f>IFERROR(DA101/CT101,0)</f>
        <v/>
      </c>
      <c r="HO101" s="12">
        <f>IFERROR(DI101/DB101,0)</f>
        <v/>
      </c>
      <c r="HP101" s="12">
        <f>IFERROR(DQ101/DJ101,0)</f>
        <v/>
      </c>
      <c r="HQ101" s="12">
        <f>IFERROR(DY101/DR101,0)</f>
        <v/>
      </c>
      <c r="HR101" s="12">
        <f>IFERROR(EG101/DZ101,0)</f>
        <v/>
      </c>
      <c r="HS101" s="12">
        <f>IFERROR(EO101/EH101,0)</f>
        <v/>
      </c>
      <c r="HT101" s="12">
        <f>IFERROR(EW101/EP101,0)</f>
        <v/>
      </c>
      <c r="HU101" s="12">
        <f>IFERROR(FE101/EX101,0)</f>
        <v/>
      </c>
      <c r="HV101" s="12">
        <f>IFERROR(FM101/FF101,0)</f>
        <v/>
      </c>
      <c r="HW101" s="12">
        <f>IFERROR(FU101/FN101,0)</f>
        <v/>
      </c>
      <c r="HX101" s="12">
        <f>IFERROR(GC101/FV101,0)</f>
        <v/>
      </c>
      <c r="HY101" s="12">
        <f>IFERROR(GK101/GD101,0)</f>
        <v/>
      </c>
      <c r="HZ101" s="12">
        <f>IFERROR(GS101/GL101,0)</f>
        <v/>
      </c>
      <c r="IA101" s="12">
        <f>IFERROR(HA101/GT101,0)</f>
        <v/>
      </c>
      <c r="IB101" s="12">
        <f>I101+Q101+Y101+AG101+AO101+AW101+BE101+BM101+BU101+CC101+CK101+CS101+DA101+DI101+DQ101+DY101+EG101+EO101+EW101+FE101+FM101+FU101+GC101+GK101+GS101+HA101</f>
        <v/>
      </c>
      <c r="IC101" s="12">
        <f>HB101+HC101+HD101+HE101+HF101+HG101+HH101+HI101+HJ101+HK101+HL101+HM101+HN101+HO101+HP101+HQ101+HR101+HS101+HT101+HU101+HV101+HW101+HX101+HY101+HZ101+IA101</f>
        <v/>
      </c>
    </row>
    <row r="102" ht="14" customHeight="1">
      <c r="A102" s="29" t="n">
        <v>12</v>
      </c>
      <c r="B102" s="9">
        <f>IF(12&gt;$B$6+$B$7,$G$7*$B$11^$H$7,$E$7*$B$9^$F$7)</f>
        <v/>
      </c>
      <c r="C102" s="9">
        <f>IF(12=1,0,$B$14)</f>
        <v/>
      </c>
      <c r="D102" s="9">
        <f>-($B$14+(IF(12&lt;=$B$6,$B$13*$B$15+$B$12,IF(12&lt;=$B$6+$B$7,$B$13*$B$15,$B$13)))/B102)</f>
        <v/>
      </c>
      <c r="E102" s="9">
        <f>IF(12=$B$6+$B$7,0,IF(12&gt;$B$6+$B$7,$B$13/B103,IF(12&gt;=$B$6,$B$13*$B$15/B103,($B$13*$B$15+$B$12)/B103)))</f>
        <v/>
      </c>
      <c r="F102" s="9">
        <f>IF(12=$B$6,-$K$7*$B$12,0)</f>
        <v/>
      </c>
      <c r="G102" s="9">
        <f>E102/(D102-C102*G101)</f>
        <v/>
      </c>
      <c r="H102" s="9">
        <f>(F102-C102*H101)/(D102-C102*G101)</f>
        <v/>
      </c>
      <c r="I102" s="16">
        <f>H102-G102*I103</f>
        <v/>
      </c>
      <c r="J102" s="9">
        <f>IF(12&gt;$B$6+$B$7,$G$8*$B$11^$H$8,$E$8*$B$9^$F$8)</f>
        <v/>
      </c>
      <c r="K102" s="9">
        <f>IF(12=1,0,$B$14)</f>
        <v/>
      </c>
      <c r="L102" s="9">
        <f>-($B$14+(IF(12&lt;=$B$6,$B$13*$B$15+$B$12,IF(12&lt;=$B$6+$B$7,$B$13*$B$15,$B$13)))/J102)</f>
        <v/>
      </c>
      <c r="M102" s="9">
        <f>IF(12=$B$6+$B$7,0,IF(12&gt;$B$6+$B$7,$B$13/J103,IF(12&gt;=$B$6,$B$13*$B$15/J103,($B$13*$B$15+$B$12)/J103)))</f>
        <v/>
      </c>
      <c r="N102" s="9">
        <f>IF(12=$B$6,-$K$8*$B$12,0)</f>
        <v/>
      </c>
      <c r="O102" s="9">
        <f>M102/(L102-K102*O101)</f>
        <v/>
      </c>
      <c r="P102" s="9">
        <f>(N102-K102*P101)/(L102-K102*O101)</f>
        <v/>
      </c>
      <c r="Q102" s="16">
        <f>P102-O102*Q103</f>
        <v/>
      </c>
      <c r="R102" s="9">
        <f>IF(12&gt;$B$6+$B$7,$G$9*$B$11^$H$9,$E$9*$B$9^$F$9)</f>
        <v/>
      </c>
      <c r="S102" s="9">
        <f>IF(12=1,0,$B$14)</f>
        <v/>
      </c>
      <c r="T102" s="9">
        <f>-($B$14+(IF(12&lt;=$B$6,$B$13*$B$15+$B$12,IF(12&lt;=$B$6+$B$7,$B$13*$B$15,$B$13)))/R102)</f>
        <v/>
      </c>
      <c r="U102" s="9">
        <f>IF(12=$B$6+$B$7,0,IF(12&gt;$B$6+$B$7,$B$13/R103,IF(12&gt;=$B$6,$B$13*$B$15/R103,($B$13*$B$15+$B$12)/R103)))</f>
        <v/>
      </c>
      <c r="V102" s="9">
        <f>IF(12=$B$6,-$K$9*$B$12,0)</f>
        <v/>
      </c>
      <c r="W102" s="9">
        <f>U102/(T102-S102*W101)</f>
        <v/>
      </c>
      <c r="X102" s="9">
        <f>(V102-S102*X101)/(T102-S102*W101)</f>
        <v/>
      </c>
      <c r="Y102" s="16">
        <f>X102-W102*Y103</f>
        <v/>
      </c>
      <c r="Z102" s="9">
        <f>IF(12&gt;$B$6+$B$7,$G$10*$B$11^$H$10,$E$10*$B$9^$F$10)</f>
        <v/>
      </c>
      <c r="AA102" s="9">
        <f>IF(12=1,0,$B$14)</f>
        <v/>
      </c>
      <c r="AB102" s="9">
        <f>-($B$14+(IF(12&lt;=$B$6,$B$13*$B$15+$B$12,IF(12&lt;=$B$6+$B$7,$B$13*$B$15,$B$13)))/Z102)</f>
        <v/>
      </c>
      <c r="AC102" s="9">
        <f>IF(12=$B$6+$B$7,0,IF(12&gt;$B$6+$B$7,$B$13/Z103,IF(12&gt;=$B$6,$B$13*$B$15/Z103,($B$13*$B$15+$B$12)/Z103)))</f>
        <v/>
      </c>
      <c r="AD102" s="9">
        <f>IF(12=$B$6,-$K$10*$B$12,0)</f>
        <v/>
      </c>
      <c r="AE102" s="9">
        <f>AC102/(AB102-AA102*AE101)</f>
        <v/>
      </c>
      <c r="AF102" s="9">
        <f>(AD102-AA102*AF101)/(AB102-AA102*AE101)</f>
        <v/>
      </c>
      <c r="AG102" s="16">
        <f>AF102-AE102*AG103</f>
        <v/>
      </c>
      <c r="AH102" s="9">
        <f>IF(12&gt;$B$6+$B$7,$G$11*$B$11^$H$11,$E$11*$B$9^$F$11)</f>
        <v/>
      </c>
      <c r="AI102" s="9">
        <f>IF(12=1,0,$B$14)</f>
        <v/>
      </c>
      <c r="AJ102" s="9">
        <f>-($B$14+(IF(12&lt;=$B$6,$B$13*$B$15+$B$12,IF(12&lt;=$B$6+$B$7,$B$13*$B$15,$B$13)))/AH102)</f>
        <v/>
      </c>
      <c r="AK102" s="9">
        <f>IF(12=$B$6+$B$7,0,IF(12&gt;$B$6+$B$7,$B$13/AH103,IF(12&gt;=$B$6,$B$13*$B$15/AH103,($B$13*$B$15+$B$12)/AH103)))</f>
        <v/>
      </c>
      <c r="AL102" s="9">
        <f>IF(12=$B$6,-$K$11*$B$12,0)</f>
        <v/>
      </c>
      <c r="AM102" s="9">
        <f>AK102/(AJ102-AI102*AM101)</f>
        <v/>
      </c>
      <c r="AN102" s="9">
        <f>(AL102-AI102*AN101)/(AJ102-AI102*AM101)</f>
        <v/>
      </c>
      <c r="AO102" s="16">
        <f>AN102-AM102*AO103</f>
        <v/>
      </c>
      <c r="AP102" s="9">
        <f>IF(12&gt;$B$6+$B$7,$G$12*$B$11^$H$12,$E$12*$B$9^$F$12)</f>
        <v/>
      </c>
      <c r="AQ102" s="9">
        <f>IF(12=1,0,$B$14)</f>
        <v/>
      </c>
      <c r="AR102" s="9">
        <f>-($B$14+(IF(12&lt;=$B$6,$B$13*$B$15+$B$12,IF(12&lt;=$B$6+$B$7,$B$13*$B$15,$B$13)))/AP102)</f>
        <v/>
      </c>
      <c r="AS102" s="9">
        <f>IF(12=$B$6+$B$7,0,IF(12&gt;$B$6+$B$7,$B$13/AP103,IF(12&gt;=$B$6,$B$13*$B$15/AP103,($B$13*$B$15+$B$12)/AP103)))</f>
        <v/>
      </c>
      <c r="AT102" s="9">
        <f>IF(12=$B$6,-$K$12*$B$12,0)</f>
        <v/>
      </c>
      <c r="AU102" s="9">
        <f>AS102/(AR102-AQ102*AU101)</f>
        <v/>
      </c>
      <c r="AV102" s="9">
        <f>(AT102-AQ102*AV101)/(AR102-AQ102*AU101)</f>
        <v/>
      </c>
      <c r="AW102" s="16">
        <f>AV102-AU102*AW103</f>
        <v/>
      </c>
      <c r="AX102" s="9">
        <f>IF(12&gt;$B$6+$B$7,$G$13*$B$11^$H$13,$E$13*$B$9^$F$13)</f>
        <v/>
      </c>
      <c r="AY102" s="9">
        <f>IF(12=1,0,$B$14)</f>
        <v/>
      </c>
      <c r="AZ102" s="9">
        <f>-($B$14+(IF(12&lt;=$B$6,$B$13*$B$15+$B$12,IF(12&lt;=$B$6+$B$7,$B$13*$B$15,$B$13)))/AX102)</f>
        <v/>
      </c>
      <c r="BA102" s="9">
        <f>IF(12=$B$6+$B$7,0,IF(12&gt;$B$6+$B$7,$B$13/AX103,IF(12&gt;=$B$6,$B$13*$B$15/AX103,($B$13*$B$15+$B$12)/AX103)))</f>
        <v/>
      </c>
      <c r="BB102" s="9">
        <f>IF(12=$B$6,-$K$13*$B$12,0)</f>
        <v/>
      </c>
      <c r="BC102" s="9">
        <f>BA102/(AZ102-AY102*BC101)</f>
        <v/>
      </c>
      <c r="BD102" s="9">
        <f>(BB102-AY102*BD101)/(AZ102-AY102*BC101)</f>
        <v/>
      </c>
      <c r="BE102" s="16">
        <f>BD102-BC102*BE103</f>
        <v/>
      </c>
      <c r="BF102" s="9">
        <f>IF(12&gt;$B$6+$B$7,$G$14*$B$11^$H$14,$E$14*$B$9^$F$14)</f>
        <v/>
      </c>
      <c r="BG102" s="9">
        <f>IF(12=1,0,$B$14)</f>
        <v/>
      </c>
      <c r="BH102" s="9">
        <f>-($B$14+(IF(12&lt;=$B$6,$B$13*$B$15+$B$12,IF(12&lt;=$B$6+$B$7,$B$13*$B$15,$B$13)))/BF102)</f>
        <v/>
      </c>
      <c r="BI102" s="9">
        <f>IF(12=$B$6+$B$7,0,IF(12&gt;$B$6+$B$7,$B$13/BF103,IF(12&gt;=$B$6,$B$13*$B$15/BF103,($B$13*$B$15+$B$12)/BF103)))</f>
        <v/>
      </c>
      <c r="BJ102" s="9">
        <f>IF(12=$B$6,-$K$14*$B$12,0)</f>
        <v/>
      </c>
      <c r="BK102" s="9">
        <f>BI102/(BH102-BG102*BK101)</f>
        <v/>
      </c>
      <c r="BL102" s="9">
        <f>(BJ102-BG102*BL101)/(BH102-BG102*BK101)</f>
        <v/>
      </c>
      <c r="BM102" s="16">
        <f>BL102-BK102*BM103</f>
        <v/>
      </c>
      <c r="BN102" s="9">
        <f>IF(12&gt;$B$6+$B$7,$G$15*$B$11^$H$15,$E$15*$B$9^$F$15)</f>
        <v/>
      </c>
      <c r="BO102" s="9">
        <f>IF(12=1,0,$B$14)</f>
        <v/>
      </c>
      <c r="BP102" s="9">
        <f>-($B$14+(IF(12&lt;=$B$6,$B$13*$B$15+$B$12,IF(12&lt;=$B$6+$B$7,$B$13*$B$15,$B$13)))/BN102)</f>
        <v/>
      </c>
      <c r="BQ102" s="9">
        <f>IF(12=$B$6+$B$7,0,IF(12&gt;$B$6+$B$7,$B$13/BN103,IF(12&gt;=$B$6,$B$13*$B$15/BN103,($B$13*$B$15+$B$12)/BN103)))</f>
        <v/>
      </c>
      <c r="BR102" s="9">
        <f>IF(12=$B$6,-$K$15*$B$12,0)</f>
        <v/>
      </c>
      <c r="BS102" s="9">
        <f>BQ102/(BP102-BO102*BS101)</f>
        <v/>
      </c>
      <c r="BT102" s="9">
        <f>(BR102-BO102*BT101)/(BP102-BO102*BS101)</f>
        <v/>
      </c>
      <c r="BU102" s="16">
        <f>BT102-BS102*BU103</f>
        <v/>
      </c>
      <c r="BV102" s="9">
        <f>IF(12&gt;$B$6+$B$7,$G$16*$B$11^$H$16,$E$16*$B$9^$F$16)</f>
        <v/>
      </c>
      <c r="BW102" s="9">
        <f>IF(12=1,0,$B$14)</f>
        <v/>
      </c>
      <c r="BX102" s="9">
        <f>-($B$14+(IF(12&lt;=$B$6,$B$13*$B$15+$B$12,IF(12&lt;=$B$6+$B$7,$B$13*$B$15,$B$13)))/BV102)</f>
        <v/>
      </c>
      <c r="BY102" s="9">
        <f>IF(12=$B$6+$B$7,0,IF(12&gt;$B$6+$B$7,$B$13/BV103,IF(12&gt;=$B$6,$B$13*$B$15/BV103,($B$13*$B$15+$B$12)/BV103)))</f>
        <v/>
      </c>
      <c r="BZ102" s="9">
        <f>IF(12=$B$6,-$K$16*$B$12,0)</f>
        <v/>
      </c>
      <c r="CA102" s="9">
        <f>BY102/(BX102-BW102*CA101)</f>
        <v/>
      </c>
      <c r="CB102" s="9">
        <f>(BZ102-BW102*CB101)/(BX102-BW102*CA101)</f>
        <v/>
      </c>
      <c r="CC102" s="16">
        <f>CB102-CA102*CC103</f>
        <v/>
      </c>
      <c r="CD102" s="9">
        <f>IF(12&gt;$B$6+$B$7,$G$17*$B$11^$H$17,$E$17*$B$9^$F$17)</f>
        <v/>
      </c>
      <c r="CE102" s="9">
        <f>IF(12=1,0,$B$14)</f>
        <v/>
      </c>
      <c r="CF102" s="9">
        <f>-($B$14+(IF(12&lt;=$B$6,$B$13*$B$15+$B$12,IF(12&lt;=$B$6+$B$7,$B$13*$B$15,$B$13)))/CD102)</f>
        <v/>
      </c>
      <c r="CG102" s="9">
        <f>IF(12=$B$6+$B$7,0,IF(12&gt;$B$6+$B$7,$B$13/CD103,IF(12&gt;=$B$6,$B$13*$B$15/CD103,($B$13*$B$15+$B$12)/CD103)))</f>
        <v/>
      </c>
      <c r="CH102" s="9">
        <f>IF(12=$B$6,-$K$17*$B$12,0)</f>
        <v/>
      </c>
      <c r="CI102" s="9">
        <f>CG102/(CF102-CE102*CI101)</f>
        <v/>
      </c>
      <c r="CJ102" s="9">
        <f>(CH102-CE102*CJ101)/(CF102-CE102*CI101)</f>
        <v/>
      </c>
      <c r="CK102" s="16">
        <f>CJ102-CI102*CK103</f>
        <v/>
      </c>
      <c r="CL102" s="9">
        <f>IF(12&gt;$B$6+$B$7,$G$18*$B$11^$H$18,$E$18*$B$9^$F$18)</f>
        <v/>
      </c>
      <c r="CM102" s="9">
        <f>IF(12=1,0,$B$14)</f>
        <v/>
      </c>
      <c r="CN102" s="9">
        <f>-($B$14+(IF(12&lt;=$B$6,$B$13*$B$15+$B$12,IF(12&lt;=$B$6+$B$7,$B$13*$B$15,$B$13)))/CL102)</f>
        <v/>
      </c>
      <c r="CO102" s="9">
        <f>IF(12=$B$6+$B$7,0,IF(12&gt;$B$6+$B$7,$B$13/CL103,IF(12&gt;=$B$6,$B$13*$B$15/CL103,($B$13*$B$15+$B$12)/CL103)))</f>
        <v/>
      </c>
      <c r="CP102" s="9">
        <f>IF(12=$B$6,-$K$18*$B$12,0)</f>
        <v/>
      </c>
      <c r="CQ102" s="9">
        <f>CO102/(CN102-CM102*CQ101)</f>
        <v/>
      </c>
      <c r="CR102" s="9">
        <f>(CP102-CM102*CR101)/(CN102-CM102*CQ101)</f>
        <v/>
      </c>
      <c r="CS102" s="16">
        <f>CR102-CQ102*CS103</f>
        <v/>
      </c>
      <c r="CT102" s="9">
        <f>IF(12&gt;$B$6+$B$7,$G$19*$B$11^$H$19,$E$19*$B$9^$F$19)</f>
        <v/>
      </c>
      <c r="CU102" s="9">
        <f>IF(12=1,0,$B$14)</f>
        <v/>
      </c>
      <c r="CV102" s="9">
        <f>-($B$14+(IF(12&lt;=$B$6,$B$13*$B$15+$B$12,IF(12&lt;=$B$6+$B$7,$B$13*$B$15,$B$13)))/CT102)</f>
        <v/>
      </c>
      <c r="CW102" s="9">
        <f>IF(12=$B$6+$B$7,0,IF(12&gt;$B$6+$B$7,$B$13/CT103,IF(12&gt;=$B$6,$B$13*$B$15/CT103,($B$13*$B$15+$B$12)/CT103)))</f>
        <v/>
      </c>
      <c r="CX102" s="9">
        <f>IF(12=$B$6,-$K$19*$B$12,0)</f>
        <v/>
      </c>
      <c r="CY102" s="9">
        <f>CW102/(CV102-CU102*CY101)</f>
        <v/>
      </c>
      <c r="CZ102" s="9">
        <f>(CX102-CU102*CZ101)/(CV102-CU102*CY101)</f>
        <v/>
      </c>
      <c r="DA102" s="16">
        <f>CZ102-CY102*DA103</f>
        <v/>
      </c>
      <c r="DB102" s="9">
        <f>IF(12&gt;$B$6+$B$7,$G$20*$B$11^$H$20,$E$20*$B$9^$F$20)</f>
        <v/>
      </c>
      <c r="DC102" s="9">
        <f>IF(12=1,0,$B$14)</f>
        <v/>
      </c>
      <c r="DD102" s="9">
        <f>-($B$14+(IF(12&lt;=$B$6,$B$13*$B$15+$B$12,IF(12&lt;=$B$6+$B$7,$B$13*$B$15,$B$13)))/DB102)</f>
        <v/>
      </c>
      <c r="DE102" s="9">
        <f>IF(12=$B$6+$B$7,0,IF(12&gt;$B$6+$B$7,$B$13/DB103,IF(12&gt;=$B$6,$B$13*$B$15/DB103,($B$13*$B$15+$B$12)/DB103)))</f>
        <v/>
      </c>
      <c r="DF102" s="9">
        <f>IF(12=$B$6,-$K$20*$B$12,0)</f>
        <v/>
      </c>
      <c r="DG102" s="9">
        <f>DE102/(DD102-DC102*DG101)</f>
        <v/>
      </c>
      <c r="DH102" s="9">
        <f>(DF102-DC102*DH101)/(DD102-DC102*DG101)</f>
        <v/>
      </c>
      <c r="DI102" s="16">
        <f>DH102-DG102*DI103</f>
        <v/>
      </c>
      <c r="DJ102" s="9">
        <f>IF(12&gt;$B$6+$B$7,$G$21*$B$11^$H$21,$E$21*$B$9^$F$21)</f>
        <v/>
      </c>
      <c r="DK102" s="9">
        <f>IF(12=1,0,$B$14)</f>
        <v/>
      </c>
      <c r="DL102" s="9">
        <f>-($B$14+(IF(12&lt;=$B$6,$B$13*$B$15+$B$12,IF(12&lt;=$B$6+$B$7,$B$13*$B$15,$B$13)))/DJ102)</f>
        <v/>
      </c>
      <c r="DM102" s="9">
        <f>IF(12=$B$6+$B$7,0,IF(12&gt;$B$6+$B$7,$B$13/DJ103,IF(12&gt;=$B$6,$B$13*$B$15/DJ103,($B$13*$B$15+$B$12)/DJ103)))</f>
        <v/>
      </c>
      <c r="DN102" s="9">
        <f>IF(12=$B$6,-$K$21*$B$12,0)</f>
        <v/>
      </c>
      <c r="DO102" s="9">
        <f>DM102/(DL102-DK102*DO101)</f>
        <v/>
      </c>
      <c r="DP102" s="9">
        <f>(DN102-DK102*DP101)/(DL102-DK102*DO101)</f>
        <v/>
      </c>
      <c r="DQ102" s="16">
        <f>DP102-DO102*DQ103</f>
        <v/>
      </c>
      <c r="DR102" s="9">
        <f>IF(12&gt;$B$6+$B$7,$G$22*$B$11^$H$22,$E$22*$B$9^$F$22)</f>
        <v/>
      </c>
      <c r="DS102" s="9">
        <f>IF(12=1,0,$B$14)</f>
        <v/>
      </c>
      <c r="DT102" s="9">
        <f>-($B$14+(IF(12&lt;=$B$6,$B$13*$B$15+$B$12,IF(12&lt;=$B$6+$B$7,$B$13*$B$15,$B$13)))/DR102)</f>
        <v/>
      </c>
      <c r="DU102" s="9">
        <f>IF(12=$B$6+$B$7,0,IF(12&gt;$B$6+$B$7,$B$13/DR103,IF(12&gt;=$B$6,$B$13*$B$15/DR103,($B$13*$B$15+$B$12)/DR103)))</f>
        <v/>
      </c>
      <c r="DV102" s="9">
        <f>IF(12=$B$6,-$K$22*$B$12,0)</f>
        <v/>
      </c>
      <c r="DW102" s="9">
        <f>DU102/(DT102-DS102*DW101)</f>
        <v/>
      </c>
      <c r="DX102" s="9">
        <f>(DV102-DS102*DX101)/(DT102-DS102*DW101)</f>
        <v/>
      </c>
      <c r="DY102" s="16">
        <f>DX102-DW102*DY103</f>
        <v/>
      </c>
      <c r="DZ102" s="9">
        <f>IF(12&gt;$B$6+$B$7,$G$23*$B$11^$H$23,$E$23*$B$9^$F$23)</f>
        <v/>
      </c>
      <c r="EA102" s="9">
        <f>IF(12=1,0,$B$14)</f>
        <v/>
      </c>
      <c r="EB102" s="9">
        <f>-($B$14+(IF(12&lt;=$B$6,$B$13*$B$15+$B$12,IF(12&lt;=$B$6+$B$7,$B$13*$B$15,$B$13)))/DZ102)</f>
        <v/>
      </c>
      <c r="EC102" s="9">
        <f>IF(12=$B$6+$B$7,0,IF(12&gt;$B$6+$B$7,$B$13/DZ103,IF(12&gt;=$B$6,$B$13*$B$15/DZ103,($B$13*$B$15+$B$12)/DZ103)))</f>
        <v/>
      </c>
      <c r="ED102" s="9">
        <f>IF(12=$B$6,-$K$23*$B$12,0)</f>
        <v/>
      </c>
      <c r="EE102" s="9">
        <f>EC102/(EB102-EA102*EE101)</f>
        <v/>
      </c>
      <c r="EF102" s="9">
        <f>(ED102-EA102*EF101)/(EB102-EA102*EE101)</f>
        <v/>
      </c>
      <c r="EG102" s="16">
        <f>EF102-EE102*EG103</f>
        <v/>
      </c>
      <c r="EH102" s="9">
        <f>IF(12&gt;$B$6+$B$7,$G$24*$B$11^$H$24,$E$24*$B$9^$F$24)</f>
        <v/>
      </c>
      <c r="EI102" s="9">
        <f>IF(12=1,0,$B$14)</f>
        <v/>
      </c>
      <c r="EJ102" s="9">
        <f>-($B$14+(IF(12&lt;=$B$6,$B$13*$B$15+$B$12,IF(12&lt;=$B$6+$B$7,$B$13*$B$15,$B$13)))/EH102)</f>
        <v/>
      </c>
      <c r="EK102" s="9">
        <f>IF(12=$B$6+$B$7,0,IF(12&gt;$B$6+$B$7,$B$13/EH103,IF(12&gt;=$B$6,$B$13*$B$15/EH103,($B$13*$B$15+$B$12)/EH103)))</f>
        <v/>
      </c>
      <c r="EL102" s="9">
        <f>IF(12=$B$6,-$K$24*$B$12,0)</f>
        <v/>
      </c>
      <c r="EM102" s="9">
        <f>EK102/(EJ102-EI102*EM101)</f>
        <v/>
      </c>
      <c r="EN102" s="9">
        <f>(EL102-EI102*EN101)/(EJ102-EI102*EM101)</f>
        <v/>
      </c>
      <c r="EO102" s="16">
        <f>EN102-EM102*EO103</f>
        <v/>
      </c>
      <c r="EP102" s="9">
        <f>IF(12&gt;$B$6+$B$7,$G$25*$B$11^$H$25,$E$25*$B$9^$F$25)</f>
        <v/>
      </c>
      <c r="EQ102" s="9">
        <f>IF(12=1,0,$B$14)</f>
        <v/>
      </c>
      <c r="ER102" s="9">
        <f>-($B$14+(IF(12&lt;=$B$6,$B$13*$B$15+$B$12,IF(12&lt;=$B$6+$B$7,$B$13*$B$15,$B$13)))/EP102)</f>
        <v/>
      </c>
      <c r="ES102" s="9">
        <f>IF(12=$B$6+$B$7,0,IF(12&gt;$B$6+$B$7,$B$13/EP103,IF(12&gt;=$B$6,$B$13*$B$15/EP103,($B$13*$B$15+$B$12)/EP103)))</f>
        <v/>
      </c>
      <c r="ET102" s="9">
        <f>IF(12=$B$6,-$K$25*$B$12,0)</f>
        <v/>
      </c>
      <c r="EU102" s="9">
        <f>ES102/(ER102-EQ102*EU101)</f>
        <v/>
      </c>
      <c r="EV102" s="9">
        <f>(ET102-EQ102*EV101)/(ER102-EQ102*EU101)</f>
        <v/>
      </c>
      <c r="EW102" s="16">
        <f>EV102-EU102*EW103</f>
        <v/>
      </c>
      <c r="EX102" s="9">
        <f>IF(12&gt;$B$6+$B$7,$G$26*$B$11^$H$26,$E$26*$B$9^$F$26)</f>
        <v/>
      </c>
      <c r="EY102" s="9">
        <f>IF(12=1,0,$B$14)</f>
        <v/>
      </c>
      <c r="EZ102" s="9">
        <f>-($B$14+(IF(12&lt;=$B$6,$B$13*$B$15+$B$12,IF(12&lt;=$B$6+$B$7,$B$13*$B$15,$B$13)))/EX102)</f>
        <v/>
      </c>
      <c r="FA102" s="9">
        <f>IF(12=$B$6+$B$7,0,IF(12&gt;$B$6+$B$7,$B$13/EX103,IF(12&gt;=$B$6,$B$13*$B$15/EX103,($B$13*$B$15+$B$12)/EX103)))</f>
        <v/>
      </c>
      <c r="FB102" s="9">
        <f>IF(12=$B$6,-$K$26*$B$12,0)</f>
        <v/>
      </c>
      <c r="FC102" s="9">
        <f>FA102/(EZ102-EY102*FC101)</f>
        <v/>
      </c>
      <c r="FD102" s="9">
        <f>(FB102-EY102*FD101)/(EZ102-EY102*FC101)</f>
        <v/>
      </c>
      <c r="FE102" s="16">
        <f>FD102-FC102*FE103</f>
        <v/>
      </c>
      <c r="FF102" s="9">
        <f>IF(12&gt;$B$6+$B$7,$G$27*$B$11^$H$27,$E$27*$B$9^$F$27)</f>
        <v/>
      </c>
      <c r="FG102" s="9">
        <f>IF(12=1,0,$B$14)</f>
        <v/>
      </c>
      <c r="FH102" s="9">
        <f>-($B$14+(IF(12&lt;=$B$6,$B$13*$B$15+$B$12,IF(12&lt;=$B$6+$B$7,$B$13*$B$15,$B$13)))/FF102)</f>
        <v/>
      </c>
      <c r="FI102" s="9">
        <f>IF(12=$B$6+$B$7,0,IF(12&gt;$B$6+$B$7,$B$13/FF103,IF(12&gt;=$B$6,$B$13*$B$15/FF103,($B$13*$B$15+$B$12)/FF103)))</f>
        <v/>
      </c>
      <c r="FJ102" s="9">
        <f>IF(12=$B$6,-$K$27*$B$12,0)</f>
        <v/>
      </c>
      <c r="FK102" s="9">
        <f>FI102/(FH102-FG102*FK101)</f>
        <v/>
      </c>
      <c r="FL102" s="9">
        <f>(FJ102-FG102*FL101)/(FH102-FG102*FK101)</f>
        <v/>
      </c>
      <c r="FM102" s="16">
        <f>FL102-FK102*FM103</f>
        <v/>
      </c>
      <c r="FN102" s="9">
        <f>IF(12&gt;$B$6+$B$7,$G$28*$B$11^$H$28,$E$28*$B$9^$F$28)</f>
        <v/>
      </c>
      <c r="FO102" s="9">
        <f>IF(12=1,0,$B$14)</f>
        <v/>
      </c>
      <c r="FP102" s="9">
        <f>-($B$14+(IF(12&lt;=$B$6,$B$13*$B$15+$B$12,IF(12&lt;=$B$6+$B$7,$B$13*$B$15,$B$13)))/FN102)</f>
        <v/>
      </c>
      <c r="FQ102" s="9">
        <f>IF(12=$B$6+$B$7,0,IF(12&gt;$B$6+$B$7,$B$13/FN103,IF(12&gt;=$B$6,$B$13*$B$15/FN103,($B$13*$B$15+$B$12)/FN103)))</f>
        <v/>
      </c>
      <c r="FR102" s="9">
        <f>IF(12=$B$6,-$K$28*$B$12,0)</f>
        <v/>
      </c>
      <c r="FS102" s="9">
        <f>FQ102/(FP102-FO102*FS101)</f>
        <v/>
      </c>
      <c r="FT102" s="9">
        <f>(FR102-FO102*FT101)/(FP102-FO102*FS101)</f>
        <v/>
      </c>
      <c r="FU102" s="16">
        <f>FT102-FS102*FU103</f>
        <v/>
      </c>
      <c r="FV102" s="9">
        <f>IF(12&gt;$B$6+$B$7,$G$29*$B$11^$H$29,$E$29*$B$9^$F$29)</f>
        <v/>
      </c>
      <c r="FW102" s="9">
        <f>IF(12=1,0,$B$14)</f>
        <v/>
      </c>
      <c r="FX102" s="9">
        <f>-($B$14+(IF(12&lt;=$B$6,$B$13*$B$15+$B$12,IF(12&lt;=$B$6+$B$7,$B$13*$B$15,$B$13)))/FV102)</f>
        <v/>
      </c>
      <c r="FY102" s="9">
        <f>IF(12=$B$6+$B$7,0,IF(12&gt;$B$6+$B$7,$B$13/FV103,IF(12&gt;=$B$6,$B$13*$B$15/FV103,($B$13*$B$15+$B$12)/FV103)))</f>
        <v/>
      </c>
      <c r="FZ102" s="9">
        <f>IF(12=$B$6,-$K$29*$B$12,0)</f>
        <v/>
      </c>
      <c r="GA102" s="9">
        <f>FY102/(FX102-FW102*GA101)</f>
        <v/>
      </c>
      <c r="GB102" s="9">
        <f>(FZ102-FW102*GB101)/(FX102-FW102*GA101)</f>
        <v/>
      </c>
      <c r="GC102" s="16">
        <f>GB102-GA102*GC103</f>
        <v/>
      </c>
      <c r="GD102" s="9">
        <f>IF(12&gt;$B$6+$B$7,$G$30*$B$11^$H$30,$E$30*$B$9^$F$30)</f>
        <v/>
      </c>
      <c r="GE102" s="9">
        <f>IF(12=1,0,$B$14)</f>
        <v/>
      </c>
      <c r="GF102" s="9">
        <f>-($B$14+(IF(12&lt;=$B$6,$B$13*$B$15+$B$12,IF(12&lt;=$B$6+$B$7,$B$13*$B$15,$B$13)))/GD102)</f>
        <v/>
      </c>
      <c r="GG102" s="9">
        <f>IF(12=$B$6+$B$7,0,IF(12&gt;$B$6+$B$7,$B$13/GD103,IF(12&gt;=$B$6,$B$13*$B$15/GD103,($B$13*$B$15+$B$12)/GD103)))</f>
        <v/>
      </c>
      <c r="GH102" s="9">
        <f>IF(12=$B$6,-$K$30*$B$12,0)</f>
        <v/>
      </c>
      <c r="GI102" s="9">
        <f>GG102/(GF102-GE102*GI101)</f>
        <v/>
      </c>
      <c r="GJ102" s="9">
        <f>(GH102-GE102*GJ101)/(GF102-GE102*GI101)</f>
        <v/>
      </c>
      <c r="GK102" s="16">
        <f>GJ102-GI102*GK103</f>
        <v/>
      </c>
      <c r="GL102" s="9">
        <f>IF(12&gt;$B$6+$B$7,$G$31*$B$11^$H$31,$E$31*$B$9^$F$31)</f>
        <v/>
      </c>
      <c r="GM102" s="9">
        <f>IF(12=1,0,$B$14)</f>
        <v/>
      </c>
      <c r="GN102" s="9">
        <f>-($B$14+(IF(12&lt;=$B$6,$B$13*$B$15+$B$12,IF(12&lt;=$B$6+$B$7,$B$13*$B$15,$B$13)))/GL102)</f>
        <v/>
      </c>
      <c r="GO102" s="9">
        <f>IF(12=$B$6+$B$7,0,IF(12&gt;$B$6+$B$7,$B$13/GL103,IF(12&gt;=$B$6,$B$13*$B$15/GL103,($B$13*$B$15+$B$12)/GL103)))</f>
        <v/>
      </c>
      <c r="GP102" s="9">
        <f>IF(12=$B$6,-$K$31*$B$12,0)</f>
        <v/>
      </c>
      <c r="GQ102" s="9">
        <f>GO102/(GN102-GM102*GQ101)</f>
        <v/>
      </c>
      <c r="GR102" s="9">
        <f>(GP102-GM102*GR101)/(GN102-GM102*GQ101)</f>
        <v/>
      </c>
      <c r="GS102" s="16">
        <f>GR102-GQ102*GS103</f>
        <v/>
      </c>
      <c r="GT102" s="9">
        <f>IF(12&gt;$B$6+$B$7,$G$32*$B$11^$H$32,$E$32*$B$9^$F$32)</f>
        <v/>
      </c>
      <c r="GU102" s="9">
        <f>IF(12=1,0,$B$14)</f>
        <v/>
      </c>
      <c r="GV102" s="9">
        <f>-($B$14+(IF(12&lt;=$B$6,$B$13*$B$15+$B$12,IF(12&lt;=$B$6+$B$7,$B$13*$B$15,$B$13)))/GT102)</f>
        <v/>
      </c>
      <c r="GW102" s="9">
        <f>IF(12=$B$6+$B$7,0,IF(12&gt;$B$6+$B$7,$B$13/GT103,IF(12&gt;=$B$6,$B$13*$B$15/GT103,($B$13*$B$15+$B$12)/GT103)))</f>
        <v/>
      </c>
      <c r="GX102" s="9">
        <f>IF(12=$B$6,-$K$32*$B$12,0)</f>
        <v/>
      </c>
      <c r="GY102" s="9">
        <f>GW102/(GV102-GU102*GY101)</f>
        <v/>
      </c>
      <c r="GZ102" s="9">
        <f>(GX102-GU102*GZ101)/(GV102-GU102*GY101)</f>
        <v/>
      </c>
      <c r="HA102" s="16">
        <f>GZ102-GY102*HA103</f>
        <v/>
      </c>
      <c r="HB102" s="12">
        <f>IFERROR(I102/B102,0)</f>
        <v/>
      </c>
      <c r="HC102" s="12">
        <f>IFERROR(Q102/J102,0)</f>
        <v/>
      </c>
      <c r="HD102" s="12">
        <f>IFERROR(Y102/R102,0)</f>
        <v/>
      </c>
      <c r="HE102" s="12">
        <f>IFERROR(AG102/Z102,0)</f>
        <v/>
      </c>
      <c r="HF102" s="12">
        <f>IFERROR(AO102/AH102,0)</f>
        <v/>
      </c>
      <c r="HG102" s="12">
        <f>IFERROR(AW102/AP102,0)</f>
        <v/>
      </c>
      <c r="HH102" s="12">
        <f>IFERROR(BE102/AX102,0)</f>
        <v/>
      </c>
      <c r="HI102" s="12">
        <f>IFERROR(BM102/BF102,0)</f>
        <v/>
      </c>
      <c r="HJ102" s="12">
        <f>IFERROR(BU102/BN102,0)</f>
        <v/>
      </c>
      <c r="HK102" s="12">
        <f>IFERROR(CC102/BV102,0)</f>
        <v/>
      </c>
      <c r="HL102" s="12">
        <f>IFERROR(CK102/CD102,0)</f>
        <v/>
      </c>
      <c r="HM102" s="12">
        <f>IFERROR(CS102/CL102,0)</f>
        <v/>
      </c>
      <c r="HN102" s="12">
        <f>IFERROR(DA102/CT102,0)</f>
        <v/>
      </c>
      <c r="HO102" s="12">
        <f>IFERROR(DI102/DB102,0)</f>
        <v/>
      </c>
      <c r="HP102" s="12">
        <f>IFERROR(DQ102/DJ102,0)</f>
        <v/>
      </c>
      <c r="HQ102" s="12">
        <f>IFERROR(DY102/DR102,0)</f>
        <v/>
      </c>
      <c r="HR102" s="12">
        <f>IFERROR(EG102/DZ102,0)</f>
        <v/>
      </c>
      <c r="HS102" s="12">
        <f>IFERROR(EO102/EH102,0)</f>
        <v/>
      </c>
      <c r="HT102" s="12">
        <f>IFERROR(EW102/EP102,0)</f>
        <v/>
      </c>
      <c r="HU102" s="12">
        <f>IFERROR(FE102/EX102,0)</f>
        <v/>
      </c>
      <c r="HV102" s="12">
        <f>IFERROR(FM102/FF102,0)</f>
        <v/>
      </c>
      <c r="HW102" s="12">
        <f>IFERROR(FU102/FN102,0)</f>
        <v/>
      </c>
      <c r="HX102" s="12">
        <f>IFERROR(GC102/FV102,0)</f>
        <v/>
      </c>
      <c r="HY102" s="12">
        <f>IFERROR(GK102/GD102,0)</f>
        <v/>
      </c>
      <c r="HZ102" s="12">
        <f>IFERROR(GS102/GL102,0)</f>
        <v/>
      </c>
      <c r="IA102" s="12">
        <f>IFERROR(HA102/GT102,0)</f>
        <v/>
      </c>
      <c r="IB102" s="12">
        <f>I102+Q102+Y102+AG102+AO102+AW102+BE102+BM102+BU102+CC102+CK102+CS102+DA102+DI102+DQ102+DY102+EG102+EO102+EW102+FE102+FM102+FU102+GC102+GK102+GS102+HA102</f>
        <v/>
      </c>
      <c r="IC102" s="12">
        <f>HB102+HC102+HD102+HE102+HF102+HG102+HH102+HI102+HJ102+HK102+HL102+HM102+HN102+HO102+HP102+HQ102+HR102+HS102+HT102+HU102+HV102+HW102+HX102+HY102+HZ102+IA102</f>
        <v/>
      </c>
    </row>
    <row r="103" ht="14" customHeight="1">
      <c r="A103" s="29" t="n">
        <v>13</v>
      </c>
      <c r="B103" s="9">
        <f>IF(13&gt;$B$6+$B$7,$G$7*$B$11^$H$7,$E$7*$B$9^$F$7)</f>
        <v/>
      </c>
      <c r="C103" s="9">
        <f>IF(13=1,0,$B$14)</f>
        <v/>
      </c>
      <c r="D103" s="9">
        <f>-($B$14+(IF(13&lt;=$B$6,$B$13*$B$15+$B$12,IF(13&lt;=$B$6+$B$7,$B$13*$B$15,$B$13)))/B103)</f>
        <v/>
      </c>
      <c r="E103" s="9">
        <f>IF(13=$B$6+$B$7,0,IF(13&gt;$B$6+$B$7,$B$13/B104,IF(13&gt;=$B$6,$B$13*$B$15/B104,($B$13*$B$15+$B$12)/B104)))</f>
        <v/>
      </c>
      <c r="F103" s="9">
        <f>IF(13=$B$6,-$K$7*$B$12,0)</f>
        <v/>
      </c>
      <c r="G103" s="9">
        <f>E103/(D103-C103*G102)</f>
        <v/>
      </c>
      <c r="H103" s="9">
        <f>(F103-C103*H102)/(D103-C103*G102)</f>
        <v/>
      </c>
      <c r="I103" s="16">
        <f>H103-G103*I104</f>
        <v/>
      </c>
      <c r="J103" s="9">
        <f>IF(13&gt;$B$6+$B$7,$G$8*$B$11^$H$8,$E$8*$B$9^$F$8)</f>
        <v/>
      </c>
      <c r="K103" s="9">
        <f>IF(13=1,0,$B$14)</f>
        <v/>
      </c>
      <c r="L103" s="9">
        <f>-($B$14+(IF(13&lt;=$B$6,$B$13*$B$15+$B$12,IF(13&lt;=$B$6+$B$7,$B$13*$B$15,$B$13)))/J103)</f>
        <v/>
      </c>
      <c r="M103" s="9">
        <f>IF(13=$B$6+$B$7,0,IF(13&gt;$B$6+$B$7,$B$13/J104,IF(13&gt;=$B$6,$B$13*$B$15/J104,($B$13*$B$15+$B$12)/J104)))</f>
        <v/>
      </c>
      <c r="N103" s="9">
        <f>IF(13=$B$6,-$K$8*$B$12,0)</f>
        <v/>
      </c>
      <c r="O103" s="9">
        <f>M103/(L103-K103*O102)</f>
        <v/>
      </c>
      <c r="P103" s="9">
        <f>(N103-K103*P102)/(L103-K103*O102)</f>
        <v/>
      </c>
      <c r="Q103" s="16">
        <f>P103-O103*Q104</f>
        <v/>
      </c>
      <c r="R103" s="9">
        <f>IF(13&gt;$B$6+$B$7,$G$9*$B$11^$H$9,$E$9*$B$9^$F$9)</f>
        <v/>
      </c>
      <c r="S103" s="9">
        <f>IF(13=1,0,$B$14)</f>
        <v/>
      </c>
      <c r="T103" s="9">
        <f>-($B$14+(IF(13&lt;=$B$6,$B$13*$B$15+$B$12,IF(13&lt;=$B$6+$B$7,$B$13*$B$15,$B$13)))/R103)</f>
        <v/>
      </c>
      <c r="U103" s="9">
        <f>IF(13=$B$6+$B$7,0,IF(13&gt;$B$6+$B$7,$B$13/R104,IF(13&gt;=$B$6,$B$13*$B$15/R104,($B$13*$B$15+$B$12)/R104)))</f>
        <v/>
      </c>
      <c r="V103" s="9">
        <f>IF(13=$B$6,-$K$9*$B$12,0)</f>
        <v/>
      </c>
      <c r="W103" s="9">
        <f>U103/(T103-S103*W102)</f>
        <v/>
      </c>
      <c r="X103" s="9">
        <f>(V103-S103*X102)/(T103-S103*W102)</f>
        <v/>
      </c>
      <c r="Y103" s="16">
        <f>X103-W103*Y104</f>
        <v/>
      </c>
      <c r="Z103" s="9">
        <f>IF(13&gt;$B$6+$B$7,$G$10*$B$11^$H$10,$E$10*$B$9^$F$10)</f>
        <v/>
      </c>
      <c r="AA103" s="9">
        <f>IF(13=1,0,$B$14)</f>
        <v/>
      </c>
      <c r="AB103" s="9">
        <f>-($B$14+(IF(13&lt;=$B$6,$B$13*$B$15+$B$12,IF(13&lt;=$B$6+$B$7,$B$13*$B$15,$B$13)))/Z103)</f>
        <v/>
      </c>
      <c r="AC103" s="9">
        <f>IF(13=$B$6+$B$7,0,IF(13&gt;$B$6+$B$7,$B$13/Z104,IF(13&gt;=$B$6,$B$13*$B$15/Z104,($B$13*$B$15+$B$12)/Z104)))</f>
        <v/>
      </c>
      <c r="AD103" s="9">
        <f>IF(13=$B$6,-$K$10*$B$12,0)</f>
        <v/>
      </c>
      <c r="AE103" s="9">
        <f>AC103/(AB103-AA103*AE102)</f>
        <v/>
      </c>
      <c r="AF103" s="9">
        <f>(AD103-AA103*AF102)/(AB103-AA103*AE102)</f>
        <v/>
      </c>
      <c r="AG103" s="16">
        <f>AF103-AE103*AG104</f>
        <v/>
      </c>
      <c r="AH103" s="9">
        <f>IF(13&gt;$B$6+$B$7,$G$11*$B$11^$H$11,$E$11*$B$9^$F$11)</f>
        <v/>
      </c>
      <c r="AI103" s="9">
        <f>IF(13=1,0,$B$14)</f>
        <v/>
      </c>
      <c r="AJ103" s="9">
        <f>-($B$14+(IF(13&lt;=$B$6,$B$13*$B$15+$B$12,IF(13&lt;=$B$6+$B$7,$B$13*$B$15,$B$13)))/AH103)</f>
        <v/>
      </c>
      <c r="AK103" s="9">
        <f>IF(13=$B$6+$B$7,0,IF(13&gt;$B$6+$B$7,$B$13/AH104,IF(13&gt;=$B$6,$B$13*$B$15/AH104,($B$13*$B$15+$B$12)/AH104)))</f>
        <v/>
      </c>
      <c r="AL103" s="9">
        <f>IF(13=$B$6,-$K$11*$B$12,0)</f>
        <v/>
      </c>
      <c r="AM103" s="9">
        <f>AK103/(AJ103-AI103*AM102)</f>
        <v/>
      </c>
      <c r="AN103" s="9">
        <f>(AL103-AI103*AN102)/(AJ103-AI103*AM102)</f>
        <v/>
      </c>
      <c r="AO103" s="16">
        <f>AN103-AM103*AO104</f>
        <v/>
      </c>
      <c r="AP103" s="9">
        <f>IF(13&gt;$B$6+$B$7,$G$12*$B$11^$H$12,$E$12*$B$9^$F$12)</f>
        <v/>
      </c>
      <c r="AQ103" s="9">
        <f>IF(13=1,0,$B$14)</f>
        <v/>
      </c>
      <c r="AR103" s="9">
        <f>-($B$14+(IF(13&lt;=$B$6,$B$13*$B$15+$B$12,IF(13&lt;=$B$6+$B$7,$B$13*$B$15,$B$13)))/AP103)</f>
        <v/>
      </c>
      <c r="AS103" s="9">
        <f>IF(13=$B$6+$B$7,0,IF(13&gt;$B$6+$B$7,$B$13/AP104,IF(13&gt;=$B$6,$B$13*$B$15/AP104,($B$13*$B$15+$B$12)/AP104)))</f>
        <v/>
      </c>
      <c r="AT103" s="9">
        <f>IF(13=$B$6,-$K$12*$B$12,0)</f>
        <v/>
      </c>
      <c r="AU103" s="9">
        <f>AS103/(AR103-AQ103*AU102)</f>
        <v/>
      </c>
      <c r="AV103" s="9">
        <f>(AT103-AQ103*AV102)/(AR103-AQ103*AU102)</f>
        <v/>
      </c>
      <c r="AW103" s="16">
        <f>AV103-AU103*AW104</f>
        <v/>
      </c>
      <c r="AX103" s="9">
        <f>IF(13&gt;$B$6+$B$7,$G$13*$B$11^$H$13,$E$13*$B$9^$F$13)</f>
        <v/>
      </c>
      <c r="AY103" s="9">
        <f>IF(13=1,0,$B$14)</f>
        <v/>
      </c>
      <c r="AZ103" s="9">
        <f>-($B$14+(IF(13&lt;=$B$6,$B$13*$B$15+$B$12,IF(13&lt;=$B$6+$B$7,$B$13*$B$15,$B$13)))/AX103)</f>
        <v/>
      </c>
      <c r="BA103" s="9">
        <f>IF(13=$B$6+$B$7,0,IF(13&gt;$B$6+$B$7,$B$13/AX104,IF(13&gt;=$B$6,$B$13*$B$15/AX104,($B$13*$B$15+$B$12)/AX104)))</f>
        <v/>
      </c>
      <c r="BB103" s="9">
        <f>IF(13=$B$6,-$K$13*$B$12,0)</f>
        <v/>
      </c>
      <c r="BC103" s="9">
        <f>BA103/(AZ103-AY103*BC102)</f>
        <v/>
      </c>
      <c r="BD103" s="9">
        <f>(BB103-AY103*BD102)/(AZ103-AY103*BC102)</f>
        <v/>
      </c>
      <c r="BE103" s="16">
        <f>BD103-BC103*BE104</f>
        <v/>
      </c>
      <c r="BF103" s="9">
        <f>IF(13&gt;$B$6+$B$7,$G$14*$B$11^$H$14,$E$14*$B$9^$F$14)</f>
        <v/>
      </c>
      <c r="BG103" s="9">
        <f>IF(13=1,0,$B$14)</f>
        <v/>
      </c>
      <c r="BH103" s="9">
        <f>-($B$14+(IF(13&lt;=$B$6,$B$13*$B$15+$B$12,IF(13&lt;=$B$6+$B$7,$B$13*$B$15,$B$13)))/BF103)</f>
        <v/>
      </c>
      <c r="BI103" s="9">
        <f>IF(13=$B$6+$B$7,0,IF(13&gt;$B$6+$B$7,$B$13/BF104,IF(13&gt;=$B$6,$B$13*$B$15/BF104,($B$13*$B$15+$B$12)/BF104)))</f>
        <v/>
      </c>
      <c r="BJ103" s="9">
        <f>IF(13=$B$6,-$K$14*$B$12,0)</f>
        <v/>
      </c>
      <c r="BK103" s="9">
        <f>BI103/(BH103-BG103*BK102)</f>
        <v/>
      </c>
      <c r="BL103" s="9">
        <f>(BJ103-BG103*BL102)/(BH103-BG103*BK102)</f>
        <v/>
      </c>
      <c r="BM103" s="16">
        <f>BL103-BK103*BM104</f>
        <v/>
      </c>
      <c r="BN103" s="9">
        <f>IF(13&gt;$B$6+$B$7,$G$15*$B$11^$H$15,$E$15*$B$9^$F$15)</f>
        <v/>
      </c>
      <c r="BO103" s="9">
        <f>IF(13=1,0,$B$14)</f>
        <v/>
      </c>
      <c r="BP103" s="9">
        <f>-($B$14+(IF(13&lt;=$B$6,$B$13*$B$15+$B$12,IF(13&lt;=$B$6+$B$7,$B$13*$B$15,$B$13)))/BN103)</f>
        <v/>
      </c>
      <c r="BQ103" s="9">
        <f>IF(13=$B$6+$B$7,0,IF(13&gt;$B$6+$B$7,$B$13/BN104,IF(13&gt;=$B$6,$B$13*$B$15/BN104,($B$13*$B$15+$B$12)/BN104)))</f>
        <v/>
      </c>
      <c r="BR103" s="9">
        <f>IF(13=$B$6,-$K$15*$B$12,0)</f>
        <v/>
      </c>
      <c r="BS103" s="9">
        <f>BQ103/(BP103-BO103*BS102)</f>
        <v/>
      </c>
      <c r="BT103" s="9">
        <f>(BR103-BO103*BT102)/(BP103-BO103*BS102)</f>
        <v/>
      </c>
      <c r="BU103" s="16">
        <f>BT103-BS103*BU104</f>
        <v/>
      </c>
      <c r="BV103" s="9">
        <f>IF(13&gt;$B$6+$B$7,$G$16*$B$11^$H$16,$E$16*$B$9^$F$16)</f>
        <v/>
      </c>
      <c r="BW103" s="9">
        <f>IF(13=1,0,$B$14)</f>
        <v/>
      </c>
      <c r="BX103" s="9">
        <f>-($B$14+(IF(13&lt;=$B$6,$B$13*$B$15+$B$12,IF(13&lt;=$B$6+$B$7,$B$13*$B$15,$B$13)))/BV103)</f>
        <v/>
      </c>
      <c r="BY103" s="9">
        <f>IF(13=$B$6+$B$7,0,IF(13&gt;$B$6+$B$7,$B$13/BV104,IF(13&gt;=$B$6,$B$13*$B$15/BV104,($B$13*$B$15+$B$12)/BV104)))</f>
        <v/>
      </c>
      <c r="BZ103" s="9">
        <f>IF(13=$B$6,-$K$16*$B$12,0)</f>
        <v/>
      </c>
      <c r="CA103" s="9">
        <f>BY103/(BX103-BW103*CA102)</f>
        <v/>
      </c>
      <c r="CB103" s="9">
        <f>(BZ103-BW103*CB102)/(BX103-BW103*CA102)</f>
        <v/>
      </c>
      <c r="CC103" s="16">
        <f>CB103-CA103*CC104</f>
        <v/>
      </c>
      <c r="CD103" s="9">
        <f>IF(13&gt;$B$6+$B$7,$G$17*$B$11^$H$17,$E$17*$B$9^$F$17)</f>
        <v/>
      </c>
      <c r="CE103" s="9">
        <f>IF(13=1,0,$B$14)</f>
        <v/>
      </c>
      <c r="CF103" s="9">
        <f>-($B$14+(IF(13&lt;=$B$6,$B$13*$B$15+$B$12,IF(13&lt;=$B$6+$B$7,$B$13*$B$15,$B$13)))/CD103)</f>
        <v/>
      </c>
      <c r="CG103" s="9">
        <f>IF(13=$B$6+$B$7,0,IF(13&gt;$B$6+$B$7,$B$13/CD104,IF(13&gt;=$B$6,$B$13*$B$15/CD104,($B$13*$B$15+$B$12)/CD104)))</f>
        <v/>
      </c>
      <c r="CH103" s="9">
        <f>IF(13=$B$6,-$K$17*$B$12,0)</f>
        <v/>
      </c>
      <c r="CI103" s="9">
        <f>CG103/(CF103-CE103*CI102)</f>
        <v/>
      </c>
      <c r="CJ103" s="9">
        <f>(CH103-CE103*CJ102)/(CF103-CE103*CI102)</f>
        <v/>
      </c>
      <c r="CK103" s="16">
        <f>CJ103-CI103*CK104</f>
        <v/>
      </c>
      <c r="CL103" s="9">
        <f>IF(13&gt;$B$6+$B$7,$G$18*$B$11^$H$18,$E$18*$B$9^$F$18)</f>
        <v/>
      </c>
      <c r="CM103" s="9">
        <f>IF(13=1,0,$B$14)</f>
        <v/>
      </c>
      <c r="CN103" s="9">
        <f>-($B$14+(IF(13&lt;=$B$6,$B$13*$B$15+$B$12,IF(13&lt;=$B$6+$B$7,$B$13*$B$15,$B$13)))/CL103)</f>
        <v/>
      </c>
      <c r="CO103" s="9">
        <f>IF(13=$B$6+$B$7,0,IF(13&gt;$B$6+$B$7,$B$13/CL104,IF(13&gt;=$B$6,$B$13*$B$15/CL104,($B$13*$B$15+$B$12)/CL104)))</f>
        <v/>
      </c>
      <c r="CP103" s="9">
        <f>IF(13=$B$6,-$K$18*$B$12,0)</f>
        <v/>
      </c>
      <c r="CQ103" s="9">
        <f>CO103/(CN103-CM103*CQ102)</f>
        <v/>
      </c>
      <c r="CR103" s="9">
        <f>(CP103-CM103*CR102)/(CN103-CM103*CQ102)</f>
        <v/>
      </c>
      <c r="CS103" s="16">
        <f>CR103-CQ103*CS104</f>
        <v/>
      </c>
      <c r="CT103" s="9">
        <f>IF(13&gt;$B$6+$B$7,$G$19*$B$11^$H$19,$E$19*$B$9^$F$19)</f>
        <v/>
      </c>
      <c r="CU103" s="9">
        <f>IF(13=1,0,$B$14)</f>
        <v/>
      </c>
      <c r="CV103" s="9">
        <f>-($B$14+(IF(13&lt;=$B$6,$B$13*$B$15+$B$12,IF(13&lt;=$B$6+$B$7,$B$13*$B$15,$B$13)))/CT103)</f>
        <v/>
      </c>
      <c r="CW103" s="9">
        <f>IF(13=$B$6+$B$7,0,IF(13&gt;$B$6+$B$7,$B$13/CT104,IF(13&gt;=$B$6,$B$13*$B$15/CT104,($B$13*$B$15+$B$12)/CT104)))</f>
        <v/>
      </c>
      <c r="CX103" s="9">
        <f>IF(13=$B$6,-$K$19*$B$12,0)</f>
        <v/>
      </c>
      <c r="CY103" s="9">
        <f>CW103/(CV103-CU103*CY102)</f>
        <v/>
      </c>
      <c r="CZ103" s="9">
        <f>(CX103-CU103*CZ102)/(CV103-CU103*CY102)</f>
        <v/>
      </c>
      <c r="DA103" s="16">
        <f>CZ103-CY103*DA104</f>
        <v/>
      </c>
      <c r="DB103" s="9">
        <f>IF(13&gt;$B$6+$B$7,$G$20*$B$11^$H$20,$E$20*$B$9^$F$20)</f>
        <v/>
      </c>
      <c r="DC103" s="9">
        <f>IF(13=1,0,$B$14)</f>
        <v/>
      </c>
      <c r="DD103" s="9">
        <f>-($B$14+(IF(13&lt;=$B$6,$B$13*$B$15+$B$12,IF(13&lt;=$B$6+$B$7,$B$13*$B$15,$B$13)))/DB103)</f>
        <v/>
      </c>
      <c r="DE103" s="9">
        <f>IF(13=$B$6+$B$7,0,IF(13&gt;$B$6+$B$7,$B$13/DB104,IF(13&gt;=$B$6,$B$13*$B$15/DB104,($B$13*$B$15+$B$12)/DB104)))</f>
        <v/>
      </c>
      <c r="DF103" s="9">
        <f>IF(13=$B$6,-$K$20*$B$12,0)</f>
        <v/>
      </c>
      <c r="DG103" s="9">
        <f>DE103/(DD103-DC103*DG102)</f>
        <v/>
      </c>
      <c r="DH103" s="9">
        <f>(DF103-DC103*DH102)/(DD103-DC103*DG102)</f>
        <v/>
      </c>
      <c r="DI103" s="16">
        <f>DH103-DG103*DI104</f>
        <v/>
      </c>
      <c r="DJ103" s="9">
        <f>IF(13&gt;$B$6+$B$7,$G$21*$B$11^$H$21,$E$21*$B$9^$F$21)</f>
        <v/>
      </c>
      <c r="DK103" s="9">
        <f>IF(13=1,0,$B$14)</f>
        <v/>
      </c>
      <c r="DL103" s="9">
        <f>-($B$14+(IF(13&lt;=$B$6,$B$13*$B$15+$B$12,IF(13&lt;=$B$6+$B$7,$B$13*$B$15,$B$13)))/DJ103)</f>
        <v/>
      </c>
      <c r="DM103" s="9">
        <f>IF(13=$B$6+$B$7,0,IF(13&gt;$B$6+$B$7,$B$13/DJ104,IF(13&gt;=$B$6,$B$13*$B$15/DJ104,($B$13*$B$15+$B$12)/DJ104)))</f>
        <v/>
      </c>
      <c r="DN103" s="9">
        <f>IF(13=$B$6,-$K$21*$B$12,0)</f>
        <v/>
      </c>
      <c r="DO103" s="9">
        <f>DM103/(DL103-DK103*DO102)</f>
        <v/>
      </c>
      <c r="DP103" s="9">
        <f>(DN103-DK103*DP102)/(DL103-DK103*DO102)</f>
        <v/>
      </c>
      <c r="DQ103" s="16">
        <f>DP103-DO103*DQ104</f>
        <v/>
      </c>
      <c r="DR103" s="9">
        <f>IF(13&gt;$B$6+$B$7,$G$22*$B$11^$H$22,$E$22*$B$9^$F$22)</f>
        <v/>
      </c>
      <c r="DS103" s="9">
        <f>IF(13=1,0,$B$14)</f>
        <v/>
      </c>
      <c r="DT103" s="9">
        <f>-($B$14+(IF(13&lt;=$B$6,$B$13*$B$15+$B$12,IF(13&lt;=$B$6+$B$7,$B$13*$B$15,$B$13)))/DR103)</f>
        <v/>
      </c>
      <c r="DU103" s="9">
        <f>IF(13=$B$6+$B$7,0,IF(13&gt;$B$6+$B$7,$B$13/DR104,IF(13&gt;=$B$6,$B$13*$B$15/DR104,($B$13*$B$15+$B$12)/DR104)))</f>
        <v/>
      </c>
      <c r="DV103" s="9">
        <f>IF(13=$B$6,-$K$22*$B$12,0)</f>
        <v/>
      </c>
      <c r="DW103" s="9">
        <f>DU103/(DT103-DS103*DW102)</f>
        <v/>
      </c>
      <c r="DX103" s="9">
        <f>(DV103-DS103*DX102)/(DT103-DS103*DW102)</f>
        <v/>
      </c>
      <c r="DY103" s="16">
        <f>DX103-DW103*DY104</f>
        <v/>
      </c>
      <c r="DZ103" s="9">
        <f>IF(13&gt;$B$6+$B$7,$G$23*$B$11^$H$23,$E$23*$B$9^$F$23)</f>
        <v/>
      </c>
      <c r="EA103" s="9">
        <f>IF(13=1,0,$B$14)</f>
        <v/>
      </c>
      <c r="EB103" s="9">
        <f>-($B$14+(IF(13&lt;=$B$6,$B$13*$B$15+$B$12,IF(13&lt;=$B$6+$B$7,$B$13*$B$15,$B$13)))/DZ103)</f>
        <v/>
      </c>
      <c r="EC103" s="9">
        <f>IF(13=$B$6+$B$7,0,IF(13&gt;$B$6+$B$7,$B$13/DZ104,IF(13&gt;=$B$6,$B$13*$B$15/DZ104,($B$13*$B$15+$B$12)/DZ104)))</f>
        <v/>
      </c>
      <c r="ED103" s="9">
        <f>IF(13=$B$6,-$K$23*$B$12,0)</f>
        <v/>
      </c>
      <c r="EE103" s="9">
        <f>EC103/(EB103-EA103*EE102)</f>
        <v/>
      </c>
      <c r="EF103" s="9">
        <f>(ED103-EA103*EF102)/(EB103-EA103*EE102)</f>
        <v/>
      </c>
      <c r="EG103" s="16">
        <f>EF103-EE103*EG104</f>
        <v/>
      </c>
      <c r="EH103" s="9">
        <f>IF(13&gt;$B$6+$B$7,$G$24*$B$11^$H$24,$E$24*$B$9^$F$24)</f>
        <v/>
      </c>
      <c r="EI103" s="9">
        <f>IF(13=1,0,$B$14)</f>
        <v/>
      </c>
      <c r="EJ103" s="9">
        <f>-($B$14+(IF(13&lt;=$B$6,$B$13*$B$15+$B$12,IF(13&lt;=$B$6+$B$7,$B$13*$B$15,$B$13)))/EH103)</f>
        <v/>
      </c>
      <c r="EK103" s="9">
        <f>IF(13=$B$6+$B$7,0,IF(13&gt;$B$6+$B$7,$B$13/EH104,IF(13&gt;=$B$6,$B$13*$B$15/EH104,($B$13*$B$15+$B$12)/EH104)))</f>
        <v/>
      </c>
      <c r="EL103" s="9">
        <f>IF(13=$B$6,-$K$24*$B$12,0)</f>
        <v/>
      </c>
      <c r="EM103" s="9">
        <f>EK103/(EJ103-EI103*EM102)</f>
        <v/>
      </c>
      <c r="EN103" s="9">
        <f>(EL103-EI103*EN102)/(EJ103-EI103*EM102)</f>
        <v/>
      </c>
      <c r="EO103" s="16">
        <f>EN103-EM103*EO104</f>
        <v/>
      </c>
      <c r="EP103" s="9">
        <f>IF(13&gt;$B$6+$B$7,$G$25*$B$11^$H$25,$E$25*$B$9^$F$25)</f>
        <v/>
      </c>
      <c r="EQ103" s="9">
        <f>IF(13=1,0,$B$14)</f>
        <v/>
      </c>
      <c r="ER103" s="9">
        <f>-($B$14+(IF(13&lt;=$B$6,$B$13*$B$15+$B$12,IF(13&lt;=$B$6+$B$7,$B$13*$B$15,$B$13)))/EP103)</f>
        <v/>
      </c>
      <c r="ES103" s="9">
        <f>IF(13=$B$6+$B$7,0,IF(13&gt;$B$6+$B$7,$B$13/EP104,IF(13&gt;=$B$6,$B$13*$B$15/EP104,($B$13*$B$15+$B$12)/EP104)))</f>
        <v/>
      </c>
      <c r="ET103" s="9">
        <f>IF(13=$B$6,-$K$25*$B$12,0)</f>
        <v/>
      </c>
      <c r="EU103" s="9">
        <f>ES103/(ER103-EQ103*EU102)</f>
        <v/>
      </c>
      <c r="EV103" s="9">
        <f>(ET103-EQ103*EV102)/(ER103-EQ103*EU102)</f>
        <v/>
      </c>
      <c r="EW103" s="16">
        <f>EV103-EU103*EW104</f>
        <v/>
      </c>
      <c r="EX103" s="9">
        <f>IF(13&gt;$B$6+$B$7,$G$26*$B$11^$H$26,$E$26*$B$9^$F$26)</f>
        <v/>
      </c>
      <c r="EY103" s="9">
        <f>IF(13=1,0,$B$14)</f>
        <v/>
      </c>
      <c r="EZ103" s="9">
        <f>-($B$14+(IF(13&lt;=$B$6,$B$13*$B$15+$B$12,IF(13&lt;=$B$6+$B$7,$B$13*$B$15,$B$13)))/EX103)</f>
        <v/>
      </c>
      <c r="FA103" s="9">
        <f>IF(13=$B$6+$B$7,0,IF(13&gt;$B$6+$B$7,$B$13/EX104,IF(13&gt;=$B$6,$B$13*$B$15/EX104,($B$13*$B$15+$B$12)/EX104)))</f>
        <v/>
      </c>
      <c r="FB103" s="9">
        <f>IF(13=$B$6,-$K$26*$B$12,0)</f>
        <v/>
      </c>
      <c r="FC103" s="9">
        <f>FA103/(EZ103-EY103*FC102)</f>
        <v/>
      </c>
      <c r="FD103" s="9">
        <f>(FB103-EY103*FD102)/(EZ103-EY103*FC102)</f>
        <v/>
      </c>
      <c r="FE103" s="16">
        <f>FD103-FC103*FE104</f>
        <v/>
      </c>
      <c r="FF103" s="9">
        <f>IF(13&gt;$B$6+$B$7,$G$27*$B$11^$H$27,$E$27*$B$9^$F$27)</f>
        <v/>
      </c>
      <c r="FG103" s="9">
        <f>IF(13=1,0,$B$14)</f>
        <v/>
      </c>
      <c r="FH103" s="9">
        <f>-($B$14+(IF(13&lt;=$B$6,$B$13*$B$15+$B$12,IF(13&lt;=$B$6+$B$7,$B$13*$B$15,$B$13)))/FF103)</f>
        <v/>
      </c>
      <c r="FI103" s="9">
        <f>IF(13=$B$6+$B$7,0,IF(13&gt;$B$6+$B$7,$B$13/FF104,IF(13&gt;=$B$6,$B$13*$B$15/FF104,($B$13*$B$15+$B$12)/FF104)))</f>
        <v/>
      </c>
      <c r="FJ103" s="9">
        <f>IF(13=$B$6,-$K$27*$B$12,0)</f>
        <v/>
      </c>
      <c r="FK103" s="9">
        <f>FI103/(FH103-FG103*FK102)</f>
        <v/>
      </c>
      <c r="FL103" s="9">
        <f>(FJ103-FG103*FL102)/(FH103-FG103*FK102)</f>
        <v/>
      </c>
      <c r="FM103" s="16">
        <f>FL103-FK103*FM104</f>
        <v/>
      </c>
      <c r="FN103" s="9">
        <f>IF(13&gt;$B$6+$B$7,$G$28*$B$11^$H$28,$E$28*$B$9^$F$28)</f>
        <v/>
      </c>
      <c r="FO103" s="9">
        <f>IF(13=1,0,$B$14)</f>
        <v/>
      </c>
      <c r="FP103" s="9">
        <f>-($B$14+(IF(13&lt;=$B$6,$B$13*$B$15+$B$12,IF(13&lt;=$B$6+$B$7,$B$13*$B$15,$B$13)))/FN103)</f>
        <v/>
      </c>
      <c r="FQ103" s="9">
        <f>IF(13=$B$6+$B$7,0,IF(13&gt;$B$6+$B$7,$B$13/FN104,IF(13&gt;=$B$6,$B$13*$B$15/FN104,($B$13*$B$15+$B$12)/FN104)))</f>
        <v/>
      </c>
      <c r="FR103" s="9">
        <f>IF(13=$B$6,-$K$28*$B$12,0)</f>
        <v/>
      </c>
      <c r="FS103" s="9">
        <f>FQ103/(FP103-FO103*FS102)</f>
        <v/>
      </c>
      <c r="FT103" s="9">
        <f>(FR103-FO103*FT102)/(FP103-FO103*FS102)</f>
        <v/>
      </c>
      <c r="FU103" s="16">
        <f>FT103-FS103*FU104</f>
        <v/>
      </c>
      <c r="FV103" s="9">
        <f>IF(13&gt;$B$6+$B$7,$G$29*$B$11^$H$29,$E$29*$B$9^$F$29)</f>
        <v/>
      </c>
      <c r="FW103" s="9">
        <f>IF(13=1,0,$B$14)</f>
        <v/>
      </c>
      <c r="FX103" s="9">
        <f>-($B$14+(IF(13&lt;=$B$6,$B$13*$B$15+$B$12,IF(13&lt;=$B$6+$B$7,$B$13*$B$15,$B$13)))/FV103)</f>
        <v/>
      </c>
      <c r="FY103" s="9">
        <f>IF(13=$B$6+$B$7,0,IF(13&gt;$B$6+$B$7,$B$13/FV104,IF(13&gt;=$B$6,$B$13*$B$15/FV104,($B$13*$B$15+$B$12)/FV104)))</f>
        <v/>
      </c>
      <c r="FZ103" s="9">
        <f>IF(13=$B$6,-$K$29*$B$12,0)</f>
        <v/>
      </c>
      <c r="GA103" s="9">
        <f>FY103/(FX103-FW103*GA102)</f>
        <v/>
      </c>
      <c r="GB103" s="9">
        <f>(FZ103-FW103*GB102)/(FX103-FW103*GA102)</f>
        <v/>
      </c>
      <c r="GC103" s="16">
        <f>GB103-GA103*GC104</f>
        <v/>
      </c>
      <c r="GD103" s="9">
        <f>IF(13&gt;$B$6+$B$7,$G$30*$B$11^$H$30,$E$30*$B$9^$F$30)</f>
        <v/>
      </c>
      <c r="GE103" s="9">
        <f>IF(13=1,0,$B$14)</f>
        <v/>
      </c>
      <c r="GF103" s="9">
        <f>-($B$14+(IF(13&lt;=$B$6,$B$13*$B$15+$B$12,IF(13&lt;=$B$6+$B$7,$B$13*$B$15,$B$13)))/GD103)</f>
        <v/>
      </c>
      <c r="GG103" s="9">
        <f>IF(13=$B$6+$B$7,0,IF(13&gt;$B$6+$B$7,$B$13/GD104,IF(13&gt;=$B$6,$B$13*$B$15/GD104,($B$13*$B$15+$B$12)/GD104)))</f>
        <v/>
      </c>
      <c r="GH103" s="9">
        <f>IF(13=$B$6,-$K$30*$B$12,0)</f>
        <v/>
      </c>
      <c r="GI103" s="9">
        <f>GG103/(GF103-GE103*GI102)</f>
        <v/>
      </c>
      <c r="GJ103" s="9">
        <f>(GH103-GE103*GJ102)/(GF103-GE103*GI102)</f>
        <v/>
      </c>
      <c r="GK103" s="16">
        <f>GJ103-GI103*GK104</f>
        <v/>
      </c>
      <c r="GL103" s="9">
        <f>IF(13&gt;$B$6+$B$7,$G$31*$B$11^$H$31,$E$31*$B$9^$F$31)</f>
        <v/>
      </c>
      <c r="GM103" s="9">
        <f>IF(13=1,0,$B$14)</f>
        <v/>
      </c>
      <c r="GN103" s="9">
        <f>-($B$14+(IF(13&lt;=$B$6,$B$13*$B$15+$B$12,IF(13&lt;=$B$6+$B$7,$B$13*$B$15,$B$13)))/GL103)</f>
        <v/>
      </c>
      <c r="GO103" s="9">
        <f>IF(13=$B$6+$B$7,0,IF(13&gt;$B$6+$B$7,$B$13/GL104,IF(13&gt;=$B$6,$B$13*$B$15/GL104,($B$13*$B$15+$B$12)/GL104)))</f>
        <v/>
      </c>
      <c r="GP103" s="9">
        <f>IF(13=$B$6,-$K$31*$B$12,0)</f>
        <v/>
      </c>
      <c r="GQ103" s="9">
        <f>GO103/(GN103-GM103*GQ102)</f>
        <v/>
      </c>
      <c r="GR103" s="9">
        <f>(GP103-GM103*GR102)/(GN103-GM103*GQ102)</f>
        <v/>
      </c>
      <c r="GS103" s="16">
        <f>GR103-GQ103*GS104</f>
        <v/>
      </c>
      <c r="GT103" s="9">
        <f>IF(13&gt;$B$6+$B$7,$G$32*$B$11^$H$32,$E$32*$B$9^$F$32)</f>
        <v/>
      </c>
      <c r="GU103" s="9">
        <f>IF(13=1,0,$B$14)</f>
        <v/>
      </c>
      <c r="GV103" s="9">
        <f>-($B$14+(IF(13&lt;=$B$6,$B$13*$B$15+$B$12,IF(13&lt;=$B$6+$B$7,$B$13*$B$15,$B$13)))/GT103)</f>
        <v/>
      </c>
      <c r="GW103" s="9">
        <f>IF(13=$B$6+$B$7,0,IF(13&gt;$B$6+$B$7,$B$13/GT104,IF(13&gt;=$B$6,$B$13*$B$15/GT104,($B$13*$B$15+$B$12)/GT104)))</f>
        <v/>
      </c>
      <c r="GX103" s="9">
        <f>IF(13=$B$6,-$K$32*$B$12,0)</f>
        <v/>
      </c>
      <c r="GY103" s="9">
        <f>GW103/(GV103-GU103*GY102)</f>
        <v/>
      </c>
      <c r="GZ103" s="9">
        <f>(GX103-GU103*GZ102)/(GV103-GU103*GY102)</f>
        <v/>
      </c>
      <c r="HA103" s="16">
        <f>GZ103-GY103*HA104</f>
        <v/>
      </c>
      <c r="HB103" s="12">
        <f>IFERROR(I103/B103,0)</f>
        <v/>
      </c>
      <c r="HC103" s="12">
        <f>IFERROR(Q103/J103,0)</f>
        <v/>
      </c>
      <c r="HD103" s="12">
        <f>IFERROR(Y103/R103,0)</f>
        <v/>
      </c>
      <c r="HE103" s="12">
        <f>IFERROR(AG103/Z103,0)</f>
        <v/>
      </c>
      <c r="HF103" s="12">
        <f>IFERROR(AO103/AH103,0)</f>
        <v/>
      </c>
      <c r="HG103" s="12">
        <f>IFERROR(AW103/AP103,0)</f>
        <v/>
      </c>
      <c r="HH103" s="12">
        <f>IFERROR(BE103/AX103,0)</f>
        <v/>
      </c>
      <c r="HI103" s="12">
        <f>IFERROR(BM103/BF103,0)</f>
        <v/>
      </c>
      <c r="HJ103" s="12">
        <f>IFERROR(BU103/BN103,0)</f>
        <v/>
      </c>
      <c r="HK103" s="12">
        <f>IFERROR(CC103/BV103,0)</f>
        <v/>
      </c>
      <c r="HL103" s="12">
        <f>IFERROR(CK103/CD103,0)</f>
        <v/>
      </c>
      <c r="HM103" s="12">
        <f>IFERROR(CS103/CL103,0)</f>
        <v/>
      </c>
      <c r="HN103" s="12">
        <f>IFERROR(DA103/CT103,0)</f>
        <v/>
      </c>
      <c r="HO103" s="12">
        <f>IFERROR(DI103/DB103,0)</f>
        <v/>
      </c>
      <c r="HP103" s="12">
        <f>IFERROR(DQ103/DJ103,0)</f>
        <v/>
      </c>
      <c r="HQ103" s="12">
        <f>IFERROR(DY103/DR103,0)</f>
        <v/>
      </c>
      <c r="HR103" s="12">
        <f>IFERROR(EG103/DZ103,0)</f>
        <v/>
      </c>
      <c r="HS103" s="12">
        <f>IFERROR(EO103/EH103,0)</f>
        <v/>
      </c>
      <c r="HT103" s="12">
        <f>IFERROR(EW103/EP103,0)</f>
        <v/>
      </c>
      <c r="HU103" s="12">
        <f>IFERROR(FE103/EX103,0)</f>
        <v/>
      </c>
      <c r="HV103" s="12">
        <f>IFERROR(FM103/FF103,0)</f>
        <v/>
      </c>
      <c r="HW103" s="12">
        <f>IFERROR(FU103/FN103,0)</f>
        <v/>
      </c>
      <c r="HX103" s="12">
        <f>IFERROR(GC103/FV103,0)</f>
        <v/>
      </c>
      <c r="HY103" s="12">
        <f>IFERROR(GK103/GD103,0)</f>
        <v/>
      </c>
      <c r="HZ103" s="12">
        <f>IFERROR(GS103/GL103,0)</f>
        <v/>
      </c>
      <c r="IA103" s="12">
        <f>IFERROR(HA103/GT103,0)</f>
        <v/>
      </c>
      <c r="IB103" s="12">
        <f>I103+Q103+Y103+AG103+AO103+AW103+BE103+BM103+BU103+CC103+CK103+CS103+DA103+DI103+DQ103+DY103+EG103+EO103+EW103+FE103+FM103+FU103+GC103+GK103+GS103+HA103</f>
        <v/>
      </c>
      <c r="IC103" s="12">
        <f>HB103+HC103+HD103+HE103+HF103+HG103+HH103+HI103+HJ103+HK103+HL103+HM103+HN103+HO103+HP103+HQ103+HR103+HS103+HT103+HU103+HV103+HW103+HX103+HY103+HZ103+IA103</f>
        <v/>
      </c>
    </row>
    <row r="104" ht="14" customHeight="1">
      <c r="A104" s="29" t="n">
        <v>14</v>
      </c>
      <c r="B104" s="9">
        <f>IF(14&gt;$B$6+$B$7,$G$7*$B$11^$H$7,$E$7*$B$9^$F$7)</f>
        <v/>
      </c>
      <c r="C104" s="9">
        <f>IF(14=1,0,$B$14)</f>
        <v/>
      </c>
      <c r="D104" s="9">
        <f>-($B$14+(IF(14&lt;=$B$6,$B$13*$B$15+$B$12,IF(14&lt;=$B$6+$B$7,$B$13*$B$15,$B$13)))/B104)</f>
        <v/>
      </c>
      <c r="E104" s="9">
        <f>IF(14=$B$6+$B$7,0,IF(14&gt;$B$6+$B$7,$B$13/B105,IF(14&gt;=$B$6,$B$13*$B$15/B105,($B$13*$B$15+$B$12)/B105)))</f>
        <v/>
      </c>
      <c r="F104" s="9">
        <f>IF(14=$B$6,-$K$7*$B$12,0)</f>
        <v/>
      </c>
      <c r="G104" s="9">
        <f>E104/(D104-C104*G103)</f>
        <v/>
      </c>
      <c r="H104" s="9">
        <f>(F104-C104*H103)/(D104-C104*G103)</f>
        <v/>
      </c>
      <c r="I104" s="16">
        <f>H104-G104*I105</f>
        <v/>
      </c>
      <c r="J104" s="9">
        <f>IF(14&gt;$B$6+$B$7,$G$8*$B$11^$H$8,$E$8*$B$9^$F$8)</f>
        <v/>
      </c>
      <c r="K104" s="9">
        <f>IF(14=1,0,$B$14)</f>
        <v/>
      </c>
      <c r="L104" s="9">
        <f>-($B$14+(IF(14&lt;=$B$6,$B$13*$B$15+$B$12,IF(14&lt;=$B$6+$B$7,$B$13*$B$15,$B$13)))/J104)</f>
        <v/>
      </c>
      <c r="M104" s="9">
        <f>IF(14=$B$6+$B$7,0,IF(14&gt;$B$6+$B$7,$B$13/J105,IF(14&gt;=$B$6,$B$13*$B$15/J105,($B$13*$B$15+$B$12)/J105)))</f>
        <v/>
      </c>
      <c r="N104" s="9">
        <f>IF(14=$B$6,-$K$8*$B$12,0)</f>
        <v/>
      </c>
      <c r="O104" s="9">
        <f>M104/(L104-K104*O103)</f>
        <v/>
      </c>
      <c r="P104" s="9">
        <f>(N104-K104*P103)/(L104-K104*O103)</f>
        <v/>
      </c>
      <c r="Q104" s="16">
        <f>P104-O104*Q105</f>
        <v/>
      </c>
      <c r="R104" s="9">
        <f>IF(14&gt;$B$6+$B$7,$G$9*$B$11^$H$9,$E$9*$B$9^$F$9)</f>
        <v/>
      </c>
      <c r="S104" s="9">
        <f>IF(14=1,0,$B$14)</f>
        <v/>
      </c>
      <c r="T104" s="9">
        <f>-($B$14+(IF(14&lt;=$B$6,$B$13*$B$15+$B$12,IF(14&lt;=$B$6+$B$7,$B$13*$B$15,$B$13)))/R104)</f>
        <v/>
      </c>
      <c r="U104" s="9">
        <f>IF(14=$B$6+$B$7,0,IF(14&gt;$B$6+$B$7,$B$13/R105,IF(14&gt;=$B$6,$B$13*$B$15/R105,($B$13*$B$15+$B$12)/R105)))</f>
        <v/>
      </c>
      <c r="V104" s="9">
        <f>IF(14=$B$6,-$K$9*$B$12,0)</f>
        <v/>
      </c>
      <c r="W104" s="9">
        <f>U104/(T104-S104*W103)</f>
        <v/>
      </c>
      <c r="X104" s="9">
        <f>(V104-S104*X103)/(T104-S104*W103)</f>
        <v/>
      </c>
      <c r="Y104" s="16">
        <f>X104-W104*Y105</f>
        <v/>
      </c>
      <c r="Z104" s="9">
        <f>IF(14&gt;$B$6+$B$7,$G$10*$B$11^$H$10,$E$10*$B$9^$F$10)</f>
        <v/>
      </c>
      <c r="AA104" s="9">
        <f>IF(14=1,0,$B$14)</f>
        <v/>
      </c>
      <c r="AB104" s="9">
        <f>-($B$14+(IF(14&lt;=$B$6,$B$13*$B$15+$B$12,IF(14&lt;=$B$6+$B$7,$B$13*$B$15,$B$13)))/Z104)</f>
        <v/>
      </c>
      <c r="AC104" s="9">
        <f>IF(14=$B$6+$B$7,0,IF(14&gt;$B$6+$B$7,$B$13/Z105,IF(14&gt;=$B$6,$B$13*$B$15/Z105,($B$13*$B$15+$B$12)/Z105)))</f>
        <v/>
      </c>
      <c r="AD104" s="9">
        <f>IF(14=$B$6,-$K$10*$B$12,0)</f>
        <v/>
      </c>
      <c r="AE104" s="9">
        <f>AC104/(AB104-AA104*AE103)</f>
        <v/>
      </c>
      <c r="AF104" s="9">
        <f>(AD104-AA104*AF103)/(AB104-AA104*AE103)</f>
        <v/>
      </c>
      <c r="AG104" s="16">
        <f>AF104-AE104*AG105</f>
        <v/>
      </c>
      <c r="AH104" s="9">
        <f>IF(14&gt;$B$6+$B$7,$G$11*$B$11^$H$11,$E$11*$B$9^$F$11)</f>
        <v/>
      </c>
      <c r="AI104" s="9">
        <f>IF(14=1,0,$B$14)</f>
        <v/>
      </c>
      <c r="AJ104" s="9">
        <f>-($B$14+(IF(14&lt;=$B$6,$B$13*$B$15+$B$12,IF(14&lt;=$B$6+$B$7,$B$13*$B$15,$B$13)))/AH104)</f>
        <v/>
      </c>
      <c r="AK104" s="9">
        <f>IF(14=$B$6+$B$7,0,IF(14&gt;$B$6+$B$7,$B$13/AH105,IF(14&gt;=$B$6,$B$13*$B$15/AH105,($B$13*$B$15+$B$12)/AH105)))</f>
        <v/>
      </c>
      <c r="AL104" s="9">
        <f>IF(14=$B$6,-$K$11*$B$12,0)</f>
        <v/>
      </c>
      <c r="AM104" s="9">
        <f>AK104/(AJ104-AI104*AM103)</f>
        <v/>
      </c>
      <c r="AN104" s="9">
        <f>(AL104-AI104*AN103)/(AJ104-AI104*AM103)</f>
        <v/>
      </c>
      <c r="AO104" s="16">
        <f>AN104-AM104*AO105</f>
        <v/>
      </c>
      <c r="AP104" s="9">
        <f>IF(14&gt;$B$6+$B$7,$G$12*$B$11^$H$12,$E$12*$B$9^$F$12)</f>
        <v/>
      </c>
      <c r="AQ104" s="9">
        <f>IF(14=1,0,$B$14)</f>
        <v/>
      </c>
      <c r="AR104" s="9">
        <f>-($B$14+(IF(14&lt;=$B$6,$B$13*$B$15+$B$12,IF(14&lt;=$B$6+$B$7,$B$13*$B$15,$B$13)))/AP104)</f>
        <v/>
      </c>
      <c r="AS104" s="9">
        <f>IF(14=$B$6+$B$7,0,IF(14&gt;$B$6+$B$7,$B$13/AP105,IF(14&gt;=$B$6,$B$13*$B$15/AP105,($B$13*$B$15+$B$12)/AP105)))</f>
        <v/>
      </c>
      <c r="AT104" s="9">
        <f>IF(14=$B$6,-$K$12*$B$12,0)</f>
        <v/>
      </c>
      <c r="AU104" s="9">
        <f>AS104/(AR104-AQ104*AU103)</f>
        <v/>
      </c>
      <c r="AV104" s="9">
        <f>(AT104-AQ104*AV103)/(AR104-AQ104*AU103)</f>
        <v/>
      </c>
      <c r="AW104" s="16">
        <f>AV104-AU104*AW105</f>
        <v/>
      </c>
      <c r="AX104" s="9">
        <f>IF(14&gt;$B$6+$B$7,$G$13*$B$11^$H$13,$E$13*$B$9^$F$13)</f>
        <v/>
      </c>
      <c r="AY104" s="9">
        <f>IF(14=1,0,$B$14)</f>
        <v/>
      </c>
      <c r="AZ104" s="9">
        <f>-($B$14+(IF(14&lt;=$B$6,$B$13*$B$15+$B$12,IF(14&lt;=$B$6+$B$7,$B$13*$B$15,$B$13)))/AX104)</f>
        <v/>
      </c>
      <c r="BA104" s="9">
        <f>IF(14=$B$6+$B$7,0,IF(14&gt;$B$6+$B$7,$B$13/AX105,IF(14&gt;=$B$6,$B$13*$B$15/AX105,($B$13*$B$15+$B$12)/AX105)))</f>
        <v/>
      </c>
      <c r="BB104" s="9">
        <f>IF(14=$B$6,-$K$13*$B$12,0)</f>
        <v/>
      </c>
      <c r="BC104" s="9">
        <f>BA104/(AZ104-AY104*BC103)</f>
        <v/>
      </c>
      <c r="BD104" s="9">
        <f>(BB104-AY104*BD103)/(AZ104-AY104*BC103)</f>
        <v/>
      </c>
      <c r="BE104" s="16">
        <f>BD104-BC104*BE105</f>
        <v/>
      </c>
      <c r="BF104" s="9">
        <f>IF(14&gt;$B$6+$B$7,$G$14*$B$11^$H$14,$E$14*$B$9^$F$14)</f>
        <v/>
      </c>
      <c r="BG104" s="9">
        <f>IF(14=1,0,$B$14)</f>
        <v/>
      </c>
      <c r="BH104" s="9">
        <f>-($B$14+(IF(14&lt;=$B$6,$B$13*$B$15+$B$12,IF(14&lt;=$B$6+$B$7,$B$13*$B$15,$B$13)))/BF104)</f>
        <v/>
      </c>
      <c r="BI104" s="9">
        <f>IF(14=$B$6+$B$7,0,IF(14&gt;$B$6+$B$7,$B$13/BF105,IF(14&gt;=$B$6,$B$13*$B$15/BF105,($B$13*$B$15+$B$12)/BF105)))</f>
        <v/>
      </c>
      <c r="BJ104" s="9">
        <f>IF(14=$B$6,-$K$14*$B$12,0)</f>
        <v/>
      </c>
      <c r="BK104" s="9">
        <f>BI104/(BH104-BG104*BK103)</f>
        <v/>
      </c>
      <c r="BL104" s="9">
        <f>(BJ104-BG104*BL103)/(BH104-BG104*BK103)</f>
        <v/>
      </c>
      <c r="BM104" s="16">
        <f>BL104-BK104*BM105</f>
        <v/>
      </c>
      <c r="BN104" s="9">
        <f>IF(14&gt;$B$6+$B$7,$G$15*$B$11^$H$15,$E$15*$B$9^$F$15)</f>
        <v/>
      </c>
      <c r="BO104" s="9">
        <f>IF(14=1,0,$B$14)</f>
        <v/>
      </c>
      <c r="BP104" s="9">
        <f>-($B$14+(IF(14&lt;=$B$6,$B$13*$B$15+$B$12,IF(14&lt;=$B$6+$B$7,$B$13*$B$15,$B$13)))/BN104)</f>
        <v/>
      </c>
      <c r="BQ104" s="9">
        <f>IF(14=$B$6+$B$7,0,IF(14&gt;$B$6+$B$7,$B$13/BN105,IF(14&gt;=$B$6,$B$13*$B$15/BN105,($B$13*$B$15+$B$12)/BN105)))</f>
        <v/>
      </c>
      <c r="BR104" s="9">
        <f>IF(14=$B$6,-$K$15*$B$12,0)</f>
        <v/>
      </c>
      <c r="BS104" s="9">
        <f>BQ104/(BP104-BO104*BS103)</f>
        <v/>
      </c>
      <c r="BT104" s="9">
        <f>(BR104-BO104*BT103)/(BP104-BO104*BS103)</f>
        <v/>
      </c>
      <c r="BU104" s="16">
        <f>BT104-BS104*BU105</f>
        <v/>
      </c>
      <c r="BV104" s="9">
        <f>IF(14&gt;$B$6+$B$7,$G$16*$B$11^$H$16,$E$16*$B$9^$F$16)</f>
        <v/>
      </c>
      <c r="BW104" s="9">
        <f>IF(14=1,0,$B$14)</f>
        <v/>
      </c>
      <c r="BX104" s="9">
        <f>-($B$14+(IF(14&lt;=$B$6,$B$13*$B$15+$B$12,IF(14&lt;=$B$6+$B$7,$B$13*$B$15,$B$13)))/BV104)</f>
        <v/>
      </c>
      <c r="BY104" s="9">
        <f>IF(14=$B$6+$B$7,0,IF(14&gt;$B$6+$B$7,$B$13/BV105,IF(14&gt;=$B$6,$B$13*$B$15/BV105,($B$13*$B$15+$B$12)/BV105)))</f>
        <v/>
      </c>
      <c r="BZ104" s="9">
        <f>IF(14=$B$6,-$K$16*$B$12,0)</f>
        <v/>
      </c>
      <c r="CA104" s="9">
        <f>BY104/(BX104-BW104*CA103)</f>
        <v/>
      </c>
      <c r="CB104" s="9">
        <f>(BZ104-BW104*CB103)/(BX104-BW104*CA103)</f>
        <v/>
      </c>
      <c r="CC104" s="16">
        <f>CB104-CA104*CC105</f>
        <v/>
      </c>
      <c r="CD104" s="9">
        <f>IF(14&gt;$B$6+$B$7,$G$17*$B$11^$H$17,$E$17*$B$9^$F$17)</f>
        <v/>
      </c>
      <c r="CE104" s="9">
        <f>IF(14=1,0,$B$14)</f>
        <v/>
      </c>
      <c r="CF104" s="9">
        <f>-($B$14+(IF(14&lt;=$B$6,$B$13*$B$15+$B$12,IF(14&lt;=$B$6+$B$7,$B$13*$B$15,$B$13)))/CD104)</f>
        <v/>
      </c>
      <c r="CG104" s="9">
        <f>IF(14=$B$6+$B$7,0,IF(14&gt;$B$6+$B$7,$B$13/CD105,IF(14&gt;=$B$6,$B$13*$B$15/CD105,($B$13*$B$15+$B$12)/CD105)))</f>
        <v/>
      </c>
      <c r="CH104" s="9">
        <f>IF(14=$B$6,-$K$17*$B$12,0)</f>
        <v/>
      </c>
      <c r="CI104" s="9">
        <f>CG104/(CF104-CE104*CI103)</f>
        <v/>
      </c>
      <c r="CJ104" s="9">
        <f>(CH104-CE104*CJ103)/(CF104-CE104*CI103)</f>
        <v/>
      </c>
      <c r="CK104" s="16">
        <f>CJ104-CI104*CK105</f>
        <v/>
      </c>
      <c r="CL104" s="9">
        <f>IF(14&gt;$B$6+$B$7,$G$18*$B$11^$H$18,$E$18*$B$9^$F$18)</f>
        <v/>
      </c>
      <c r="CM104" s="9">
        <f>IF(14=1,0,$B$14)</f>
        <v/>
      </c>
      <c r="CN104" s="9">
        <f>-($B$14+(IF(14&lt;=$B$6,$B$13*$B$15+$B$12,IF(14&lt;=$B$6+$B$7,$B$13*$B$15,$B$13)))/CL104)</f>
        <v/>
      </c>
      <c r="CO104" s="9">
        <f>IF(14=$B$6+$B$7,0,IF(14&gt;$B$6+$B$7,$B$13/CL105,IF(14&gt;=$B$6,$B$13*$B$15/CL105,($B$13*$B$15+$B$12)/CL105)))</f>
        <v/>
      </c>
      <c r="CP104" s="9">
        <f>IF(14=$B$6,-$K$18*$B$12,0)</f>
        <v/>
      </c>
      <c r="CQ104" s="9">
        <f>CO104/(CN104-CM104*CQ103)</f>
        <v/>
      </c>
      <c r="CR104" s="9">
        <f>(CP104-CM104*CR103)/(CN104-CM104*CQ103)</f>
        <v/>
      </c>
      <c r="CS104" s="16">
        <f>CR104-CQ104*CS105</f>
        <v/>
      </c>
      <c r="CT104" s="9">
        <f>IF(14&gt;$B$6+$B$7,$G$19*$B$11^$H$19,$E$19*$B$9^$F$19)</f>
        <v/>
      </c>
      <c r="CU104" s="9">
        <f>IF(14=1,0,$B$14)</f>
        <v/>
      </c>
      <c r="CV104" s="9">
        <f>-($B$14+(IF(14&lt;=$B$6,$B$13*$B$15+$B$12,IF(14&lt;=$B$6+$B$7,$B$13*$B$15,$B$13)))/CT104)</f>
        <v/>
      </c>
      <c r="CW104" s="9">
        <f>IF(14=$B$6+$B$7,0,IF(14&gt;$B$6+$B$7,$B$13/CT105,IF(14&gt;=$B$6,$B$13*$B$15/CT105,($B$13*$B$15+$B$12)/CT105)))</f>
        <v/>
      </c>
      <c r="CX104" s="9">
        <f>IF(14=$B$6,-$K$19*$B$12,0)</f>
        <v/>
      </c>
      <c r="CY104" s="9">
        <f>CW104/(CV104-CU104*CY103)</f>
        <v/>
      </c>
      <c r="CZ104" s="9">
        <f>(CX104-CU104*CZ103)/(CV104-CU104*CY103)</f>
        <v/>
      </c>
      <c r="DA104" s="16">
        <f>CZ104-CY104*DA105</f>
        <v/>
      </c>
      <c r="DB104" s="9">
        <f>IF(14&gt;$B$6+$B$7,$G$20*$B$11^$H$20,$E$20*$B$9^$F$20)</f>
        <v/>
      </c>
      <c r="DC104" s="9">
        <f>IF(14=1,0,$B$14)</f>
        <v/>
      </c>
      <c r="DD104" s="9">
        <f>-($B$14+(IF(14&lt;=$B$6,$B$13*$B$15+$B$12,IF(14&lt;=$B$6+$B$7,$B$13*$B$15,$B$13)))/DB104)</f>
        <v/>
      </c>
      <c r="DE104" s="9">
        <f>IF(14=$B$6+$B$7,0,IF(14&gt;$B$6+$B$7,$B$13/DB105,IF(14&gt;=$B$6,$B$13*$B$15/DB105,($B$13*$B$15+$B$12)/DB105)))</f>
        <v/>
      </c>
      <c r="DF104" s="9">
        <f>IF(14=$B$6,-$K$20*$B$12,0)</f>
        <v/>
      </c>
      <c r="DG104" s="9">
        <f>DE104/(DD104-DC104*DG103)</f>
        <v/>
      </c>
      <c r="DH104" s="9">
        <f>(DF104-DC104*DH103)/(DD104-DC104*DG103)</f>
        <v/>
      </c>
      <c r="DI104" s="16">
        <f>DH104-DG104*DI105</f>
        <v/>
      </c>
      <c r="DJ104" s="9">
        <f>IF(14&gt;$B$6+$B$7,$G$21*$B$11^$H$21,$E$21*$B$9^$F$21)</f>
        <v/>
      </c>
      <c r="DK104" s="9">
        <f>IF(14=1,0,$B$14)</f>
        <v/>
      </c>
      <c r="DL104" s="9">
        <f>-($B$14+(IF(14&lt;=$B$6,$B$13*$B$15+$B$12,IF(14&lt;=$B$6+$B$7,$B$13*$B$15,$B$13)))/DJ104)</f>
        <v/>
      </c>
      <c r="DM104" s="9">
        <f>IF(14=$B$6+$B$7,0,IF(14&gt;$B$6+$B$7,$B$13/DJ105,IF(14&gt;=$B$6,$B$13*$B$15/DJ105,($B$13*$B$15+$B$12)/DJ105)))</f>
        <v/>
      </c>
      <c r="DN104" s="9">
        <f>IF(14=$B$6,-$K$21*$B$12,0)</f>
        <v/>
      </c>
      <c r="DO104" s="9">
        <f>DM104/(DL104-DK104*DO103)</f>
        <v/>
      </c>
      <c r="DP104" s="9">
        <f>(DN104-DK104*DP103)/(DL104-DK104*DO103)</f>
        <v/>
      </c>
      <c r="DQ104" s="16">
        <f>DP104-DO104*DQ105</f>
        <v/>
      </c>
      <c r="DR104" s="9">
        <f>IF(14&gt;$B$6+$B$7,$G$22*$B$11^$H$22,$E$22*$B$9^$F$22)</f>
        <v/>
      </c>
      <c r="DS104" s="9">
        <f>IF(14=1,0,$B$14)</f>
        <v/>
      </c>
      <c r="DT104" s="9">
        <f>-($B$14+(IF(14&lt;=$B$6,$B$13*$B$15+$B$12,IF(14&lt;=$B$6+$B$7,$B$13*$B$15,$B$13)))/DR104)</f>
        <v/>
      </c>
      <c r="DU104" s="9">
        <f>IF(14=$B$6+$B$7,0,IF(14&gt;$B$6+$B$7,$B$13/DR105,IF(14&gt;=$B$6,$B$13*$B$15/DR105,($B$13*$B$15+$B$12)/DR105)))</f>
        <v/>
      </c>
      <c r="DV104" s="9">
        <f>IF(14=$B$6,-$K$22*$B$12,0)</f>
        <v/>
      </c>
      <c r="DW104" s="9">
        <f>DU104/(DT104-DS104*DW103)</f>
        <v/>
      </c>
      <c r="DX104" s="9">
        <f>(DV104-DS104*DX103)/(DT104-DS104*DW103)</f>
        <v/>
      </c>
      <c r="DY104" s="16">
        <f>DX104-DW104*DY105</f>
        <v/>
      </c>
      <c r="DZ104" s="9">
        <f>IF(14&gt;$B$6+$B$7,$G$23*$B$11^$H$23,$E$23*$B$9^$F$23)</f>
        <v/>
      </c>
      <c r="EA104" s="9">
        <f>IF(14=1,0,$B$14)</f>
        <v/>
      </c>
      <c r="EB104" s="9">
        <f>-($B$14+(IF(14&lt;=$B$6,$B$13*$B$15+$B$12,IF(14&lt;=$B$6+$B$7,$B$13*$B$15,$B$13)))/DZ104)</f>
        <v/>
      </c>
      <c r="EC104" s="9">
        <f>IF(14=$B$6+$B$7,0,IF(14&gt;$B$6+$B$7,$B$13/DZ105,IF(14&gt;=$B$6,$B$13*$B$15/DZ105,($B$13*$B$15+$B$12)/DZ105)))</f>
        <v/>
      </c>
      <c r="ED104" s="9">
        <f>IF(14=$B$6,-$K$23*$B$12,0)</f>
        <v/>
      </c>
      <c r="EE104" s="9">
        <f>EC104/(EB104-EA104*EE103)</f>
        <v/>
      </c>
      <c r="EF104" s="9">
        <f>(ED104-EA104*EF103)/(EB104-EA104*EE103)</f>
        <v/>
      </c>
      <c r="EG104" s="16">
        <f>EF104-EE104*EG105</f>
        <v/>
      </c>
      <c r="EH104" s="9">
        <f>IF(14&gt;$B$6+$B$7,$G$24*$B$11^$H$24,$E$24*$B$9^$F$24)</f>
        <v/>
      </c>
      <c r="EI104" s="9">
        <f>IF(14=1,0,$B$14)</f>
        <v/>
      </c>
      <c r="EJ104" s="9">
        <f>-($B$14+(IF(14&lt;=$B$6,$B$13*$B$15+$B$12,IF(14&lt;=$B$6+$B$7,$B$13*$B$15,$B$13)))/EH104)</f>
        <v/>
      </c>
      <c r="EK104" s="9">
        <f>IF(14=$B$6+$B$7,0,IF(14&gt;$B$6+$B$7,$B$13/EH105,IF(14&gt;=$B$6,$B$13*$B$15/EH105,($B$13*$B$15+$B$12)/EH105)))</f>
        <v/>
      </c>
      <c r="EL104" s="9">
        <f>IF(14=$B$6,-$K$24*$B$12,0)</f>
        <v/>
      </c>
      <c r="EM104" s="9">
        <f>EK104/(EJ104-EI104*EM103)</f>
        <v/>
      </c>
      <c r="EN104" s="9">
        <f>(EL104-EI104*EN103)/(EJ104-EI104*EM103)</f>
        <v/>
      </c>
      <c r="EO104" s="16">
        <f>EN104-EM104*EO105</f>
        <v/>
      </c>
      <c r="EP104" s="9">
        <f>IF(14&gt;$B$6+$B$7,$G$25*$B$11^$H$25,$E$25*$B$9^$F$25)</f>
        <v/>
      </c>
      <c r="EQ104" s="9">
        <f>IF(14=1,0,$B$14)</f>
        <v/>
      </c>
      <c r="ER104" s="9">
        <f>-($B$14+(IF(14&lt;=$B$6,$B$13*$B$15+$B$12,IF(14&lt;=$B$6+$B$7,$B$13*$B$15,$B$13)))/EP104)</f>
        <v/>
      </c>
      <c r="ES104" s="9">
        <f>IF(14=$B$6+$B$7,0,IF(14&gt;$B$6+$B$7,$B$13/EP105,IF(14&gt;=$B$6,$B$13*$B$15/EP105,($B$13*$B$15+$B$12)/EP105)))</f>
        <v/>
      </c>
      <c r="ET104" s="9">
        <f>IF(14=$B$6,-$K$25*$B$12,0)</f>
        <v/>
      </c>
      <c r="EU104" s="9">
        <f>ES104/(ER104-EQ104*EU103)</f>
        <v/>
      </c>
      <c r="EV104" s="9">
        <f>(ET104-EQ104*EV103)/(ER104-EQ104*EU103)</f>
        <v/>
      </c>
      <c r="EW104" s="16">
        <f>EV104-EU104*EW105</f>
        <v/>
      </c>
      <c r="EX104" s="9">
        <f>IF(14&gt;$B$6+$B$7,$G$26*$B$11^$H$26,$E$26*$B$9^$F$26)</f>
        <v/>
      </c>
      <c r="EY104" s="9">
        <f>IF(14=1,0,$B$14)</f>
        <v/>
      </c>
      <c r="EZ104" s="9">
        <f>-($B$14+(IF(14&lt;=$B$6,$B$13*$B$15+$B$12,IF(14&lt;=$B$6+$B$7,$B$13*$B$15,$B$13)))/EX104)</f>
        <v/>
      </c>
      <c r="FA104" s="9">
        <f>IF(14=$B$6+$B$7,0,IF(14&gt;$B$6+$B$7,$B$13/EX105,IF(14&gt;=$B$6,$B$13*$B$15/EX105,($B$13*$B$15+$B$12)/EX105)))</f>
        <v/>
      </c>
      <c r="FB104" s="9">
        <f>IF(14=$B$6,-$K$26*$B$12,0)</f>
        <v/>
      </c>
      <c r="FC104" s="9">
        <f>FA104/(EZ104-EY104*FC103)</f>
        <v/>
      </c>
      <c r="FD104" s="9">
        <f>(FB104-EY104*FD103)/(EZ104-EY104*FC103)</f>
        <v/>
      </c>
      <c r="FE104" s="16">
        <f>FD104-FC104*FE105</f>
        <v/>
      </c>
      <c r="FF104" s="9">
        <f>IF(14&gt;$B$6+$B$7,$G$27*$B$11^$H$27,$E$27*$B$9^$F$27)</f>
        <v/>
      </c>
      <c r="FG104" s="9">
        <f>IF(14=1,0,$B$14)</f>
        <v/>
      </c>
      <c r="FH104" s="9">
        <f>-($B$14+(IF(14&lt;=$B$6,$B$13*$B$15+$B$12,IF(14&lt;=$B$6+$B$7,$B$13*$B$15,$B$13)))/FF104)</f>
        <v/>
      </c>
      <c r="FI104" s="9">
        <f>IF(14=$B$6+$B$7,0,IF(14&gt;$B$6+$B$7,$B$13/FF105,IF(14&gt;=$B$6,$B$13*$B$15/FF105,($B$13*$B$15+$B$12)/FF105)))</f>
        <v/>
      </c>
      <c r="FJ104" s="9">
        <f>IF(14=$B$6,-$K$27*$B$12,0)</f>
        <v/>
      </c>
      <c r="FK104" s="9">
        <f>FI104/(FH104-FG104*FK103)</f>
        <v/>
      </c>
      <c r="FL104" s="9">
        <f>(FJ104-FG104*FL103)/(FH104-FG104*FK103)</f>
        <v/>
      </c>
      <c r="FM104" s="16">
        <f>FL104-FK104*FM105</f>
        <v/>
      </c>
      <c r="FN104" s="9">
        <f>IF(14&gt;$B$6+$B$7,$G$28*$B$11^$H$28,$E$28*$B$9^$F$28)</f>
        <v/>
      </c>
      <c r="FO104" s="9">
        <f>IF(14=1,0,$B$14)</f>
        <v/>
      </c>
      <c r="FP104" s="9">
        <f>-($B$14+(IF(14&lt;=$B$6,$B$13*$B$15+$B$12,IF(14&lt;=$B$6+$B$7,$B$13*$B$15,$B$13)))/FN104)</f>
        <v/>
      </c>
      <c r="FQ104" s="9">
        <f>IF(14=$B$6+$B$7,0,IF(14&gt;$B$6+$B$7,$B$13/FN105,IF(14&gt;=$B$6,$B$13*$B$15/FN105,($B$13*$B$15+$B$12)/FN105)))</f>
        <v/>
      </c>
      <c r="FR104" s="9">
        <f>IF(14=$B$6,-$K$28*$B$12,0)</f>
        <v/>
      </c>
      <c r="FS104" s="9">
        <f>FQ104/(FP104-FO104*FS103)</f>
        <v/>
      </c>
      <c r="FT104" s="9">
        <f>(FR104-FO104*FT103)/(FP104-FO104*FS103)</f>
        <v/>
      </c>
      <c r="FU104" s="16">
        <f>FT104-FS104*FU105</f>
        <v/>
      </c>
      <c r="FV104" s="9">
        <f>IF(14&gt;$B$6+$B$7,$G$29*$B$11^$H$29,$E$29*$B$9^$F$29)</f>
        <v/>
      </c>
      <c r="FW104" s="9">
        <f>IF(14=1,0,$B$14)</f>
        <v/>
      </c>
      <c r="FX104" s="9">
        <f>-($B$14+(IF(14&lt;=$B$6,$B$13*$B$15+$B$12,IF(14&lt;=$B$6+$B$7,$B$13*$B$15,$B$13)))/FV104)</f>
        <v/>
      </c>
      <c r="FY104" s="9">
        <f>IF(14=$B$6+$B$7,0,IF(14&gt;$B$6+$B$7,$B$13/FV105,IF(14&gt;=$B$6,$B$13*$B$15/FV105,($B$13*$B$15+$B$12)/FV105)))</f>
        <v/>
      </c>
      <c r="FZ104" s="9">
        <f>IF(14=$B$6,-$K$29*$B$12,0)</f>
        <v/>
      </c>
      <c r="GA104" s="9">
        <f>FY104/(FX104-FW104*GA103)</f>
        <v/>
      </c>
      <c r="GB104" s="9">
        <f>(FZ104-FW104*GB103)/(FX104-FW104*GA103)</f>
        <v/>
      </c>
      <c r="GC104" s="16">
        <f>GB104-GA104*GC105</f>
        <v/>
      </c>
      <c r="GD104" s="9">
        <f>IF(14&gt;$B$6+$B$7,$G$30*$B$11^$H$30,$E$30*$B$9^$F$30)</f>
        <v/>
      </c>
      <c r="GE104" s="9">
        <f>IF(14=1,0,$B$14)</f>
        <v/>
      </c>
      <c r="GF104" s="9">
        <f>-($B$14+(IF(14&lt;=$B$6,$B$13*$B$15+$B$12,IF(14&lt;=$B$6+$B$7,$B$13*$B$15,$B$13)))/GD104)</f>
        <v/>
      </c>
      <c r="GG104" s="9">
        <f>IF(14=$B$6+$B$7,0,IF(14&gt;$B$6+$B$7,$B$13/GD105,IF(14&gt;=$B$6,$B$13*$B$15/GD105,($B$13*$B$15+$B$12)/GD105)))</f>
        <v/>
      </c>
      <c r="GH104" s="9">
        <f>IF(14=$B$6,-$K$30*$B$12,0)</f>
        <v/>
      </c>
      <c r="GI104" s="9">
        <f>GG104/(GF104-GE104*GI103)</f>
        <v/>
      </c>
      <c r="GJ104" s="9">
        <f>(GH104-GE104*GJ103)/(GF104-GE104*GI103)</f>
        <v/>
      </c>
      <c r="GK104" s="16">
        <f>GJ104-GI104*GK105</f>
        <v/>
      </c>
      <c r="GL104" s="9">
        <f>IF(14&gt;$B$6+$B$7,$G$31*$B$11^$H$31,$E$31*$B$9^$F$31)</f>
        <v/>
      </c>
      <c r="GM104" s="9">
        <f>IF(14=1,0,$B$14)</f>
        <v/>
      </c>
      <c r="GN104" s="9">
        <f>-($B$14+(IF(14&lt;=$B$6,$B$13*$B$15+$B$12,IF(14&lt;=$B$6+$B$7,$B$13*$B$15,$B$13)))/GL104)</f>
        <v/>
      </c>
      <c r="GO104" s="9">
        <f>IF(14=$B$6+$B$7,0,IF(14&gt;$B$6+$B$7,$B$13/GL105,IF(14&gt;=$B$6,$B$13*$B$15/GL105,($B$13*$B$15+$B$12)/GL105)))</f>
        <v/>
      </c>
      <c r="GP104" s="9">
        <f>IF(14=$B$6,-$K$31*$B$12,0)</f>
        <v/>
      </c>
      <c r="GQ104" s="9">
        <f>GO104/(GN104-GM104*GQ103)</f>
        <v/>
      </c>
      <c r="GR104" s="9">
        <f>(GP104-GM104*GR103)/(GN104-GM104*GQ103)</f>
        <v/>
      </c>
      <c r="GS104" s="16">
        <f>GR104-GQ104*GS105</f>
        <v/>
      </c>
      <c r="GT104" s="9">
        <f>IF(14&gt;$B$6+$B$7,$G$32*$B$11^$H$32,$E$32*$B$9^$F$32)</f>
        <v/>
      </c>
      <c r="GU104" s="9">
        <f>IF(14=1,0,$B$14)</f>
        <v/>
      </c>
      <c r="GV104" s="9">
        <f>-($B$14+(IF(14&lt;=$B$6,$B$13*$B$15+$B$12,IF(14&lt;=$B$6+$B$7,$B$13*$B$15,$B$13)))/GT104)</f>
        <v/>
      </c>
      <c r="GW104" s="9">
        <f>IF(14=$B$6+$B$7,0,IF(14&gt;$B$6+$B$7,$B$13/GT105,IF(14&gt;=$B$6,$B$13*$B$15/GT105,($B$13*$B$15+$B$12)/GT105)))</f>
        <v/>
      </c>
      <c r="GX104" s="9">
        <f>IF(14=$B$6,-$K$32*$B$12,0)</f>
        <v/>
      </c>
      <c r="GY104" s="9">
        <f>GW104/(GV104-GU104*GY103)</f>
        <v/>
      </c>
      <c r="GZ104" s="9">
        <f>(GX104-GU104*GZ103)/(GV104-GU104*GY103)</f>
        <v/>
      </c>
      <c r="HA104" s="16">
        <f>GZ104-GY104*HA105</f>
        <v/>
      </c>
      <c r="HB104" s="12">
        <f>IFERROR(I104/B104,0)</f>
        <v/>
      </c>
      <c r="HC104" s="12">
        <f>IFERROR(Q104/J104,0)</f>
        <v/>
      </c>
      <c r="HD104" s="12">
        <f>IFERROR(Y104/R104,0)</f>
        <v/>
      </c>
      <c r="HE104" s="12">
        <f>IFERROR(AG104/Z104,0)</f>
        <v/>
      </c>
      <c r="HF104" s="12">
        <f>IFERROR(AO104/AH104,0)</f>
        <v/>
      </c>
      <c r="HG104" s="12">
        <f>IFERROR(AW104/AP104,0)</f>
        <v/>
      </c>
      <c r="HH104" s="12">
        <f>IFERROR(BE104/AX104,0)</f>
        <v/>
      </c>
      <c r="HI104" s="12">
        <f>IFERROR(BM104/BF104,0)</f>
        <v/>
      </c>
      <c r="HJ104" s="12">
        <f>IFERROR(BU104/BN104,0)</f>
        <v/>
      </c>
      <c r="HK104" s="12">
        <f>IFERROR(CC104/BV104,0)</f>
        <v/>
      </c>
      <c r="HL104" s="12">
        <f>IFERROR(CK104/CD104,0)</f>
        <v/>
      </c>
      <c r="HM104" s="12">
        <f>IFERROR(CS104/CL104,0)</f>
        <v/>
      </c>
      <c r="HN104" s="12">
        <f>IFERROR(DA104/CT104,0)</f>
        <v/>
      </c>
      <c r="HO104" s="12">
        <f>IFERROR(DI104/DB104,0)</f>
        <v/>
      </c>
      <c r="HP104" s="12">
        <f>IFERROR(DQ104/DJ104,0)</f>
        <v/>
      </c>
      <c r="HQ104" s="12">
        <f>IFERROR(DY104/DR104,0)</f>
        <v/>
      </c>
      <c r="HR104" s="12">
        <f>IFERROR(EG104/DZ104,0)</f>
        <v/>
      </c>
      <c r="HS104" s="12">
        <f>IFERROR(EO104/EH104,0)</f>
        <v/>
      </c>
      <c r="HT104" s="12">
        <f>IFERROR(EW104/EP104,0)</f>
        <v/>
      </c>
      <c r="HU104" s="12">
        <f>IFERROR(FE104/EX104,0)</f>
        <v/>
      </c>
      <c r="HV104" s="12">
        <f>IFERROR(FM104/FF104,0)</f>
        <v/>
      </c>
      <c r="HW104" s="12">
        <f>IFERROR(FU104/FN104,0)</f>
        <v/>
      </c>
      <c r="HX104" s="12">
        <f>IFERROR(GC104/FV104,0)</f>
        <v/>
      </c>
      <c r="HY104" s="12">
        <f>IFERROR(GK104/GD104,0)</f>
        <v/>
      </c>
      <c r="HZ104" s="12">
        <f>IFERROR(GS104/GL104,0)</f>
        <v/>
      </c>
      <c r="IA104" s="12">
        <f>IFERROR(HA104/GT104,0)</f>
        <v/>
      </c>
      <c r="IB104" s="12">
        <f>I104+Q104+Y104+AG104+AO104+AW104+BE104+BM104+BU104+CC104+CK104+CS104+DA104+DI104+DQ104+DY104+EG104+EO104+EW104+FE104+FM104+FU104+GC104+GK104+GS104+HA104</f>
        <v/>
      </c>
      <c r="IC104" s="12">
        <f>HB104+HC104+HD104+HE104+HF104+HG104+HH104+HI104+HJ104+HK104+HL104+HM104+HN104+HO104+HP104+HQ104+HR104+HS104+HT104+HU104+HV104+HW104+HX104+HY104+HZ104+IA104</f>
        <v/>
      </c>
    </row>
    <row r="105" ht="14" customHeight="1">
      <c r="A105" s="29" t="n">
        <v>15</v>
      </c>
      <c r="B105" s="9">
        <f>IF(15&gt;$B$6+$B$7,$G$7*$B$11^$H$7,$E$7*$B$9^$F$7)</f>
        <v/>
      </c>
      <c r="C105" s="9">
        <f>IF(15=1,0,$B$14)</f>
        <v/>
      </c>
      <c r="D105" s="9">
        <f>-($B$14+(IF(15&lt;=$B$6,$B$13*$B$15+$B$12,IF(15&lt;=$B$6+$B$7,$B$13*$B$15,$B$13)))/B105)</f>
        <v/>
      </c>
      <c r="E105" s="9">
        <f>IF(15=$B$6+$B$7,0,IF(15&gt;$B$6+$B$7,$B$13/B106,IF(15&gt;=$B$6,$B$13*$B$15/B106,($B$13*$B$15+$B$12)/B106)))</f>
        <v/>
      </c>
      <c r="F105" s="9">
        <f>IF(15=$B$6,-$K$7*$B$12,0)</f>
        <v/>
      </c>
      <c r="G105" s="9">
        <f>E105/(D105-C105*G104)</f>
        <v/>
      </c>
      <c r="H105" s="9">
        <f>(F105-C105*H104)/(D105-C105*G104)</f>
        <v/>
      </c>
      <c r="I105" s="16">
        <f>H105-G105*I106</f>
        <v/>
      </c>
      <c r="J105" s="9">
        <f>IF(15&gt;$B$6+$B$7,$G$8*$B$11^$H$8,$E$8*$B$9^$F$8)</f>
        <v/>
      </c>
      <c r="K105" s="9">
        <f>IF(15=1,0,$B$14)</f>
        <v/>
      </c>
      <c r="L105" s="9">
        <f>-($B$14+(IF(15&lt;=$B$6,$B$13*$B$15+$B$12,IF(15&lt;=$B$6+$B$7,$B$13*$B$15,$B$13)))/J105)</f>
        <v/>
      </c>
      <c r="M105" s="9">
        <f>IF(15=$B$6+$B$7,0,IF(15&gt;$B$6+$B$7,$B$13/J106,IF(15&gt;=$B$6,$B$13*$B$15/J106,($B$13*$B$15+$B$12)/J106)))</f>
        <v/>
      </c>
      <c r="N105" s="9">
        <f>IF(15=$B$6,-$K$8*$B$12,0)</f>
        <v/>
      </c>
      <c r="O105" s="9">
        <f>M105/(L105-K105*O104)</f>
        <v/>
      </c>
      <c r="P105" s="9">
        <f>(N105-K105*P104)/(L105-K105*O104)</f>
        <v/>
      </c>
      <c r="Q105" s="16">
        <f>P105-O105*Q106</f>
        <v/>
      </c>
      <c r="R105" s="9">
        <f>IF(15&gt;$B$6+$B$7,$G$9*$B$11^$H$9,$E$9*$B$9^$F$9)</f>
        <v/>
      </c>
      <c r="S105" s="9">
        <f>IF(15=1,0,$B$14)</f>
        <v/>
      </c>
      <c r="T105" s="9">
        <f>-($B$14+(IF(15&lt;=$B$6,$B$13*$B$15+$B$12,IF(15&lt;=$B$6+$B$7,$B$13*$B$15,$B$13)))/R105)</f>
        <v/>
      </c>
      <c r="U105" s="9">
        <f>IF(15=$B$6+$B$7,0,IF(15&gt;$B$6+$B$7,$B$13/R106,IF(15&gt;=$B$6,$B$13*$B$15/R106,($B$13*$B$15+$B$12)/R106)))</f>
        <v/>
      </c>
      <c r="V105" s="9">
        <f>IF(15=$B$6,-$K$9*$B$12,0)</f>
        <v/>
      </c>
      <c r="W105" s="9">
        <f>U105/(T105-S105*W104)</f>
        <v/>
      </c>
      <c r="X105" s="9">
        <f>(V105-S105*X104)/(T105-S105*W104)</f>
        <v/>
      </c>
      <c r="Y105" s="16">
        <f>X105-W105*Y106</f>
        <v/>
      </c>
      <c r="Z105" s="9">
        <f>IF(15&gt;$B$6+$B$7,$G$10*$B$11^$H$10,$E$10*$B$9^$F$10)</f>
        <v/>
      </c>
      <c r="AA105" s="9">
        <f>IF(15=1,0,$B$14)</f>
        <v/>
      </c>
      <c r="AB105" s="9">
        <f>-($B$14+(IF(15&lt;=$B$6,$B$13*$B$15+$B$12,IF(15&lt;=$B$6+$B$7,$B$13*$B$15,$B$13)))/Z105)</f>
        <v/>
      </c>
      <c r="AC105" s="9">
        <f>IF(15=$B$6+$B$7,0,IF(15&gt;$B$6+$B$7,$B$13/Z106,IF(15&gt;=$B$6,$B$13*$B$15/Z106,($B$13*$B$15+$B$12)/Z106)))</f>
        <v/>
      </c>
      <c r="AD105" s="9">
        <f>IF(15=$B$6,-$K$10*$B$12,0)</f>
        <v/>
      </c>
      <c r="AE105" s="9">
        <f>AC105/(AB105-AA105*AE104)</f>
        <v/>
      </c>
      <c r="AF105" s="9">
        <f>(AD105-AA105*AF104)/(AB105-AA105*AE104)</f>
        <v/>
      </c>
      <c r="AG105" s="16">
        <f>AF105-AE105*AG106</f>
        <v/>
      </c>
      <c r="AH105" s="9">
        <f>IF(15&gt;$B$6+$B$7,$G$11*$B$11^$H$11,$E$11*$B$9^$F$11)</f>
        <v/>
      </c>
      <c r="AI105" s="9">
        <f>IF(15=1,0,$B$14)</f>
        <v/>
      </c>
      <c r="AJ105" s="9">
        <f>-($B$14+(IF(15&lt;=$B$6,$B$13*$B$15+$B$12,IF(15&lt;=$B$6+$B$7,$B$13*$B$15,$B$13)))/AH105)</f>
        <v/>
      </c>
      <c r="AK105" s="9">
        <f>IF(15=$B$6+$B$7,0,IF(15&gt;$B$6+$B$7,$B$13/AH106,IF(15&gt;=$B$6,$B$13*$B$15/AH106,($B$13*$B$15+$B$12)/AH106)))</f>
        <v/>
      </c>
      <c r="AL105" s="9">
        <f>IF(15=$B$6,-$K$11*$B$12,0)</f>
        <v/>
      </c>
      <c r="AM105" s="9">
        <f>AK105/(AJ105-AI105*AM104)</f>
        <v/>
      </c>
      <c r="AN105" s="9">
        <f>(AL105-AI105*AN104)/(AJ105-AI105*AM104)</f>
        <v/>
      </c>
      <c r="AO105" s="16">
        <f>AN105-AM105*AO106</f>
        <v/>
      </c>
      <c r="AP105" s="9">
        <f>IF(15&gt;$B$6+$B$7,$G$12*$B$11^$H$12,$E$12*$B$9^$F$12)</f>
        <v/>
      </c>
      <c r="AQ105" s="9">
        <f>IF(15=1,0,$B$14)</f>
        <v/>
      </c>
      <c r="AR105" s="9">
        <f>-($B$14+(IF(15&lt;=$B$6,$B$13*$B$15+$B$12,IF(15&lt;=$B$6+$B$7,$B$13*$B$15,$B$13)))/AP105)</f>
        <v/>
      </c>
      <c r="AS105" s="9">
        <f>IF(15=$B$6+$B$7,0,IF(15&gt;$B$6+$B$7,$B$13/AP106,IF(15&gt;=$B$6,$B$13*$B$15/AP106,($B$13*$B$15+$B$12)/AP106)))</f>
        <v/>
      </c>
      <c r="AT105" s="9">
        <f>IF(15=$B$6,-$K$12*$B$12,0)</f>
        <v/>
      </c>
      <c r="AU105" s="9">
        <f>AS105/(AR105-AQ105*AU104)</f>
        <v/>
      </c>
      <c r="AV105" s="9">
        <f>(AT105-AQ105*AV104)/(AR105-AQ105*AU104)</f>
        <v/>
      </c>
      <c r="AW105" s="16">
        <f>AV105-AU105*AW106</f>
        <v/>
      </c>
      <c r="AX105" s="9">
        <f>IF(15&gt;$B$6+$B$7,$G$13*$B$11^$H$13,$E$13*$B$9^$F$13)</f>
        <v/>
      </c>
      <c r="AY105" s="9">
        <f>IF(15=1,0,$B$14)</f>
        <v/>
      </c>
      <c r="AZ105" s="9">
        <f>-($B$14+(IF(15&lt;=$B$6,$B$13*$B$15+$B$12,IF(15&lt;=$B$6+$B$7,$B$13*$B$15,$B$13)))/AX105)</f>
        <v/>
      </c>
      <c r="BA105" s="9">
        <f>IF(15=$B$6+$B$7,0,IF(15&gt;$B$6+$B$7,$B$13/AX106,IF(15&gt;=$B$6,$B$13*$B$15/AX106,($B$13*$B$15+$B$12)/AX106)))</f>
        <v/>
      </c>
      <c r="BB105" s="9">
        <f>IF(15=$B$6,-$K$13*$B$12,0)</f>
        <v/>
      </c>
      <c r="BC105" s="9">
        <f>BA105/(AZ105-AY105*BC104)</f>
        <v/>
      </c>
      <c r="BD105" s="9">
        <f>(BB105-AY105*BD104)/(AZ105-AY105*BC104)</f>
        <v/>
      </c>
      <c r="BE105" s="16">
        <f>BD105-BC105*BE106</f>
        <v/>
      </c>
      <c r="BF105" s="9">
        <f>IF(15&gt;$B$6+$B$7,$G$14*$B$11^$H$14,$E$14*$B$9^$F$14)</f>
        <v/>
      </c>
      <c r="BG105" s="9">
        <f>IF(15=1,0,$B$14)</f>
        <v/>
      </c>
      <c r="BH105" s="9">
        <f>-($B$14+(IF(15&lt;=$B$6,$B$13*$B$15+$B$12,IF(15&lt;=$B$6+$B$7,$B$13*$B$15,$B$13)))/BF105)</f>
        <v/>
      </c>
      <c r="BI105" s="9">
        <f>IF(15=$B$6+$B$7,0,IF(15&gt;$B$6+$B$7,$B$13/BF106,IF(15&gt;=$B$6,$B$13*$B$15/BF106,($B$13*$B$15+$B$12)/BF106)))</f>
        <v/>
      </c>
      <c r="BJ105" s="9">
        <f>IF(15=$B$6,-$K$14*$B$12,0)</f>
        <v/>
      </c>
      <c r="BK105" s="9">
        <f>BI105/(BH105-BG105*BK104)</f>
        <v/>
      </c>
      <c r="BL105" s="9">
        <f>(BJ105-BG105*BL104)/(BH105-BG105*BK104)</f>
        <v/>
      </c>
      <c r="BM105" s="16">
        <f>BL105-BK105*BM106</f>
        <v/>
      </c>
      <c r="BN105" s="9">
        <f>IF(15&gt;$B$6+$B$7,$G$15*$B$11^$H$15,$E$15*$B$9^$F$15)</f>
        <v/>
      </c>
      <c r="BO105" s="9">
        <f>IF(15=1,0,$B$14)</f>
        <v/>
      </c>
      <c r="BP105" s="9">
        <f>-($B$14+(IF(15&lt;=$B$6,$B$13*$B$15+$B$12,IF(15&lt;=$B$6+$B$7,$B$13*$B$15,$B$13)))/BN105)</f>
        <v/>
      </c>
      <c r="BQ105" s="9">
        <f>IF(15=$B$6+$B$7,0,IF(15&gt;$B$6+$B$7,$B$13/BN106,IF(15&gt;=$B$6,$B$13*$B$15/BN106,($B$13*$B$15+$B$12)/BN106)))</f>
        <v/>
      </c>
      <c r="BR105" s="9">
        <f>IF(15=$B$6,-$K$15*$B$12,0)</f>
        <v/>
      </c>
      <c r="BS105" s="9">
        <f>BQ105/(BP105-BO105*BS104)</f>
        <v/>
      </c>
      <c r="BT105" s="9">
        <f>(BR105-BO105*BT104)/(BP105-BO105*BS104)</f>
        <v/>
      </c>
      <c r="BU105" s="16">
        <f>BT105-BS105*BU106</f>
        <v/>
      </c>
      <c r="BV105" s="9">
        <f>IF(15&gt;$B$6+$B$7,$G$16*$B$11^$H$16,$E$16*$B$9^$F$16)</f>
        <v/>
      </c>
      <c r="BW105" s="9">
        <f>IF(15=1,0,$B$14)</f>
        <v/>
      </c>
      <c r="BX105" s="9">
        <f>-($B$14+(IF(15&lt;=$B$6,$B$13*$B$15+$B$12,IF(15&lt;=$B$6+$B$7,$B$13*$B$15,$B$13)))/BV105)</f>
        <v/>
      </c>
      <c r="BY105" s="9">
        <f>IF(15=$B$6+$B$7,0,IF(15&gt;$B$6+$B$7,$B$13/BV106,IF(15&gt;=$B$6,$B$13*$B$15/BV106,($B$13*$B$15+$B$12)/BV106)))</f>
        <v/>
      </c>
      <c r="BZ105" s="9">
        <f>IF(15=$B$6,-$K$16*$B$12,0)</f>
        <v/>
      </c>
      <c r="CA105" s="9">
        <f>BY105/(BX105-BW105*CA104)</f>
        <v/>
      </c>
      <c r="CB105" s="9">
        <f>(BZ105-BW105*CB104)/(BX105-BW105*CA104)</f>
        <v/>
      </c>
      <c r="CC105" s="16">
        <f>CB105-CA105*CC106</f>
        <v/>
      </c>
      <c r="CD105" s="9">
        <f>IF(15&gt;$B$6+$B$7,$G$17*$B$11^$H$17,$E$17*$B$9^$F$17)</f>
        <v/>
      </c>
      <c r="CE105" s="9">
        <f>IF(15=1,0,$B$14)</f>
        <v/>
      </c>
      <c r="CF105" s="9">
        <f>-($B$14+(IF(15&lt;=$B$6,$B$13*$B$15+$B$12,IF(15&lt;=$B$6+$B$7,$B$13*$B$15,$B$13)))/CD105)</f>
        <v/>
      </c>
      <c r="CG105" s="9">
        <f>IF(15=$B$6+$B$7,0,IF(15&gt;$B$6+$B$7,$B$13/CD106,IF(15&gt;=$B$6,$B$13*$B$15/CD106,($B$13*$B$15+$B$12)/CD106)))</f>
        <v/>
      </c>
      <c r="CH105" s="9">
        <f>IF(15=$B$6,-$K$17*$B$12,0)</f>
        <v/>
      </c>
      <c r="CI105" s="9">
        <f>CG105/(CF105-CE105*CI104)</f>
        <v/>
      </c>
      <c r="CJ105" s="9">
        <f>(CH105-CE105*CJ104)/(CF105-CE105*CI104)</f>
        <v/>
      </c>
      <c r="CK105" s="16">
        <f>CJ105-CI105*CK106</f>
        <v/>
      </c>
      <c r="CL105" s="9">
        <f>IF(15&gt;$B$6+$B$7,$G$18*$B$11^$H$18,$E$18*$B$9^$F$18)</f>
        <v/>
      </c>
      <c r="CM105" s="9">
        <f>IF(15=1,0,$B$14)</f>
        <v/>
      </c>
      <c r="CN105" s="9">
        <f>-($B$14+(IF(15&lt;=$B$6,$B$13*$B$15+$B$12,IF(15&lt;=$B$6+$B$7,$B$13*$B$15,$B$13)))/CL105)</f>
        <v/>
      </c>
      <c r="CO105" s="9">
        <f>IF(15=$B$6+$B$7,0,IF(15&gt;$B$6+$B$7,$B$13/CL106,IF(15&gt;=$B$6,$B$13*$B$15/CL106,($B$13*$B$15+$B$12)/CL106)))</f>
        <v/>
      </c>
      <c r="CP105" s="9">
        <f>IF(15=$B$6,-$K$18*$B$12,0)</f>
        <v/>
      </c>
      <c r="CQ105" s="9">
        <f>CO105/(CN105-CM105*CQ104)</f>
        <v/>
      </c>
      <c r="CR105" s="9">
        <f>(CP105-CM105*CR104)/(CN105-CM105*CQ104)</f>
        <v/>
      </c>
      <c r="CS105" s="16">
        <f>CR105-CQ105*CS106</f>
        <v/>
      </c>
      <c r="CT105" s="9">
        <f>IF(15&gt;$B$6+$B$7,$G$19*$B$11^$H$19,$E$19*$B$9^$F$19)</f>
        <v/>
      </c>
      <c r="CU105" s="9">
        <f>IF(15=1,0,$B$14)</f>
        <v/>
      </c>
      <c r="CV105" s="9">
        <f>-($B$14+(IF(15&lt;=$B$6,$B$13*$B$15+$B$12,IF(15&lt;=$B$6+$B$7,$B$13*$B$15,$B$13)))/CT105)</f>
        <v/>
      </c>
      <c r="CW105" s="9">
        <f>IF(15=$B$6+$B$7,0,IF(15&gt;$B$6+$B$7,$B$13/CT106,IF(15&gt;=$B$6,$B$13*$B$15/CT106,($B$13*$B$15+$B$12)/CT106)))</f>
        <v/>
      </c>
      <c r="CX105" s="9">
        <f>IF(15=$B$6,-$K$19*$B$12,0)</f>
        <v/>
      </c>
      <c r="CY105" s="9">
        <f>CW105/(CV105-CU105*CY104)</f>
        <v/>
      </c>
      <c r="CZ105" s="9">
        <f>(CX105-CU105*CZ104)/(CV105-CU105*CY104)</f>
        <v/>
      </c>
      <c r="DA105" s="16">
        <f>CZ105-CY105*DA106</f>
        <v/>
      </c>
      <c r="DB105" s="9">
        <f>IF(15&gt;$B$6+$B$7,$G$20*$B$11^$H$20,$E$20*$B$9^$F$20)</f>
        <v/>
      </c>
      <c r="DC105" s="9">
        <f>IF(15=1,0,$B$14)</f>
        <v/>
      </c>
      <c r="DD105" s="9">
        <f>-($B$14+(IF(15&lt;=$B$6,$B$13*$B$15+$B$12,IF(15&lt;=$B$6+$B$7,$B$13*$B$15,$B$13)))/DB105)</f>
        <v/>
      </c>
      <c r="DE105" s="9">
        <f>IF(15=$B$6+$B$7,0,IF(15&gt;$B$6+$B$7,$B$13/DB106,IF(15&gt;=$B$6,$B$13*$B$15/DB106,($B$13*$B$15+$B$12)/DB106)))</f>
        <v/>
      </c>
      <c r="DF105" s="9">
        <f>IF(15=$B$6,-$K$20*$B$12,0)</f>
        <v/>
      </c>
      <c r="DG105" s="9">
        <f>DE105/(DD105-DC105*DG104)</f>
        <v/>
      </c>
      <c r="DH105" s="9">
        <f>(DF105-DC105*DH104)/(DD105-DC105*DG104)</f>
        <v/>
      </c>
      <c r="DI105" s="16">
        <f>DH105-DG105*DI106</f>
        <v/>
      </c>
      <c r="DJ105" s="9">
        <f>IF(15&gt;$B$6+$B$7,$G$21*$B$11^$H$21,$E$21*$B$9^$F$21)</f>
        <v/>
      </c>
      <c r="DK105" s="9">
        <f>IF(15=1,0,$B$14)</f>
        <v/>
      </c>
      <c r="DL105" s="9">
        <f>-($B$14+(IF(15&lt;=$B$6,$B$13*$B$15+$B$12,IF(15&lt;=$B$6+$B$7,$B$13*$B$15,$B$13)))/DJ105)</f>
        <v/>
      </c>
      <c r="DM105" s="9">
        <f>IF(15=$B$6+$B$7,0,IF(15&gt;$B$6+$B$7,$B$13/DJ106,IF(15&gt;=$B$6,$B$13*$B$15/DJ106,($B$13*$B$15+$B$12)/DJ106)))</f>
        <v/>
      </c>
      <c r="DN105" s="9">
        <f>IF(15=$B$6,-$K$21*$B$12,0)</f>
        <v/>
      </c>
      <c r="DO105" s="9">
        <f>DM105/(DL105-DK105*DO104)</f>
        <v/>
      </c>
      <c r="DP105" s="9">
        <f>(DN105-DK105*DP104)/(DL105-DK105*DO104)</f>
        <v/>
      </c>
      <c r="DQ105" s="16">
        <f>DP105-DO105*DQ106</f>
        <v/>
      </c>
      <c r="DR105" s="9">
        <f>IF(15&gt;$B$6+$B$7,$G$22*$B$11^$H$22,$E$22*$B$9^$F$22)</f>
        <v/>
      </c>
      <c r="DS105" s="9">
        <f>IF(15=1,0,$B$14)</f>
        <v/>
      </c>
      <c r="DT105" s="9">
        <f>-($B$14+(IF(15&lt;=$B$6,$B$13*$B$15+$B$12,IF(15&lt;=$B$6+$B$7,$B$13*$B$15,$B$13)))/DR105)</f>
        <v/>
      </c>
      <c r="DU105" s="9">
        <f>IF(15=$B$6+$B$7,0,IF(15&gt;$B$6+$B$7,$B$13/DR106,IF(15&gt;=$B$6,$B$13*$B$15/DR106,($B$13*$B$15+$B$12)/DR106)))</f>
        <v/>
      </c>
      <c r="DV105" s="9">
        <f>IF(15=$B$6,-$K$22*$B$12,0)</f>
        <v/>
      </c>
      <c r="DW105" s="9">
        <f>DU105/(DT105-DS105*DW104)</f>
        <v/>
      </c>
      <c r="DX105" s="9">
        <f>(DV105-DS105*DX104)/(DT105-DS105*DW104)</f>
        <v/>
      </c>
      <c r="DY105" s="16">
        <f>DX105-DW105*DY106</f>
        <v/>
      </c>
      <c r="DZ105" s="9">
        <f>IF(15&gt;$B$6+$B$7,$G$23*$B$11^$H$23,$E$23*$B$9^$F$23)</f>
        <v/>
      </c>
      <c r="EA105" s="9">
        <f>IF(15=1,0,$B$14)</f>
        <v/>
      </c>
      <c r="EB105" s="9">
        <f>-($B$14+(IF(15&lt;=$B$6,$B$13*$B$15+$B$12,IF(15&lt;=$B$6+$B$7,$B$13*$B$15,$B$13)))/DZ105)</f>
        <v/>
      </c>
      <c r="EC105" s="9">
        <f>IF(15=$B$6+$B$7,0,IF(15&gt;$B$6+$B$7,$B$13/DZ106,IF(15&gt;=$B$6,$B$13*$B$15/DZ106,($B$13*$B$15+$B$12)/DZ106)))</f>
        <v/>
      </c>
      <c r="ED105" s="9">
        <f>IF(15=$B$6,-$K$23*$B$12,0)</f>
        <v/>
      </c>
      <c r="EE105" s="9">
        <f>EC105/(EB105-EA105*EE104)</f>
        <v/>
      </c>
      <c r="EF105" s="9">
        <f>(ED105-EA105*EF104)/(EB105-EA105*EE104)</f>
        <v/>
      </c>
      <c r="EG105" s="16">
        <f>EF105-EE105*EG106</f>
        <v/>
      </c>
      <c r="EH105" s="9">
        <f>IF(15&gt;$B$6+$B$7,$G$24*$B$11^$H$24,$E$24*$B$9^$F$24)</f>
        <v/>
      </c>
      <c r="EI105" s="9">
        <f>IF(15=1,0,$B$14)</f>
        <v/>
      </c>
      <c r="EJ105" s="9">
        <f>-($B$14+(IF(15&lt;=$B$6,$B$13*$B$15+$B$12,IF(15&lt;=$B$6+$B$7,$B$13*$B$15,$B$13)))/EH105)</f>
        <v/>
      </c>
      <c r="EK105" s="9">
        <f>IF(15=$B$6+$B$7,0,IF(15&gt;$B$6+$B$7,$B$13/EH106,IF(15&gt;=$B$6,$B$13*$B$15/EH106,($B$13*$B$15+$B$12)/EH106)))</f>
        <v/>
      </c>
      <c r="EL105" s="9">
        <f>IF(15=$B$6,-$K$24*$B$12,0)</f>
        <v/>
      </c>
      <c r="EM105" s="9">
        <f>EK105/(EJ105-EI105*EM104)</f>
        <v/>
      </c>
      <c r="EN105" s="9">
        <f>(EL105-EI105*EN104)/(EJ105-EI105*EM104)</f>
        <v/>
      </c>
      <c r="EO105" s="16">
        <f>EN105-EM105*EO106</f>
        <v/>
      </c>
      <c r="EP105" s="9">
        <f>IF(15&gt;$B$6+$B$7,$G$25*$B$11^$H$25,$E$25*$B$9^$F$25)</f>
        <v/>
      </c>
      <c r="EQ105" s="9">
        <f>IF(15=1,0,$B$14)</f>
        <v/>
      </c>
      <c r="ER105" s="9">
        <f>-($B$14+(IF(15&lt;=$B$6,$B$13*$B$15+$B$12,IF(15&lt;=$B$6+$B$7,$B$13*$B$15,$B$13)))/EP105)</f>
        <v/>
      </c>
      <c r="ES105" s="9">
        <f>IF(15=$B$6+$B$7,0,IF(15&gt;$B$6+$B$7,$B$13/EP106,IF(15&gt;=$B$6,$B$13*$B$15/EP106,($B$13*$B$15+$B$12)/EP106)))</f>
        <v/>
      </c>
      <c r="ET105" s="9">
        <f>IF(15=$B$6,-$K$25*$B$12,0)</f>
        <v/>
      </c>
      <c r="EU105" s="9">
        <f>ES105/(ER105-EQ105*EU104)</f>
        <v/>
      </c>
      <c r="EV105" s="9">
        <f>(ET105-EQ105*EV104)/(ER105-EQ105*EU104)</f>
        <v/>
      </c>
      <c r="EW105" s="16">
        <f>EV105-EU105*EW106</f>
        <v/>
      </c>
      <c r="EX105" s="9">
        <f>IF(15&gt;$B$6+$B$7,$G$26*$B$11^$H$26,$E$26*$B$9^$F$26)</f>
        <v/>
      </c>
      <c r="EY105" s="9">
        <f>IF(15=1,0,$B$14)</f>
        <v/>
      </c>
      <c r="EZ105" s="9">
        <f>-($B$14+(IF(15&lt;=$B$6,$B$13*$B$15+$B$12,IF(15&lt;=$B$6+$B$7,$B$13*$B$15,$B$13)))/EX105)</f>
        <v/>
      </c>
      <c r="FA105" s="9">
        <f>IF(15=$B$6+$B$7,0,IF(15&gt;$B$6+$B$7,$B$13/EX106,IF(15&gt;=$B$6,$B$13*$B$15/EX106,($B$13*$B$15+$B$12)/EX106)))</f>
        <v/>
      </c>
      <c r="FB105" s="9">
        <f>IF(15=$B$6,-$K$26*$B$12,0)</f>
        <v/>
      </c>
      <c r="FC105" s="9">
        <f>FA105/(EZ105-EY105*FC104)</f>
        <v/>
      </c>
      <c r="FD105" s="9">
        <f>(FB105-EY105*FD104)/(EZ105-EY105*FC104)</f>
        <v/>
      </c>
      <c r="FE105" s="16">
        <f>FD105-FC105*FE106</f>
        <v/>
      </c>
      <c r="FF105" s="9">
        <f>IF(15&gt;$B$6+$B$7,$G$27*$B$11^$H$27,$E$27*$B$9^$F$27)</f>
        <v/>
      </c>
      <c r="FG105" s="9">
        <f>IF(15=1,0,$B$14)</f>
        <v/>
      </c>
      <c r="FH105" s="9">
        <f>-($B$14+(IF(15&lt;=$B$6,$B$13*$B$15+$B$12,IF(15&lt;=$B$6+$B$7,$B$13*$B$15,$B$13)))/FF105)</f>
        <v/>
      </c>
      <c r="FI105" s="9">
        <f>IF(15=$B$6+$B$7,0,IF(15&gt;$B$6+$B$7,$B$13/FF106,IF(15&gt;=$B$6,$B$13*$B$15/FF106,($B$13*$B$15+$B$12)/FF106)))</f>
        <v/>
      </c>
      <c r="FJ105" s="9">
        <f>IF(15=$B$6,-$K$27*$B$12,0)</f>
        <v/>
      </c>
      <c r="FK105" s="9">
        <f>FI105/(FH105-FG105*FK104)</f>
        <v/>
      </c>
      <c r="FL105" s="9">
        <f>(FJ105-FG105*FL104)/(FH105-FG105*FK104)</f>
        <v/>
      </c>
      <c r="FM105" s="16">
        <f>FL105-FK105*FM106</f>
        <v/>
      </c>
      <c r="FN105" s="9">
        <f>IF(15&gt;$B$6+$B$7,$G$28*$B$11^$H$28,$E$28*$B$9^$F$28)</f>
        <v/>
      </c>
      <c r="FO105" s="9">
        <f>IF(15=1,0,$B$14)</f>
        <v/>
      </c>
      <c r="FP105" s="9">
        <f>-($B$14+(IF(15&lt;=$B$6,$B$13*$B$15+$B$12,IF(15&lt;=$B$6+$B$7,$B$13*$B$15,$B$13)))/FN105)</f>
        <v/>
      </c>
      <c r="FQ105" s="9">
        <f>IF(15=$B$6+$B$7,0,IF(15&gt;$B$6+$B$7,$B$13/FN106,IF(15&gt;=$B$6,$B$13*$B$15/FN106,($B$13*$B$15+$B$12)/FN106)))</f>
        <v/>
      </c>
      <c r="FR105" s="9">
        <f>IF(15=$B$6,-$K$28*$B$12,0)</f>
        <v/>
      </c>
      <c r="FS105" s="9">
        <f>FQ105/(FP105-FO105*FS104)</f>
        <v/>
      </c>
      <c r="FT105" s="9">
        <f>(FR105-FO105*FT104)/(FP105-FO105*FS104)</f>
        <v/>
      </c>
      <c r="FU105" s="16">
        <f>FT105-FS105*FU106</f>
        <v/>
      </c>
      <c r="FV105" s="9">
        <f>IF(15&gt;$B$6+$B$7,$G$29*$B$11^$H$29,$E$29*$B$9^$F$29)</f>
        <v/>
      </c>
      <c r="FW105" s="9">
        <f>IF(15=1,0,$B$14)</f>
        <v/>
      </c>
      <c r="FX105" s="9">
        <f>-($B$14+(IF(15&lt;=$B$6,$B$13*$B$15+$B$12,IF(15&lt;=$B$6+$B$7,$B$13*$B$15,$B$13)))/FV105)</f>
        <v/>
      </c>
      <c r="FY105" s="9">
        <f>IF(15=$B$6+$B$7,0,IF(15&gt;$B$6+$B$7,$B$13/FV106,IF(15&gt;=$B$6,$B$13*$B$15/FV106,($B$13*$B$15+$B$12)/FV106)))</f>
        <v/>
      </c>
      <c r="FZ105" s="9">
        <f>IF(15=$B$6,-$K$29*$B$12,0)</f>
        <v/>
      </c>
      <c r="GA105" s="9">
        <f>FY105/(FX105-FW105*GA104)</f>
        <v/>
      </c>
      <c r="GB105" s="9">
        <f>(FZ105-FW105*GB104)/(FX105-FW105*GA104)</f>
        <v/>
      </c>
      <c r="GC105" s="16">
        <f>GB105-GA105*GC106</f>
        <v/>
      </c>
      <c r="GD105" s="9">
        <f>IF(15&gt;$B$6+$B$7,$G$30*$B$11^$H$30,$E$30*$B$9^$F$30)</f>
        <v/>
      </c>
      <c r="GE105" s="9">
        <f>IF(15=1,0,$B$14)</f>
        <v/>
      </c>
      <c r="GF105" s="9">
        <f>-($B$14+(IF(15&lt;=$B$6,$B$13*$B$15+$B$12,IF(15&lt;=$B$6+$B$7,$B$13*$B$15,$B$13)))/GD105)</f>
        <v/>
      </c>
      <c r="GG105" s="9">
        <f>IF(15=$B$6+$B$7,0,IF(15&gt;$B$6+$B$7,$B$13/GD106,IF(15&gt;=$B$6,$B$13*$B$15/GD106,($B$13*$B$15+$B$12)/GD106)))</f>
        <v/>
      </c>
      <c r="GH105" s="9">
        <f>IF(15=$B$6,-$K$30*$B$12,0)</f>
        <v/>
      </c>
      <c r="GI105" s="9">
        <f>GG105/(GF105-GE105*GI104)</f>
        <v/>
      </c>
      <c r="GJ105" s="9">
        <f>(GH105-GE105*GJ104)/(GF105-GE105*GI104)</f>
        <v/>
      </c>
      <c r="GK105" s="16">
        <f>GJ105-GI105*GK106</f>
        <v/>
      </c>
      <c r="GL105" s="9">
        <f>IF(15&gt;$B$6+$B$7,$G$31*$B$11^$H$31,$E$31*$B$9^$F$31)</f>
        <v/>
      </c>
      <c r="GM105" s="9">
        <f>IF(15=1,0,$B$14)</f>
        <v/>
      </c>
      <c r="GN105" s="9">
        <f>-($B$14+(IF(15&lt;=$B$6,$B$13*$B$15+$B$12,IF(15&lt;=$B$6+$B$7,$B$13*$B$15,$B$13)))/GL105)</f>
        <v/>
      </c>
      <c r="GO105" s="9">
        <f>IF(15=$B$6+$B$7,0,IF(15&gt;$B$6+$B$7,$B$13/GL106,IF(15&gt;=$B$6,$B$13*$B$15/GL106,($B$13*$B$15+$B$12)/GL106)))</f>
        <v/>
      </c>
      <c r="GP105" s="9">
        <f>IF(15=$B$6,-$K$31*$B$12,0)</f>
        <v/>
      </c>
      <c r="GQ105" s="9">
        <f>GO105/(GN105-GM105*GQ104)</f>
        <v/>
      </c>
      <c r="GR105" s="9">
        <f>(GP105-GM105*GR104)/(GN105-GM105*GQ104)</f>
        <v/>
      </c>
      <c r="GS105" s="16">
        <f>GR105-GQ105*GS106</f>
        <v/>
      </c>
      <c r="GT105" s="9">
        <f>IF(15&gt;$B$6+$B$7,$G$32*$B$11^$H$32,$E$32*$B$9^$F$32)</f>
        <v/>
      </c>
      <c r="GU105" s="9">
        <f>IF(15=1,0,$B$14)</f>
        <v/>
      </c>
      <c r="GV105" s="9">
        <f>-($B$14+(IF(15&lt;=$B$6,$B$13*$B$15+$B$12,IF(15&lt;=$B$6+$B$7,$B$13*$B$15,$B$13)))/GT105)</f>
        <v/>
      </c>
      <c r="GW105" s="9">
        <f>IF(15=$B$6+$B$7,0,IF(15&gt;$B$6+$B$7,$B$13/GT106,IF(15&gt;=$B$6,$B$13*$B$15/GT106,($B$13*$B$15+$B$12)/GT106)))</f>
        <v/>
      </c>
      <c r="GX105" s="9">
        <f>IF(15=$B$6,-$K$32*$B$12,0)</f>
        <v/>
      </c>
      <c r="GY105" s="9">
        <f>GW105/(GV105-GU105*GY104)</f>
        <v/>
      </c>
      <c r="GZ105" s="9">
        <f>(GX105-GU105*GZ104)/(GV105-GU105*GY104)</f>
        <v/>
      </c>
      <c r="HA105" s="16">
        <f>GZ105-GY105*HA106</f>
        <v/>
      </c>
      <c r="HB105" s="12">
        <f>IFERROR(I105/B105,0)</f>
        <v/>
      </c>
      <c r="HC105" s="12">
        <f>IFERROR(Q105/J105,0)</f>
        <v/>
      </c>
      <c r="HD105" s="12">
        <f>IFERROR(Y105/R105,0)</f>
        <v/>
      </c>
      <c r="HE105" s="12">
        <f>IFERROR(AG105/Z105,0)</f>
        <v/>
      </c>
      <c r="HF105" s="12">
        <f>IFERROR(AO105/AH105,0)</f>
        <v/>
      </c>
      <c r="HG105" s="12">
        <f>IFERROR(AW105/AP105,0)</f>
        <v/>
      </c>
      <c r="HH105" s="12">
        <f>IFERROR(BE105/AX105,0)</f>
        <v/>
      </c>
      <c r="HI105" s="12">
        <f>IFERROR(BM105/BF105,0)</f>
        <v/>
      </c>
      <c r="HJ105" s="12">
        <f>IFERROR(BU105/BN105,0)</f>
        <v/>
      </c>
      <c r="HK105" s="12">
        <f>IFERROR(CC105/BV105,0)</f>
        <v/>
      </c>
      <c r="HL105" s="12">
        <f>IFERROR(CK105/CD105,0)</f>
        <v/>
      </c>
      <c r="HM105" s="12">
        <f>IFERROR(CS105/CL105,0)</f>
        <v/>
      </c>
      <c r="HN105" s="12">
        <f>IFERROR(DA105/CT105,0)</f>
        <v/>
      </c>
      <c r="HO105" s="12">
        <f>IFERROR(DI105/DB105,0)</f>
        <v/>
      </c>
      <c r="HP105" s="12">
        <f>IFERROR(DQ105/DJ105,0)</f>
        <v/>
      </c>
      <c r="HQ105" s="12">
        <f>IFERROR(DY105/DR105,0)</f>
        <v/>
      </c>
      <c r="HR105" s="12">
        <f>IFERROR(EG105/DZ105,0)</f>
        <v/>
      </c>
      <c r="HS105" s="12">
        <f>IFERROR(EO105/EH105,0)</f>
        <v/>
      </c>
      <c r="HT105" s="12">
        <f>IFERROR(EW105/EP105,0)</f>
        <v/>
      </c>
      <c r="HU105" s="12">
        <f>IFERROR(FE105/EX105,0)</f>
        <v/>
      </c>
      <c r="HV105" s="12">
        <f>IFERROR(FM105/FF105,0)</f>
        <v/>
      </c>
      <c r="HW105" s="12">
        <f>IFERROR(FU105/FN105,0)</f>
        <v/>
      </c>
      <c r="HX105" s="12">
        <f>IFERROR(GC105/FV105,0)</f>
        <v/>
      </c>
      <c r="HY105" s="12">
        <f>IFERROR(GK105/GD105,0)</f>
        <v/>
      </c>
      <c r="HZ105" s="12">
        <f>IFERROR(GS105/GL105,0)</f>
        <v/>
      </c>
      <c r="IA105" s="12">
        <f>IFERROR(HA105/GT105,0)</f>
        <v/>
      </c>
      <c r="IB105" s="12">
        <f>I105+Q105+Y105+AG105+AO105+AW105+BE105+BM105+BU105+CC105+CK105+CS105+DA105+DI105+DQ105+DY105+EG105+EO105+EW105+FE105+FM105+FU105+GC105+GK105+GS105+HA105</f>
        <v/>
      </c>
      <c r="IC105" s="12">
        <f>HB105+HC105+HD105+HE105+HF105+HG105+HH105+HI105+HJ105+HK105+HL105+HM105+HN105+HO105+HP105+HQ105+HR105+HS105+HT105+HU105+HV105+HW105+HX105+HY105+HZ105+IA105</f>
        <v/>
      </c>
    </row>
    <row r="106" ht="14" customHeight="1">
      <c r="A106" s="29" t="n">
        <v>16</v>
      </c>
      <c r="B106" s="9">
        <f>IF(16&gt;$B$6+$B$7,$G$7*$B$11^$H$7,$E$7*$B$9^$F$7)</f>
        <v/>
      </c>
      <c r="C106" s="9">
        <f>IF(16=1,0,$B$14)</f>
        <v/>
      </c>
      <c r="D106" s="9">
        <f>-($B$14+(IF(16&lt;=$B$6,$B$13*$B$15+$B$12,IF(16&lt;=$B$6+$B$7,$B$13*$B$15,$B$13)))/B106)</f>
        <v/>
      </c>
      <c r="E106" s="9">
        <f>IF(16=$B$6+$B$7,0,IF(16&gt;$B$6+$B$7,$B$13/B107,IF(16&gt;=$B$6,$B$13*$B$15/B107,($B$13*$B$15+$B$12)/B107)))</f>
        <v/>
      </c>
      <c r="F106" s="9">
        <f>IF(16=$B$6,-$K$7*$B$12,0)</f>
        <v/>
      </c>
      <c r="G106" s="9">
        <f>E106/(D106-C106*G105)</f>
        <v/>
      </c>
      <c r="H106" s="9">
        <f>(F106-C106*H105)/(D106-C106*G105)</f>
        <v/>
      </c>
      <c r="I106" s="16">
        <f>H106-G106*I107</f>
        <v/>
      </c>
      <c r="J106" s="9">
        <f>IF(16&gt;$B$6+$B$7,$G$8*$B$11^$H$8,$E$8*$B$9^$F$8)</f>
        <v/>
      </c>
      <c r="K106" s="9">
        <f>IF(16=1,0,$B$14)</f>
        <v/>
      </c>
      <c r="L106" s="9">
        <f>-($B$14+(IF(16&lt;=$B$6,$B$13*$B$15+$B$12,IF(16&lt;=$B$6+$B$7,$B$13*$B$15,$B$13)))/J106)</f>
        <v/>
      </c>
      <c r="M106" s="9">
        <f>IF(16=$B$6+$B$7,0,IF(16&gt;$B$6+$B$7,$B$13/J107,IF(16&gt;=$B$6,$B$13*$B$15/J107,($B$13*$B$15+$B$12)/J107)))</f>
        <v/>
      </c>
      <c r="N106" s="9">
        <f>IF(16=$B$6,-$K$8*$B$12,0)</f>
        <v/>
      </c>
      <c r="O106" s="9">
        <f>M106/(L106-K106*O105)</f>
        <v/>
      </c>
      <c r="P106" s="9">
        <f>(N106-K106*P105)/(L106-K106*O105)</f>
        <v/>
      </c>
      <c r="Q106" s="16">
        <f>P106-O106*Q107</f>
        <v/>
      </c>
      <c r="R106" s="9">
        <f>IF(16&gt;$B$6+$B$7,$G$9*$B$11^$H$9,$E$9*$B$9^$F$9)</f>
        <v/>
      </c>
      <c r="S106" s="9">
        <f>IF(16=1,0,$B$14)</f>
        <v/>
      </c>
      <c r="T106" s="9">
        <f>-($B$14+(IF(16&lt;=$B$6,$B$13*$B$15+$B$12,IF(16&lt;=$B$6+$B$7,$B$13*$B$15,$B$13)))/R106)</f>
        <v/>
      </c>
      <c r="U106" s="9">
        <f>IF(16=$B$6+$B$7,0,IF(16&gt;$B$6+$B$7,$B$13/R107,IF(16&gt;=$B$6,$B$13*$B$15/R107,($B$13*$B$15+$B$12)/R107)))</f>
        <v/>
      </c>
      <c r="V106" s="9">
        <f>IF(16=$B$6,-$K$9*$B$12,0)</f>
        <v/>
      </c>
      <c r="W106" s="9">
        <f>U106/(T106-S106*W105)</f>
        <v/>
      </c>
      <c r="X106" s="9">
        <f>(V106-S106*X105)/(T106-S106*W105)</f>
        <v/>
      </c>
      <c r="Y106" s="16">
        <f>X106-W106*Y107</f>
        <v/>
      </c>
      <c r="Z106" s="9">
        <f>IF(16&gt;$B$6+$B$7,$G$10*$B$11^$H$10,$E$10*$B$9^$F$10)</f>
        <v/>
      </c>
      <c r="AA106" s="9">
        <f>IF(16=1,0,$B$14)</f>
        <v/>
      </c>
      <c r="AB106" s="9">
        <f>-($B$14+(IF(16&lt;=$B$6,$B$13*$B$15+$B$12,IF(16&lt;=$B$6+$B$7,$B$13*$B$15,$B$13)))/Z106)</f>
        <v/>
      </c>
      <c r="AC106" s="9">
        <f>IF(16=$B$6+$B$7,0,IF(16&gt;$B$6+$B$7,$B$13/Z107,IF(16&gt;=$B$6,$B$13*$B$15/Z107,($B$13*$B$15+$B$12)/Z107)))</f>
        <v/>
      </c>
      <c r="AD106" s="9">
        <f>IF(16=$B$6,-$K$10*$B$12,0)</f>
        <v/>
      </c>
      <c r="AE106" s="9">
        <f>AC106/(AB106-AA106*AE105)</f>
        <v/>
      </c>
      <c r="AF106" s="9">
        <f>(AD106-AA106*AF105)/(AB106-AA106*AE105)</f>
        <v/>
      </c>
      <c r="AG106" s="16">
        <f>AF106-AE106*AG107</f>
        <v/>
      </c>
      <c r="AH106" s="9">
        <f>IF(16&gt;$B$6+$B$7,$G$11*$B$11^$H$11,$E$11*$B$9^$F$11)</f>
        <v/>
      </c>
      <c r="AI106" s="9">
        <f>IF(16=1,0,$B$14)</f>
        <v/>
      </c>
      <c r="AJ106" s="9">
        <f>-($B$14+(IF(16&lt;=$B$6,$B$13*$B$15+$B$12,IF(16&lt;=$B$6+$B$7,$B$13*$B$15,$B$13)))/AH106)</f>
        <v/>
      </c>
      <c r="AK106" s="9">
        <f>IF(16=$B$6+$B$7,0,IF(16&gt;$B$6+$B$7,$B$13/AH107,IF(16&gt;=$B$6,$B$13*$B$15/AH107,($B$13*$B$15+$B$12)/AH107)))</f>
        <v/>
      </c>
      <c r="AL106" s="9">
        <f>IF(16=$B$6,-$K$11*$B$12,0)</f>
        <v/>
      </c>
      <c r="AM106" s="9">
        <f>AK106/(AJ106-AI106*AM105)</f>
        <v/>
      </c>
      <c r="AN106" s="9">
        <f>(AL106-AI106*AN105)/(AJ106-AI106*AM105)</f>
        <v/>
      </c>
      <c r="AO106" s="16">
        <f>AN106-AM106*AO107</f>
        <v/>
      </c>
      <c r="AP106" s="9">
        <f>IF(16&gt;$B$6+$B$7,$G$12*$B$11^$H$12,$E$12*$B$9^$F$12)</f>
        <v/>
      </c>
      <c r="AQ106" s="9">
        <f>IF(16=1,0,$B$14)</f>
        <v/>
      </c>
      <c r="AR106" s="9">
        <f>-($B$14+(IF(16&lt;=$B$6,$B$13*$B$15+$B$12,IF(16&lt;=$B$6+$B$7,$B$13*$B$15,$B$13)))/AP106)</f>
        <v/>
      </c>
      <c r="AS106" s="9">
        <f>IF(16=$B$6+$B$7,0,IF(16&gt;$B$6+$B$7,$B$13/AP107,IF(16&gt;=$B$6,$B$13*$B$15/AP107,($B$13*$B$15+$B$12)/AP107)))</f>
        <v/>
      </c>
      <c r="AT106" s="9">
        <f>IF(16=$B$6,-$K$12*$B$12,0)</f>
        <v/>
      </c>
      <c r="AU106" s="9">
        <f>AS106/(AR106-AQ106*AU105)</f>
        <v/>
      </c>
      <c r="AV106" s="9">
        <f>(AT106-AQ106*AV105)/(AR106-AQ106*AU105)</f>
        <v/>
      </c>
      <c r="AW106" s="16">
        <f>AV106-AU106*AW107</f>
        <v/>
      </c>
      <c r="AX106" s="9">
        <f>IF(16&gt;$B$6+$B$7,$G$13*$B$11^$H$13,$E$13*$B$9^$F$13)</f>
        <v/>
      </c>
      <c r="AY106" s="9">
        <f>IF(16=1,0,$B$14)</f>
        <v/>
      </c>
      <c r="AZ106" s="9">
        <f>-($B$14+(IF(16&lt;=$B$6,$B$13*$B$15+$B$12,IF(16&lt;=$B$6+$B$7,$B$13*$B$15,$B$13)))/AX106)</f>
        <v/>
      </c>
      <c r="BA106" s="9">
        <f>IF(16=$B$6+$B$7,0,IF(16&gt;$B$6+$B$7,$B$13/AX107,IF(16&gt;=$B$6,$B$13*$B$15/AX107,($B$13*$B$15+$B$12)/AX107)))</f>
        <v/>
      </c>
      <c r="BB106" s="9">
        <f>IF(16=$B$6,-$K$13*$B$12,0)</f>
        <v/>
      </c>
      <c r="BC106" s="9">
        <f>BA106/(AZ106-AY106*BC105)</f>
        <v/>
      </c>
      <c r="BD106" s="9">
        <f>(BB106-AY106*BD105)/(AZ106-AY106*BC105)</f>
        <v/>
      </c>
      <c r="BE106" s="16">
        <f>BD106-BC106*BE107</f>
        <v/>
      </c>
      <c r="BF106" s="9">
        <f>IF(16&gt;$B$6+$B$7,$G$14*$B$11^$H$14,$E$14*$B$9^$F$14)</f>
        <v/>
      </c>
      <c r="BG106" s="9">
        <f>IF(16=1,0,$B$14)</f>
        <v/>
      </c>
      <c r="BH106" s="9">
        <f>-($B$14+(IF(16&lt;=$B$6,$B$13*$B$15+$B$12,IF(16&lt;=$B$6+$B$7,$B$13*$B$15,$B$13)))/BF106)</f>
        <v/>
      </c>
      <c r="BI106" s="9">
        <f>IF(16=$B$6+$B$7,0,IF(16&gt;$B$6+$B$7,$B$13/BF107,IF(16&gt;=$B$6,$B$13*$B$15/BF107,($B$13*$B$15+$B$12)/BF107)))</f>
        <v/>
      </c>
      <c r="BJ106" s="9">
        <f>IF(16=$B$6,-$K$14*$B$12,0)</f>
        <v/>
      </c>
      <c r="BK106" s="9">
        <f>BI106/(BH106-BG106*BK105)</f>
        <v/>
      </c>
      <c r="BL106" s="9">
        <f>(BJ106-BG106*BL105)/(BH106-BG106*BK105)</f>
        <v/>
      </c>
      <c r="BM106" s="16">
        <f>BL106-BK106*BM107</f>
        <v/>
      </c>
      <c r="BN106" s="9">
        <f>IF(16&gt;$B$6+$B$7,$G$15*$B$11^$H$15,$E$15*$B$9^$F$15)</f>
        <v/>
      </c>
      <c r="BO106" s="9">
        <f>IF(16=1,0,$B$14)</f>
        <v/>
      </c>
      <c r="BP106" s="9">
        <f>-($B$14+(IF(16&lt;=$B$6,$B$13*$B$15+$B$12,IF(16&lt;=$B$6+$B$7,$B$13*$B$15,$B$13)))/BN106)</f>
        <v/>
      </c>
      <c r="BQ106" s="9">
        <f>IF(16=$B$6+$B$7,0,IF(16&gt;$B$6+$B$7,$B$13/BN107,IF(16&gt;=$B$6,$B$13*$B$15/BN107,($B$13*$B$15+$B$12)/BN107)))</f>
        <v/>
      </c>
      <c r="BR106" s="9">
        <f>IF(16=$B$6,-$K$15*$B$12,0)</f>
        <v/>
      </c>
      <c r="BS106" s="9">
        <f>BQ106/(BP106-BO106*BS105)</f>
        <v/>
      </c>
      <c r="BT106" s="9">
        <f>(BR106-BO106*BT105)/(BP106-BO106*BS105)</f>
        <v/>
      </c>
      <c r="BU106" s="16">
        <f>BT106-BS106*BU107</f>
        <v/>
      </c>
      <c r="BV106" s="9">
        <f>IF(16&gt;$B$6+$B$7,$G$16*$B$11^$H$16,$E$16*$B$9^$F$16)</f>
        <v/>
      </c>
      <c r="BW106" s="9">
        <f>IF(16=1,0,$B$14)</f>
        <v/>
      </c>
      <c r="BX106" s="9">
        <f>-($B$14+(IF(16&lt;=$B$6,$B$13*$B$15+$B$12,IF(16&lt;=$B$6+$B$7,$B$13*$B$15,$B$13)))/BV106)</f>
        <v/>
      </c>
      <c r="BY106" s="9">
        <f>IF(16=$B$6+$B$7,0,IF(16&gt;$B$6+$B$7,$B$13/BV107,IF(16&gt;=$B$6,$B$13*$B$15/BV107,($B$13*$B$15+$B$12)/BV107)))</f>
        <v/>
      </c>
      <c r="BZ106" s="9">
        <f>IF(16=$B$6,-$K$16*$B$12,0)</f>
        <v/>
      </c>
      <c r="CA106" s="9">
        <f>BY106/(BX106-BW106*CA105)</f>
        <v/>
      </c>
      <c r="CB106" s="9">
        <f>(BZ106-BW106*CB105)/(BX106-BW106*CA105)</f>
        <v/>
      </c>
      <c r="CC106" s="16">
        <f>CB106-CA106*CC107</f>
        <v/>
      </c>
      <c r="CD106" s="9">
        <f>IF(16&gt;$B$6+$B$7,$G$17*$B$11^$H$17,$E$17*$B$9^$F$17)</f>
        <v/>
      </c>
      <c r="CE106" s="9">
        <f>IF(16=1,0,$B$14)</f>
        <v/>
      </c>
      <c r="CF106" s="9">
        <f>-($B$14+(IF(16&lt;=$B$6,$B$13*$B$15+$B$12,IF(16&lt;=$B$6+$B$7,$B$13*$B$15,$B$13)))/CD106)</f>
        <v/>
      </c>
      <c r="CG106" s="9">
        <f>IF(16=$B$6+$B$7,0,IF(16&gt;$B$6+$B$7,$B$13/CD107,IF(16&gt;=$B$6,$B$13*$B$15/CD107,($B$13*$B$15+$B$12)/CD107)))</f>
        <v/>
      </c>
      <c r="CH106" s="9">
        <f>IF(16=$B$6,-$K$17*$B$12,0)</f>
        <v/>
      </c>
      <c r="CI106" s="9">
        <f>CG106/(CF106-CE106*CI105)</f>
        <v/>
      </c>
      <c r="CJ106" s="9">
        <f>(CH106-CE106*CJ105)/(CF106-CE106*CI105)</f>
        <v/>
      </c>
      <c r="CK106" s="16">
        <f>CJ106-CI106*CK107</f>
        <v/>
      </c>
      <c r="CL106" s="9">
        <f>IF(16&gt;$B$6+$B$7,$G$18*$B$11^$H$18,$E$18*$B$9^$F$18)</f>
        <v/>
      </c>
      <c r="CM106" s="9">
        <f>IF(16=1,0,$B$14)</f>
        <v/>
      </c>
      <c r="CN106" s="9">
        <f>-($B$14+(IF(16&lt;=$B$6,$B$13*$B$15+$B$12,IF(16&lt;=$B$6+$B$7,$B$13*$B$15,$B$13)))/CL106)</f>
        <v/>
      </c>
      <c r="CO106" s="9">
        <f>IF(16=$B$6+$B$7,0,IF(16&gt;$B$6+$B$7,$B$13/CL107,IF(16&gt;=$B$6,$B$13*$B$15/CL107,($B$13*$B$15+$B$12)/CL107)))</f>
        <v/>
      </c>
      <c r="CP106" s="9">
        <f>IF(16=$B$6,-$K$18*$B$12,0)</f>
        <v/>
      </c>
      <c r="CQ106" s="9">
        <f>CO106/(CN106-CM106*CQ105)</f>
        <v/>
      </c>
      <c r="CR106" s="9">
        <f>(CP106-CM106*CR105)/(CN106-CM106*CQ105)</f>
        <v/>
      </c>
      <c r="CS106" s="16">
        <f>CR106-CQ106*CS107</f>
        <v/>
      </c>
      <c r="CT106" s="9">
        <f>IF(16&gt;$B$6+$B$7,$G$19*$B$11^$H$19,$E$19*$B$9^$F$19)</f>
        <v/>
      </c>
      <c r="CU106" s="9">
        <f>IF(16=1,0,$B$14)</f>
        <v/>
      </c>
      <c r="CV106" s="9">
        <f>-($B$14+(IF(16&lt;=$B$6,$B$13*$B$15+$B$12,IF(16&lt;=$B$6+$B$7,$B$13*$B$15,$B$13)))/CT106)</f>
        <v/>
      </c>
      <c r="CW106" s="9">
        <f>IF(16=$B$6+$B$7,0,IF(16&gt;$B$6+$B$7,$B$13/CT107,IF(16&gt;=$B$6,$B$13*$B$15/CT107,($B$13*$B$15+$B$12)/CT107)))</f>
        <v/>
      </c>
      <c r="CX106" s="9">
        <f>IF(16=$B$6,-$K$19*$B$12,0)</f>
        <v/>
      </c>
      <c r="CY106" s="9">
        <f>CW106/(CV106-CU106*CY105)</f>
        <v/>
      </c>
      <c r="CZ106" s="9">
        <f>(CX106-CU106*CZ105)/(CV106-CU106*CY105)</f>
        <v/>
      </c>
      <c r="DA106" s="16">
        <f>CZ106-CY106*DA107</f>
        <v/>
      </c>
      <c r="DB106" s="9">
        <f>IF(16&gt;$B$6+$B$7,$G$20*$B$11^$H$20,$E$20*$B$9^$F$20)</f>
        <v/>
      </c>
      <c r="DC106" s="9">
        <f>IF(16=1,0,$B$14)</f>
        <v/>
      </c>
      <c r="DD106" s="9">
        <f>-($B$14+(IF(16&lt;=$B$6,$B$13*$B$15+$B$12,IF(16&lt;=$B$6+$B$7,$B$13*$B$15,$B$13)))/DB106)</f>
        <v/>
      </c>
      <c r="DE106" s="9">
        <f>IF(16=$B$6+$B$7,0,IF(16&gt;$B$6+$B$7,$B$13/DB107,IF(16&gt;=$B$6,$B$13*$B$15/DB107,($B$13*$B$15+$B$12)/DB107)))</f>
        <v/>
      </c>
      <c r="DF106" s="9">
        <f>IF(16=$B$6,-$K$20*$B$12,0)</f>
        <v/>
      </c>
      <c r="DG106" s="9">
        <f>DE106/(DD106-DC106*DG105)</f>
        <v/>
      </c>
      <c r="DH106" s="9">
        <f>(DF106-DC106*DH105)/(DD106-DC106*DG105)</f>
        <v/>
      </c>
      <c r="DI106" s="16">
        <f>DH106-DG106*DI107</f>
        <v/>
      </c>
      <c r="DJ106" s="9">
        <f>IF(16&gt;$B$6+$B$7,$G$21*$B$11^$H$21,$E$21*$B$9^$F$21)</f>
        <v/>
      </c>
      <c r="DK106" s="9">
        <f>IF(16=1,0,$B$14)</f>
        <v/>
      </c>
      <c r="DL106" s="9">
        <f>-($B$14+(IF(16&lt;=$B$6,$B$13*$B$15+$B$12,IF(16&lt;=$B$6+$B$7,$B$13*$B$15,$B$13)))/DJ106)</f>
        <v/>
      </c>
      <c r="DM106" s="9">
        <f>IF(16=$B$6+$B$7,0,IF(16&gt;$B$6+$B$7,$B$13/DJ107,IF(16&gt;=$B$6,$B$13*$B$15/DJ107,($B$13*$B$15+$B$12)/DJ107)))</f>
        <v/>
      </c>
      <c r="DN106" s="9">
        <f>IF(16=$B$6,-$K$21*$B$12,0)</f>
        <v/>
      </c>
      <c r="DO106" s="9">
        <f>DM106/(DL106-DK106*DO105)</f>
        <v/>
      </c>
      <c r="DP106" s="9">
        <f>(DN106-DK106*DP105)/(DL106-DK106*DO105)</f>
        <v/>
      </c>
      <c r="DQ106" s="16">
        <f>DP106-DO106*DQ107</f>
        <v/>
      </c>
      <c r="DR106" s="9">
        <f>IF(16&gt;$B$6+$B$7,$G$22*$B$11^$H$22,$E$22*$B$9^$F$22)</f>
        <v/>
      </c>
      <c r="DS106" s="9">
        <f>IF(16=1,0,$B$14)</f>
        <v/>
      </c>
      <c r="DT106" s="9">
        <f>-($B$14+(IF(16&lt;=$B$6,$B$13*$B$15+$B$12,IF(16&lt;=$B$6+$B$7,$B$13*$B$15,$B$13)))/DR106)</f>
        <v/>
      </c>
      <c r="DU106" s="9">
        <f>IF(16=$B$6+$B$7,0,IF(16&gt;$B$6+$B$7,$B$13/DR107,IF(16&gt;=$B$6,$B$13*$B$15/DR107,($B$13*$B$15+$B$12)/DR107)))</f>
        <v/>
      </c>
      <c r="DV106" s="9">
        <f>IF(16=$B$6,-$K$22*$B$12,0)</f>
        <v/>
      </c>
      <c r="DW106" s="9">
        <f>DU106/(DT106-DS106*DW105)</f>
        <v/>
      </c>
      <c r="DX106" s="9">
        <f>(DV106-DS106*DX105)/(DT106-DS106*DW105)</f>
        <v/>
      </c>
      <c r="DY106" s="16">
        <f>DX106-DW106*DY107</f>
        <v/>
      </c>
      <c r="DZ106" s="9">
        <f>IF(16&gt;$B$6+$B$7,$G$23*$B$11^$H$23,$E$23*$B$9^$F$23)</f>
        <v/>
      </c>
      <c r="EA106" s="9">
        <f>IF(16=1,0,$B$14)</f>
        <v/>
      </c>
      <c r="EB106" s="9">
        <f>-($B$14+(IF(16&lt;=$B$6,$B$13*$B$15+$B$12,IF(16&lt;=$B$6+$B$7,$B$13*$B$15,$B$13)))/DZ106)</f>
        <v/>
      </c>
      <c r="EC106" s="9">
        <f>IF(16=$B$6+$B$7,0,IF(16&gt;$B$6+$B$7,$B$13/DZ107,IF(16&gt;=$B$6,$B$13*$B$15/DZ107,($B$13*$B$15+$B$12)/DZ107)))</f>
        <v/>
      </c>
      <c r="ED106" s="9">
        <f>IF(16=$B$6,-$K$23*$B$12,0)</f>
        <v/>
      </c>
      <c r="EE106" s="9">
        <f>EC106/(EB106-EA106*EE105)</f>
        <v/>
      </c>
      <c r="EF106" s="9">
        <f>(ED106-EA106*EF105)/(EB106-EA106*EE105)</f>
        <v/>
      </c>
      <c r="EG106" s="16">
        <f>EF106-EE106*EG107</f>
        <v/>
      </c>
      <c r="EH106" s="9">
        <f>IF(16&gt;$B$6+$B$7,$G$24*$B$11^$H$24,$E$24*$B$9^$F$24)</f>
        <v/>
      </c>
      <c r="EI106" s="9">
        <f>IF(16=1,0,$B$14)</f>
        <v/>
      </c>
      <c r="EJ106" s="9">
        <f>-($B$14+(IF(16&lt;=$B$6,$B$13*$B$15+$B$12,IF(16&lt;=$B$6+$B$7,$B$13*$B$15,$B$13)))/EH106)</f>
        <v/>
      </c>
      <c r="EK106" s="9">
        <f>IF(16=$B$6+$B$7,0,IF(16&gt;$B$6+$B$7,$B$13/EH107,IF(16&gt;=$B$6,$B$13*$B$15/EH107,($B$13*$B$15+$B$12)/EH107)))</f>
        <v/>
      </c>
      <c r="EL106" s="9">
        <f>IF(16=$B$6,-$K$24*$B$12,0)</f>
        <v/>
      </c>
      <c r="EM106" s="9">
        <f>EK106/(EJ106-EI106*EM105)</f>
        <v/>
      </c>
      <c r="EN106" s="9">
        <f>(EL106-EI106*EN105)/(EJ106-EI106*EM105)</f>
        <v/>
      </c>
      <c r="EO106" s="16">
        <f>EN106-EM106*EO107</f>
        <v/>
      </c>
      <c r="EP106" s="9">
        <f>IF(16&gt;$B$6+$B$7,$G$25*$B$11^$H$25,$E$25*$B$9^$F$25)</f>
        <v/>
      </c>
      <c r="EQ106" s="9">
        <f>IF(16=1,0,$B$14)</f>
        <v/>
      </c>
      <c r="ER106" s="9">
        <f>-($B$14+(IF(16&lt;=$B$6,$B$13*$B$15+$B$12,IF(16&lt;=$B$6+$B$7,$B$13*$B$15,$B$13)))/EP106)</f>
        <v/>
      </c>
      <c r="ES106" s="9">
        <f>IF(16=$B$6+$B$7,0,IF(16&gt;$B$6+$B$7,$B$13/EP107,IF(16&gt;=$B$6,$B$13*$B$15/EP107,($B$13*$B$15+$B$12)/EP107)))</f>
        <v/>
      </c>
      <c r="ET106" s="9">
        <f>IF(16=$B$6,-$K$25*$B$12,0)</f>
        <v/>
      </c>
      <c r="EU106" s="9">
        <f>ES106/(ER106-EQ106*EU105)</f>
        <v/>
      </c>
      <c r="EV106" s="9">
        <f>(ET106-EQ106*EV105)/(ER106-EQ106*EU105)</f>
        <v/>
      </c>
      <c r="EW106" s="16">
        <f>EV106-EU106*EW107</f>
        <v/>
      </c>
      <c r="EX106" s="9">
        <f>IF(16&gt;$B$6+$B$7,$G$26*$B$11^$H$26,$E$26*$B$9^$F$26)</f>
        <v/>
      </c>
      <c r="EY106" s="9">
        <f>IF(16=1,0,$B$14)</f>
        <v/>
      </c>
      <c r="EZ106" s="9">
        <f>-($B$14+(IF(16&lt;=$B$6,$B$13*$B$15+$B$12,IF(16&lt;=$B$6+$B$7,$B$13*$B$15,$B$13)))/EX106)</f>
        <v/>
      </c>
      <c r="FA106" s="9">
        <f>IF(16=$B$6+$B$7,0,IF(16&gt;$B$6+$B$7,$B$13/EX107,IF(16&gt;=$B$6,$B$13*$B$15/EX107,($B$13*$B$15+$B$12)/EX107)))</f>
        <v/>
      </c>
      <c r="FB106" s="9">
        <f>IF(16=$B$6,-$K$26*$B$12,0)</f>
        <v/>
      </c>
      <c r="FC106" s="9">
        <f>FA106/(EZ106-EY106*FC105)</f>
        <v/>
      </c>
      <c r="FD106" s="9">
        <f>(FB106-EY106*FD105)/(EZ106-EY106*FC105)</f>
        <v/>
      </c>
      <c r="FE106" s="16">
        <f>FD106-FC106*FE107</f>
        <v/>
      </c>
      <c r="FF106" s="9">
        <f>IF(16&gt;$B$6+$B$7,$G$27*$B$11^$H$27,$E$27*$B$9^$F$27)</f>
        <v/>
      </c>
      <c r="FG106" s="9">
        <f>IF(16=1,0,$B$14)</f>
        <v/>
      </c>
      <c r="FH106" s="9">
        <f>-($B$14+(IF(16&lt;=$B$6,$B$13*$B$15+$B$12,IF(16&lt;=$B$6+$B$7,$B$13*$B$15,$B$13)))/FF106)</f>
        <v/>
      </c>
      <c r="FI106" s="9">
        <f>IF(16=$B$6+$B$7,0,IF(16&gt;$B$6+$B$7,$B$13/FF107,IF(16&gt;=$B$6,$B$13*$B$15/FF107,($B$13*$B$15+$B$12)/FF107)))</f>
        <v/>
      </c>
      <c r="FJ106" s="9">
        <f>IF(16=$B$6,-$K$27*$B$12,0)</f>
        <v/>
      </c>
      <c r="FK106" s="9">
        <f>FI106/(FH106-FG106*FK105)</f>
        <v/>
      </c>
      <c r="FL106" s="9">
        <f>(FJ106-FG106*FL105)/(FH106-FG106*FK105)</f>
        <v/>
      </c>
      <c r="FM106" s="16">
        <f>FL106-FK106*FM107</f>
        <v/>
      </c>
      <c r="FN106" s="9">
        <f>IF(16&gt;$B$6+$B$7,$G$28*$B$11^$H$28,$E$28*$B$9^$F$28)</f>
        <v/>
      </c>
      <c r="FO106" s="9">
        <f>IF(16=1,0,$B$14)</f>
        <v/>
      </c>
      <c r="FP106" s="9">
        <f>-($B$14+(IF(16&lt;=$B$6,$B$13*$B$15+$B$12,IF(16&lt;=$B$6+$B$7,$B$13*$B$15,$B$13)))/FN106)</f>
        <v/>
      </c>
      <c r="FQ106" s="9">
        <f>IF(16=$B$6+$B$7,0,IF(16&gt;$B$6+$B$7,$B$13/FN107,IF(16&gt;=$B$6,$B$13*$B$15/FN107,($B$13*$B$15+$B$12)/FN107)))</f>
        <v/>
      </c>
      <c r="FR106" s="9">
        <f>IF(16=$B$6,-$K$28*$B$12,0)</f>
        <v/>
      </c>
      <c r="FS106" s="9">
        <f>FQ106/(FP106-FO106*FS105)</f>
        <v/>
      </c>
      <c r="FT106" s="9">
        <f>(FR106-FO106*FT105)/(FP106-FO106*FS105)</f>
        <v/>
      </c>
      <c r="FU106" s="16">
        <f>FT106-FS106*FU107</f>
        <v/>
      </c>
      <c r="FV106" s="9">
        <f>IF(16&gt;$B$6+$B$7,$G$29*$B$11^$H$29,$E$29*$B$9^$F$29)</f>
        <v/>
      </c>
      <c r="FW106" s="9">
        <f>IF(16=1,0,$B$14)</f>
        <v/>
      </c>
      <c r="FX106" s="9">
        <f>-($B$14+(IF(16&lt;=$B$6,$B$13*$B$15+$B$12,IF(16&lt;=$B$6+$B$7,$B$13*$B$15,$B$13)))/FV106)</f>
        <v/>
      </c>
      <c r="FY106" s="9">
        <f>IF(16=$B$6+$B$7,0,IF(16&gt;$B$6+$B$7,$B$13/FV107,IF(16&gt;=$B$6,$B$13*$B$15/FV107,($B$13*$B$15+$B$12)/FV107)))</f>
        <v/>
      </c>
      <c r="FZ106" s="9">
        <f>IF(16=$B$6,-$K$29*$B$12,0)</f>
        <v/>
      </c>
      <c r="GA106" s="9">
        <f>FY106/(FX106-FW106*GA105)</f>
        <v/>
      </c>
      <c r="GB106" s="9">
        <f>(FZ106-FW106*GB105)/(FX106-FW106*GA105)</f>
        <v/>
      </c>
      <c r="GC106" s="16">
        <f>GB106-GA106*GC107</f>
        <v/>
      </c>
      <c r="GD106" s="9">
        <f>IF(16&gt;$B$6+$B$7,$G$30*$B$11^$H$30,$E$30*$B$9^$F$30)</f>
        <v/>
      </c>
      <c r="GE106" s="9">
        <f>IF(16=1,0,$B$14)</f>
        <v/>
      </c>
      <c r="GF106" s="9">
        <f>-($B$14+(IF(16&lt;=$B$6,$B$13*$B$15+$B$12,IF(16&lt;=$B$6+$B$7,$B$13*$B$15,$B$13)))/GD106)</f>
        <v/>
      </c>
      <c r="GG106" s="9">
        <f>IF(16=$B$6+$B$7,0,IF(16&gt;$B$6+$B$7,$B$13/GD107,IF(16&gt;=$B$6,$B$13*$B$15/GD107,($B$13*$B$15+$B$12)/GD107)))</f>
        <v/>
      </c>
      <c r="GH106" s="9">
        <f>IF(16=$B$6,-$K$30*$B$12,0)</f>
        <v/>
      </c>
      <c r="GI106" s="9">
        <f>GG106/(GF106-GE106*GI105)</f>
        <v/>
      </c>
      <c r="GJ106" s="9">
        <f>(GH106-GE106*GJ105)/(GF106-GE106*GI105)</f>
        <v/>
      </c>
      <c r="GK106" s="16">
        <f>GJ106-GI106*GK107</f>
        <v/>
      </c>
      <c r="GL106" s="9">
        <f>IF(16&gt;$B$6+$B$7,$G$31*$B$11^$H$31,$E$31*$B$9^$F$31)</f>
        <v/>
      </c>
      <c r="GM106" s="9">
        <f>IF(16=1,0,$B$14)</f>
        <v/>
      </c>
      <c r="GN106" s="9">
        <f>-($B$14+(IF(16&lt;=$B$6,$B$13*$B$15+$B$12,IF(16&lt;=$B$6+$B$7,$B$13*$B$15,$B$13)))/GL106)</f>
        <v/>
      </c>
      <c r="GO106" s="9">
        <f>IF(16=$B$6+$B$7,0,IF(16&gt;$B$6+$B$7,$B$13/GL107,IF(16&gt;=$B$6,$B$13*$B$15/GL107,($B$13*$B$15+$B$12)/GL107)))</f>
        <v/>
      </c>
      <c r="GP106" s="9">
        <f>IF(16=$B$6,-$K$31*$B$12,0)</f>
        <v/>
      </c>
      <c r="GQ106" s="9">
        <f>GO106/(GN106-GM106*GQ105)</f>
        <v/>
      </c>
      <c r="GR106" s="9">
        <f>(GP106-GM106*GR105)/(GN106-GM106*GQ105)</f>
        <v/>
      </c>
      <c r="GS106" s="16">
        <f>GR106-GQ106*GS107</f>
        <v/>
      </c>
      <c r="GT106" s="9">
        <f>IF(16&gt;$B$6+$B$7,$G$32*$B$11^$H$32,$E$32*$B$9^$F$32)</f>
        <v/>
      </c>
      <c r="GU106" s="9">
        <f>IF(16=1,0,$B$14)</f>
        <v/>
      </c>
      <c r="GV106" s="9">
        <f>-($B$14+(IF(16&lt;=$B$6,$B$13*$B$15+$B$12,IF(16&lt;=$B$6+$B$7,$B$13*$B$15,$B$13)))/GT106)</f>
        <v/>
      </c>
      <c r="GW106" s="9">
        <f>IF(16=$B$6+$B$7,0,IF(16&gt;$B$6+$B$7,$B$13/GT107,IF(16&gt;=$B$6,$B$13*$B$15/GT107,($B$13*$B$15+$B$12)/GT107)))</f>
        <v/>
      </c>
      <c r="GX106" s="9">
        <f>IF(16=$B$6,-$K$32*$B$12,0)</f>
        <v/>
      </c>
      <c r="GY106" s="9">
        <f>GW106/(GV106-GU106*GY105)</f>
        <v/>
      </c>
      <c r="GZ106" s="9">
        <f>(GX106-GU106*GZ105)/(GV106-GU106*GY105)</f>
        <v/>
      </c>
      <c r="HA106" s="16">
        <f>GZ106-GY106*HA107</f>
        <v/>
      </c>
      <c r="HB106" s="12">
        <f>IFERROR(I106/B106,0)</f>
        <v/>
      </c>
      <c r="HC106" s="12">
        <f>IFERROR(Q106/J106,0)</f>
        <v/>
      </c>
      <c r="HD106" s="12">
        <f>IFERROR(Y106/R106,0)</f>
        <v/>
      </c>
      <c r="HE106" s="12">
        <f>IFERROR(AG106/Z106,0)</f>
        <v/>
      </c>
      <c r="HF106" s="12">
        <f>IFERROR(AO106/AH106,0)</f>
        <v/>
      </c>
      <c r="HG106" s="12">
        <f>IFERROR(AW106/AP106,0)</f>
        <v/>
      </c>
      <c r="HH106" s="12">
        <f>IFERROR(BE106/AX106,0)</f>
        <v/>
      </c>
      <c r="HI106" s="12">
        <f>IFERROR(BM106/BF106,0)</f>
        <v/>
      </c>
      <c r="HJ106" s="12">
        <f>IFERROR(BU106/BN106,0)</f>
        <v/>
      </c>
      <c r="HK106" s="12">
        <f>IFERROR(CC106/BV106,0)</f>
        <v/>
      </c>
      <c r="HL106" s="12">
        <f>IFERROR(CK106/CD106,0)</f>
        <v/>
      </c>
      <c r="HM106" s="12">
        <f>IFERROR(CS106/CL106,0)</f>
        <v/>
      </c>
      <c r="HN106" s="12">
        <f>IFERROR(DA106/CT106,0)</f>
        <v/>
      </c>
      <c r="HO106" s="12">
        <f>IFERROR(DI106/DB106,0)</f>
        <v/>
      </c>
      <c r="HP106" s="12">
        <f>IFERROR(DQ106/DJ106,0)</f>
        <v/>
      </c>
      <c r="HQ106" s="12">
        <f>IFERROR(DY106/DR106,0)</f>
        <v/>
      </c>
      <c r="HR106" s="12">
        <f>IFERROR(EG106/DZ106,0)</f>
        <v/>
      </c>
      <c r="HS106" s="12">
        <f>IFERROR(EO106/EH106,0)</f>
        <v/>
      </c>
      <c r="HT106" s="12">
        <f>IFERROR(EW106/EP106,0)</f>
        <v/>
      </c>
      <c r="HU106" s="12">
        <f>IFERROR(FE106/EX106,0)</f>
        <v/>
      </c>
      <c r="HV106" s="12">
        <f>IFERROR(FM106/FF106,0)</f>
        <v/>
      </c>
      <c r="HW106" s="12">
        <f>IFERROR(FU106/FN106,0)</f>
        <v/>
      </c>
      <c r="HX106" s="12">
        <f>IFERROR(GC106/FV106,0)</f>
        <v/>
      </c>
      <c r="HY106" s="12">
        <f>IFERROR(GK106/GD106,0)</f>
        <v/>
      </c>
      <c r="HZ106" s="12">
        <f>IFERROR(GS106/GL106,0)</f>
        <v/>
      </c>
      <c r="IA106" s="12">
        <f>IFERROR(HA106/GT106,0)</f>
        <v/>
      </c>
      <c r="IB106" s="12">
        <f>I106+Q106+Y106+AG106+AO106+AW106+BE106+BM106+BU106+CC106+CK106+CS106+DA106+DI106+DQ106+DY106+EG106+EO106+EW106+FE106+FM106+FU106+GC106+GK106+GS106+HA106</f>
        <v/>
      </c>
      <c r="IC106" s="12">
        <f>HB106+HC106+HD106+HE106+HF106+HG106+HH106+HI106+HJ106+HK106+HL106+HM106+HN106+HO106+HP106+HQ106+HR106+HS106+HT106+HU106+HV106+HW106+HX106+HY106+HZ106+IA106</f>
        <v/>
      </c>
    </row>
    <row r="107" ht="14" customHeight="1">
      <c r="A107" s="29" t="n">
        <v>17</v>
      </c>
      <c r="B107" s="9">
        <f>IF(17&gt;$B$6+$B$7,$G$7*$B$11^$H$7,$E$7*$B$9^$F$7)</f>
        <v/>
      </c>
      <c r="C107" s="9">
        <f>IF(17=1,0,$B$14)</f>
        <v/>
      </c>
      <c r="D107" s="9">
        <f>-($B$14+(IF(17&lt;=$B$6,$B$13*$B$15+$B$12,IF(17&lt;=$B$6+$B$7,$B$13*$B$15,$B$13)))/B107)</f>
        <v/>
      </c>
      <c r="E107" s="9">
        <f>IF(17=$B$6+$B$7,0,IF(17&gt;$B$6+$B$7,$B$13/B108,IF(17&gt;=$B$6,$B$13*$B$15/B108,($B$13*$B$15+$B$12)/B108)))</f>
        <v/>
      </c>
      <c r="F107" s="9">
        <f>IF(17=$B$6,-$K$7*$B$12,0)</f>
        <v/>
      </c>
      <c r="G107" s="9">
        <f>E107/(D107-C107*G106)</f>
        <v/>
      </c>
      <c r="H107" s="9">
        <f>(F107-C107*H106)/(D107-C107*G106)</f>
        <v/>
      </c>
      <c r="I107" s="16">
        <f>H107-G107*I108</f>
        <v/>
      </c>
      <c r="J107" s="9">
        <f>IF(17&gt;$B$6+$B$7,$G$8*$B$11^$H$8,$E$8*$B$9^$F$8)</f>
        <v/>
      </c>
      <c r="K107" s="9">
        <f>IF(17=1,0,$B$14)</f>
        <v/>
      </c>
      <c r="L107" s="9">
        <f>-($B$14+(IF(17&lt;=$B$6,$B$13*$B$15+$B$12,IF(17&lt;=$B$6+$B$7,$B$13*$B$15,$B$13)))/J107)</f>
        <v/>
      </c>
      <c r="M107" s="9">
        <f>IF(17=$B$6+$B$7,0,IF(17&gt;$B$6+$B$7,$B$13/J108,IF(17&gt;=$B$6,$B$13*$B$15/J108,($B$13*$B$15+$B$12)/J108)))</f>
        <v/>
      </c>
      <c r="N107" s="9">
        <f>IF(17=$B$6,-$K$8*$B$12,0)</f>
        <v/>
      </c>
      <c r="O107" s="9">
        <f>M107/(L107-K107*O106)</f>
        <v/>
      </c>
      <c r="P107" s="9">
        <f>(N107-K107*P106)/(L107-K107*O106)</f>
        <v/>
      </c>
      <c r="Q107" s="16">
        <f>P107-O107*Q108</f>
        <v/>
      </c>
      <c r="R107" s="9">
        <f>IF(17&gt;$B$6+$B$7,$G$9*$B$11^$H$9,$E$9*$B$9^$F$9)</f>
        <v/>
      </c>
      <c r="S107" s="9">
        <f>IF(17=1,0,$B$14)</f>
        <v/>
      </c>
      <c r="T107" s="9">
        <f>-($B$14+(IF(17&lt;=$B$6,$B$13*$B$15+$B$12,IF(17&lt;=$B$6+$B$7,$B$13*$B$15,$B$13)))/R107)</f>
        <v/>
      </c>
      <c r="U107" s="9">
        <f>IF(17=$B$6+$B$7,0,IF(17&gt;$B$6+$B$7,$B$13/R108,IF(17&gt;=$B$6,$B$13*$B$15/R108,($B$13*$B$15+$B$12)/R108)))</f>
        <v/>
      </c>
      <c r="V107" s="9">
        <f>IF(17=$B$6,-$K$9*$B$12,0)</f>
        <v/>
      </c>
      <c r="W107" s="9">
        <f>U107/(T107-S107*W106)</f>
        <v/>
      </c>
      <c r="X107" s="9">
        <f>(V107-S107*X106)/(T107-S107*W106)</f>
        <v/>
      </c>
      <c r="Y107" s="16">
        <f>X107-W107*Y108</f>
        <v/>
      </c>
      <c r="Z107" s="9">
        <f>IF(17&gt;$B$6+$B$7,$G$10*$B$11^$H$10,$E$10*$B$9^$F$10)</f>
        <v/>
      </c>
      <c r="AA107" s="9">
        <f>IF(17=1,0,$B$14)</f>
        <v/>
      </c>
      <c r="AB107" s="9">
        <f>-($B$14+(IF(17&lt;=$B$6,$B$13*$B$15+$B$12,IF(17&lt;=$B$6+$B$7,$B$13*$B$15,$B$13)))/Z107)</f>
        <v/>
      </c>
      <c r="AC107" s="9">
        <f>IF(17=$B$6+$B$7,0,IF(17&gt;$B$6+$B$7,$B$13/Z108,IF(17&gt;=$B$6,$B$13*$B$15/Z108,($B$13*$B$15+$B$12)/Z108)))</f>
        <v/>
      </c>
      <c r="AD107" s="9">
        <f>IF(17=$B$6,-$K$10*$B$12,0)</f>
        <v/>
      </c>
      <c r="AE107" s="9">
        <f>AC107/(AB107-AA107*AE106)</f>
        <v/>
      </c>
      <c r="AF107" s="9">
        <f>(AD107-AA107*AF106)/(AB107-AA107*AE106)</f>
        <v/>
      </c>
      <c r="AG107" s="16">
        <f>AF107-AE107*AG108</f>
        <v/>
      </c>
      <c r="AH107" s="9">
        <f>IF(17&gt;$B$6+$B$7,$G$11*$B$11^$H$11,$E$11*$B$9^$F$11)</f>
        <v/>
      </c>
      <c r="AI107" s="9">
        <f>IF(17=1,0,$B$14)</f>
        <v/>
      </c>
      <c r="AJ107" s="9">
        <f>-($B$14+(IF(17&lt;=$B$6,$B$13*$B$15+$B$12,IF(17&lt;=$B$6+$B$7,$B$13*$B$15,$B$13)))/AH107)</f>
        <v/>
      </c>
      <c r="AK107" s="9">
        <f>IF(17=$B$6+$B$7,0,IF(17&gt;$B$6+$B$7,$B$13/AH108,IF(17&gt;=$B$6,$B$13*$B$15/AH108,($B$13*$B$15+$B$12)/AH108)))</f>
        <v/>
      </c>
      <c r="AL107" s="9">
        <f>IF(17=$B$6,-$K$11*$B$12,0)</f>
        <v/>
      </c>
      <c r="AM107" s="9">
        <f>AK107/(AJ107-AI107*AM106)</f>
        <v/>
      </c>
      <c r="AN107" s="9">
        <f>(AL107-AI107*AN106)/(AJ107-AI107*AM106)</f>
        <v/>
      </c>
      <c r="AO107" s="16">
        <f>AN107-AM107*AO108</f>
        <v/>
      </c>
      <c r="AP107" s="9">
        <f>IF(17&gt;$B$6+$B$7,$G$12*$B$11^$H$12,$E$12*$B$9^$F$12)</f>
        <v/>
      </c>
      <c r="AQ107" s="9">
        <f>IF(17=1,0,$B$14)</f>
        <v/>
      </c>
      <c r="AR107" s="9">
        <f>-($B$14+(IF(17&lt;=$B$6,$B$13*$B$15+$B$12,IF(17&lt;=$B$6+$B$7,$B$13*$B$15,$B$13)))/AP107)</f>
        <v/>
      </c>
      <c r="AS107" s="9">
        <f>IF(17=$B$6+$B$7,0,IF(17&gt;$B$6+$B$7,$B$13/AP108,IF(17&gt;=$B$6,$B$13*$B$15/AP108,($B$13*$B$15+$B$12)/AP108)))</f>
        <v/>
      </c>
      <c r="AT107" s="9">
        <f>IF(17=$B$6,-$K$12*$B$12,0)</f>
        <v/>
      </c>
      <c r="AU107" s="9">
        <f>AS107/(AR107-AQ107*AU106)</f>
        <v/>
      </c>
      <c r="AV107" s="9">
        <f>(AT107-AQ107*AV106)/(AR107-AQ107*AU106)</f>
        <v/>
      </c>
      <c r="AW107" s="16">
        <f>AV107-AU107*AW108</f>
        <v/>
      </c>
      <c r="AX107" s="9">
        <f>IF(17&gt;$B$6+$B$7,$G$13*$B$11^$H$13,$E$13*$B$9^$F$13)</f>
        <v/>
      </c>
      <c r="AY107" s="9">
        <f>IF(17=1,0,$B$14)</f>
        <v/>
      </c>
      <c r="AZ107" s="9">
        <f>-($B$14+(IF(17&lt;=$B$6,$B$13*$B$15+$B$12,IF(17&lt;=$B$6+$B$7,$B$13*$B$15,$B$13)))/AX107)</f>
        <v/>
      </c>
      <c r="BA107" s="9">
        <f>IF(17=$B$6+$B$7,0,IF(17&gt;$B$6+$B$7,$B$13/AX108,IF(17&gt;=$B$6,$B$13*$B$15/AX108,($B$13*$B$15+$B$12)/AX108)))</f>
        <v/>
      </c>
      <c r="BB107" s="9">
        <f>IF(17=$B$6,-$K$13*$B$12,0)</f>
        <v/>
      </c>
      <c r="BC107" s="9">
        <f>BA107/(AZ107-AY107*BC106)</f>
        <v/>
      </c>
      <c r="BD107" s="9">
        <f>(BB107-AY107*BD106)/(AZ107-AY107*BC106)</f>
        <v/>
      </c>
      <c r="BE107" s="16">
        <f>BD107-BC107*BE108</f>
        <v/>
      </c>
      <c r="BF107" s="9">
        <f>IF(17&gt;$B$6+$B$7,$G$14*$B$11^$H$14,$E$14*$B$9^$F$14)</f>
        <v/>
      </c>
      <c r="BG107" s="9">
        <f>IF(17=1,0,$B$14)</f>
        <v/>
      </c>
      <c r="BH107" s="9">
        <f>-($B$14+(IF(17&lt;=$B$6,$B$13*$B$15+$B$12,IF(17&lt;=$B$6+$B$7,$B$13*$B$15,$B$13)))/BF107)</f>
        <v/>
      </c>
      <c r="BI107" s="9">
        <f>IF(17=$B$6+$B$7,0,IF(17&gt;$B$6+$B$7,$B$13/BF108,IF(17&gt;=$B$6,$B$13*$B$15/BF108,($B$13*$B$15+$B$12)/BF108)))</f>
        <v/>
      </c>
      <c r="BJ107" s="9">
        <f>IF(17=$B$6,-$K$14*$B$12,0)</f>
        <v/>
      </c>
      <c r="BK107" s="9">
        <f>BI107/(BH107-BG107*BK106)</f>
        <v/>
      </c>
      <c r="BL107" s="9">
        <f>(BJ107-BG107*BL106)/(BH107-BG107*BK106)</f>
        <v/>
      </c>
      <c r="BM107" s="16">
        <f>BL107-BK107*BM108</f>
        <v/>
      </c>
      <c r="BN107" s="9">
        <f>IF(17&gt;$B$6+$B$7,$G$15*$B$11^$H$15,$E$15*$B$9^$F$15)</f>
        <v/>
      </c>
      <c r="BO107" s="9">
        <f>IF(17=1,0,$B$14)</f>
        <v/>
      </c>
      <c r="BP107" s="9">
        <f>-($B$14+(IF(17&lt;=$B$6,$B$13*$B$15+$B$12,IF(17&lt;=$B$6+$B$7,$B$13*$B$15,$B$13)))/BN107)</f>
        <v/>
      </c>
      <c r="BQ107" s="9">
        <f>IF(17=$B$6+$B$7,0,IF(17&gt;$B$6+$B$7,$B$13/BN108,IF(17&gt;=$B$6,$B$13*$B$15/BN108,($B$13*$B$15+$B$12)/BN108)))</f>
        <v/>
      </c>
      <c r="BR107" s="9">
        <f>IF(17=$B$6,-$K$15*$B$12,0)</f>
        <v/>
      </c>
      <c r="BS107" s="9">
        <f>BQ107/(BP107-BO107*BS106)</f>
        <v/>
      </c>
      <c r="BT107" s="9">
        <f>(BR107-BO107*BT106)/(BP107-BO107*BS106)</f>
        <v/>
      </c>
      <c r="BU107" s="16">
        <f>BT107-BS107*BU108</f>
        <v/>
      </c>
      <c r="BV107" s="9">
        <f>IF(17&gt;$B$6+$B$7,$G$16*$B$11^$H$16,$E$16*$B$9^$F$16)</f>
        <v/>
      </c>
      <c r="BW107" s="9">
        <f>IF(17=1,0,$B$14)</f>
        <v/>
      </c>
      <c r="BX107" s="9">
        <f>-($B$14+(IF(17&lt;=$B$6,$B$13*$B$15+$B$12,IF(17&lt;=$B$6+$B$7,$B$13*$B$15,$B$13)))/BV107)</f>
        <v/>
      </c>
      <c r="BY107" s="9">
        <f>IF(17=$B$6+$B$7,0,IF(17&gt;$B$6+$B$7,$B$13/BV108,IF(17&gt;=$B$6,$B$13*$B$15/BV108,($B$13*$B$15+$B$12)/BV108)))</f>
        <v/>
      </c>
      <c r="BZ107" s="9">
        <f>IF(17=$B$6,-$K$16*$B$12,0)</f>
        <v/>
      </c>
      <c r="CA107" s="9">
        <f>BY107/(BX107-BW107*CA106)</f>
        <v/>
      </c>
      <c r="CB107" s="9">
        <f>(BZ107-BW107*CB106)/(BX107-BW107*CA106)</f>
        <v/>
      </c>
      <c r="CC107" s="16">
        <f>CB107-CA107*CC108</f>
        <v/>
      </c>
      <c r="CD107" s="9">
        <f>IF(17&gt;$B$6+$B$7,$G$17*$B$11^$H$17,$E$17*$B$9^$F$17)</f>
        <v/>
      </c>
      <c r="CE107" s="9">
        <f>IF(17=1,0,$B$14)</f>
        <v/>
      </c>
      <c r="CF107" s="9">
        <f>-($B$14+(IF(17&lt;=$B$6,$B$13*$B$15+$B$12,IF(17&lt;=$B$6+$B$7,$B$13*$B$15,$B$13)))/CD107)</f>
        <v/>
      </c>
      <c r="CG107" s="9">
        <f>IF(17=$B$6+$B$7,0,IF(17&gt;$B$6+$B$7,$B$13/CD108,IF(17&gt;=$B$6,$B$13*$B$15/CD108,($B$13*$B$15+$B$12)/CD108)))</f>
        <v/>
      </c>
      <c r="CH107" s="9">
        <f>IF(17=$B$6,-$K$17*$B$12,0)</f>
        <v/>
      </c>
      <c r="CI107" s="9">
        <f>CG107/(CF107-CE107*CI106)</f>
        <v/>
      </c>
      <c r="CJ107" s="9">
        <f>(CH107-CE107*CJ106)/(CF107-CE107*CI106)</f>
        <v/>
      </c>
      <c r="CK107" s="16">
        <f>CJ107-CI107*CK108</f>
        <v/>
      </c>
      <c r="CL107" s="9">
        <f>IF(17&gt;$B$6+$B$7,$G$18*$B$11^$H$18,$E$18*$B$9^$F$18)</f>
        <v/>
      </c>
      <c r="CM107" s="9">
        <f>IF(17=1,0,$B$14)</f>
        <v/>
      </c>
      <c r="CN107" s="9">
        <f>-($B$14+(IF(17&lt;=$B$6,$B$13*$B$15+$B$12,IF(17&lt;=$B$6+$B$7,$B$13*$B$15,$B$13)))/CL107)</f>
        <v/>
      </c>
      <c r="CO107" s="9">
        <f>IF(17=$B$6+$B$7,0,IF(17&gt;$B$6+$B$7,$B$13/CL108,IF(17&gt;=$B$6,$B$13*$B$15/CL108,($B$13*$B$15+$B$12)/CL108)))</f>
        <v/>
      </c>
      <c r="CP107" s="9">
        <f>IF(17=$B$6,-$K$18*$B$12,0)</f>
        <v/>
      </c>
      <c r="CQ107" s="9">
        <f>CO107/(CN107-CM107*CQ106)</f>
        <v/>
      </c>
      <c r="CR107" s="9">
        <f>(CP107-CM107*CR106)/(CN107-CM107*CQ106)</f>
        <v/>
      </c>
      <c r="CS107" s="16">
        <f>CR107-CQ107*CS108</f>
        <v/>
      </c>
      <c r="CT107" s="9">
        <f>IF(17&gt;$B$6+$B$7,$G$19*$B$11^$H$19,$E$19*$B$9^$F$19)</f>
        <v/>
      </c>
      <c r="CU107" s="9">
        <f>IF(17=1,0,$B$14)</f>
        <v/>
      </c>
      <c r="CV107" s="9">
        <f>-($B$14+(IF(17&lt;=$B$6,$B$13*$B$15+$B$12,IF(17&lt;=$B$6+$B$7,$B$13*$B$15,$B$13)))/CT107)</f>
        <v/>
      </c>
      <c r="CW107" s="9">
        <f>IF(17=$B$6+$B$7,0,IF(17&gt;$B$6+$B$7,$B$13/CT108,IF(17&gt;=$B$6,$B$13*$B$15/CT108,($B$13*$B$15+$B$12)/CT108)))</f>
        <v/>
      </c>
      <c r="CX107" s="9">
        <f>IF(17=$B$6,-$K$19*$B$12,0)</f>
        <v/>
      </c>
      <c r="CY107" s="9">
        <f>CW107/(CV107-CU107*CY106)</f>
        <v/>
      </c>
      <c r="CZ107" s="9">
        <f>(CX107-CU107*CZ106)/(CV107-CU107*CY106)</f>
        <v/>
      </c>
      <c r="DA107" s="16">
        <f>CZ107-CY107*DA108</f>
        <v/>
      </c>
      <c r="DB107" s="9">
        <f>IF(17&gt;$B$6+$B$7,$G$20*$B$11^$H$20,$E$20*$B$9^$F$20)</f>
        <v/>
      </c>
      <c r="DC107" s="9">
        <f>IF(17=1,0,$B$14)</f>
        <v/>
      </c>
      <c r="DD107" s="9">
        <f>-($B$14+(IF(17&lt;=$B$6,$B$13*$B$15+$B$12,IF(17&lt;=$B$6+$B$7,$B$13*$B$15,$B$13)))/DB107)</f>
        <v/>
      </c>
      <c r="DE107" s="9">
        <f>IF(17=$B$6+$B$7,0,IF(17&gt;$B$6+$B$7,$B$13/DB108,IF(17&gt;=$B$6,$B$13*$B$15/DB108,($B$13*$B$15+$B$12)/DB108)))</f>
        <v/>
      </c>
      <c r="DF107" s="9">
        <f>IF(17=$B$6,-$K$20*$B$12,0)</f>
        <v/>
      </c>
      <c r="DG107" s="9">
        <f>DE107/(DD107-DC107*DG106)</f>
        <v/>
      </c>
      <c r="DH107" s="9">
        <f>(DF107-DC107*DH106)/(DD107-DC107*DG106)</f>
        <v/>
      </c>
      <c r="DI107" s="16">
        <f>DH107-DG107*DI108</f>
        <v/>
      </c>
      <c r="DJ107" s="9">
        <f>IF(17&gt;$B$6+$B$7,$G$21*$B$11^$H$21,$E$21*$B$9^$F$21)</f>
        <v/>
      </c>
      <c r="DK107" s="9">
        <f>IF(17=1,0,$B$14)</f>
        <v/>
      </c>
      <c r="DL107" s="9">
        <f>-($B$14+(IF(17&lt;=$B$6,$B$13*$B$15+$B$12,IF(17&lt;=$B$6+$B$7,$B$13*$B$15,$B$13)))/DJ107)</f>
        <v/>
      </c>
      <c r="DM107" s="9">
        <f>IF(17=$B$6+$B$7,0,IF(17&gt;$B$6+$B$7,$B$13/DJ108,IF(17&gt;=$B$6,$B$13*$B$15/DJ108,($B$13*$B$15+$B$12)/DJ108)))</f>
        <v/>
      </c>
      <c r="DN107" s="9">
        <f>IF(17=$B$6,-$K$21*$B$12,0)</f>
        <v/>
      </c>
      <c r="DO107" s="9">
        <f>DM107/(DL107-DK107*DO106)</f>
        <v/>
      </c>
      <c r="DP107" s="9">
        <f>(DN107-DK107*DP106)/(DL107-DK107*DO106)</f>
        <v/>
      </c>
      <c r="DQ107" s="16">
        <f>DP107-DO107*DQ108</f>
        <v/>
      </c>
      <c r="DR107" s="9">
        <f>IF(17&gt;$B$6+$B$7,$G$22*$B$11^$H$22,$E$22*$B$9^$F$22)</f>
        <v/>
      </c>
      <c r="DS107" s="9">
        <f>IF(17=1,0,$B$14)</f>
        <v/>
      </c>
      <c r="DT107" s="9">
        <f>-($B$14+(IF(17&lt;=$B$6,$B$13*$B$15+$B$12,IF(17&lt;=$B$6+$B$7,$B$13*$B$15,$B$13)))/DR107)</f>
        <v/>
      </c>
      <c r="DU107" s="9">
        <f>IF(17=$B$6+$B$7,0,IF(17&gt;$B$6+$B$7,$B$13/DR108,IF(17&gt;=$B$6,$B$13*$B$15/DR108,($B$13*$B$15+$B$12)/DR108)))</f>
        <v/>
      </c>
      <c r="DV107" s="9">
        <f>IF(17=$B$6,-$K$22*$B$12,0)</f>
        <v/>
      </c>
      <c r="DW107" s="9">
        <f>DU107/(DT107-DS107*DW106)</f>
        <v/>
      </c>
      <c r="DX107" s="9">
        <f>(DV107-DS107*DX106)/(DT107-DS107*DW106)</f>
        <v/>
      </c>
      <c r="DY107" s="16">
        <f>DX107-DW107*DY108</f>
        <v/>
      </c>
      <c r="DZ107" s="9">
        <f>IF(17&gt;$B$6+$B$7,$G$23*$B$11^$H$23,$E$23*$B$9^$F$23)</f>
        <v/>
      </c>
      <c r="EA107" s="9">
        <f>IF(17=1,0,$B$14)</f>
        <v/>
      </c>
      <c r="EB107" s="9">
        <f>-($B$14+(IF(17&lt;=$B$6,$B$13*$B$15+$B$12,IF(17&lt;=$B$6+$B$7,$B$13*$B$15,$B$13)))/DZ107)</f>
        <v/>
      </c>
      <c r="EC107" s="9">
        <f>IF(17=$B$6+$B$7,0,IF(17&gt;$B$6+$B$7,$B$13/DZ108,IF(17&gt;=$B$6,$B$13*$B$15/DZ108,($B$13*$B$15+$B$12)/DZ108)))</f>
        <v/>
      </c>
      <c r="ED107" s="9">
        <f>IF(17=$B$6,-$K$23*$B$12,0)</f>
        <v/>
      </c>
      <c r="EE107" s="9">
        <f>EC107/(EB107-EA107*EE106)</f>
        <v/>
      </c>
      <c r="EF107" s="9">
        <f>(ED107-EA107*EF106)/(EB107-EA107*EE106)</f>
        <v/>
      </c>
      <c r="EG107" s="16">
        <f>EF107-EE107*EG108</f>
        <v/>
      </c>
      <c r="EH107" s="9">
        <f>IF(17&gt;$B$6+$B$7,$G$24*$B$11^$H$24,$E$24*$B$9^$F$24)</f>
        <v/>
      </c>
      <c r="EI107" s="9">
        <f>IF(17=1,0,$B$14)</f>
        <v/>
      </c>
      <c r="EJ107" s="9">
        <f>-($B$14+(IF(17&lt;=$B$6,$B$13*$B$15+$B$12,IF(17&lt;=$B$6+$B$7,$B$13*$B$15,$B$13)))/EH107)</f>
        <v/>
      </c>
      <c r="EK107" s="9">
        <f>IF(17=$B$6+$B$7,0,IF(17&gt;$B$6+$B$7,$B$13/EH108,IF(17&gt;=$B$6,$B$13*$B$15/EH108,($B$13*$B$15+$B$12)/EH108)))</f>
        <v/>
      </c>
      <c r="EL107" s="9">
        <f>IF(17=$B$6,-$K$24*$B$12,0)</f>
        <v/>
      </c>
      <c r="EM107" s="9">
        <f>EK107/(EJ107-EI107*EM106)</f>
        <v/>
      </c>
      <c r="EN107" s="9">
        <f>(EL107-EI107*EN106)/(EJ107-EI107*EM106)</f>
        <v/>
      </c>
      <c r="EO107" s="16">
        <f>EN107-EM107*EO108</f>
        <v/>
      </c>
      <c r="EP107" s="9">
        <f>IF(17&gt;$B$6+$B$7,$G$25*$B$11^$H$25,$E$25*$B$9^$F$25)</f>
        <v/>
      </c>
      <c r="EQ107" s="9">
        <f>IF(17=1,0,$B$14)</f>
        <v/>
      </c>
      <c r="ER107" s="9">
        <f>-($B$14+(IF(17&lt;=$B$6,$B$13*$B$15+$B$12,IF(17&lt;=$B$6+$B$7,$B$13*$B$15,$B$13)))/EP107)</f>
        <v/>
      </c>
      <c r="ES107" s="9">
        <f>IF(17=$B$6+$B$7,0,IF(17&gt;$B$6+$B$7,$B$13/EP108,IF(17&gt;=$B$6,$B$13*$B$15/EP108,($B$13*$B$15+$B$12)/EP108)))</f>
        <v/>
      </c>
      <c r="ET107" s="9">
        <f>IF(17=$B$6,-$K$25*$B$12,0)</f>
        <v/>
      </c>
      <c r="EU107" s="9">
        <f>ES107/(ER107-EQ107*EU106)</f>
        <v/>
      </c>
      <c r="EV107" s="9">
        <f>(ET107-EQ107*EV106)/(ER107-EQ107*EU106)</f>
        <v/>
      </c>
      <c r="EW107" s="16">
        <f>EV107-EU107*EW108</f>
        <v/>
      </c>
      <c r="EX107" s="9">
        <f>IF(17&gt;$B$6+$B$7,$G$26*$B$11^$H$26,$E$26*$B$9^$F$26)</f>
        <v/>
      </c>
      <c r="EY107" s="9">
        <f>IF(17=1,0,$B$14)</f>
        <v/>
      </c>
      <c r="EZ107" s="9">
        <f>-($B$14+(IF(17&lt;=$B$6,$B$13*$B$15+$B$12,IF(17&lt;=$B$6+$B$7,$B$13*$B$15,$B$13)))/EX107)</f>
        <v/>
      </c>
      <c r="FA107" s="9">
        <f>IF(17=$B$6+$B$7,0,IF(17&gt;$B$6+$B$7,$B$13/EX108,IF(17&gt;=$B$6,$B$13*$B$15/EX108,($B$13*$B$15+$B$12)/EX108)))</f>
        <v/>
      </c>
      <c r="FB107" s="9">
        <f>IF(17=$B$6,-$K$26*$B$12,0)</f>
        <v/>
      </c>
      <c r="FC107" s="9">
        <f>FA107/(EZ107-EY107*FC106)</f>
        <v/>
      </c>
      <c r="FD107" s="9">
        <f>(FB107-EY107*FD106)/(EZ107-EY107*FC106)</f>
        <v/>
      </c>
      <c r="FE107" s="16">
        <f>FD107-FC107*FE108</f>
        <v/>
      </c>
      <c r="FF107" s="9">
        <f>IF(17&gt;$B$6+$B$7,$G$27*$B$11^$H$27,$E$27*$B$9^$F$27)</f>
        <v/>
      </c>
      <c r="FG107" s="9">
        <f>IF(17=1,0,$B$14)</f>
        <v/>
      </c>
      <c r="FH107" s="9">
        <f>-($B$14+(IF(17&lt;=$B$6,$B$13*$B$15+$B$12,IF(17&lt;=$B$6+$B$7,$B$13*$B$15,$B$13)))/FF107)</f>
        <v/>
      </c>
      <c r="FI107" s="9">
        <f>IF(17=$B$6+$B$7,0,IF(17&gt;$B$6+$B$7,$B$13/FF108,IF(17&gt;=$B$6,$B$13*$B$15/FF108,($B$13*$B$15+$B$12)/FF108)))</f>
        <v/>
      </c>
      <c r="FJ107" s="9">
        <f>IF(17=$B$6,-$K$27*$B$12,0)</f>
        <v/>
      </c>
      <c r="FK107" s="9">
        <f>FI107/(FH107-FG107*FK106)</f>
        <v/>
      </c>
      <c r="FL107" s="9">
        <f>(FJ107-FG107*FL106)/(FH107-FG107*FK106)</f>
        <v/>
      </c>
      <c r="FM107" s="16">
        <f>FL107-FK107*FM108</f>
        <v/>
      </c>
      <c r="FN107" s="9">
        <f>IF(17&gt;$B$6+$B$7,$G$28*$B$11^$H$28,$E$28*$B$9^$F$28)</f>
        <v/>
      </c>
      <c r="FO107" s="9">
        <f>IF(17=1,0,$B$14)</f>
        <v/>
      </c>
      <c r="FP107" s="9">
        <f>-($B$14+(IF(17&lt;=$B$6,$B$13*$B$15+$B$12,IF(17&lt;=$B$6+$B$7,$B$13*$B$15,$B$13)))/FN107)</f>
        <v/>
      </c>
      <c r="FQ107" s="9">
        <f>IF(17=$B$6+$B$7,0,IF(17&gt;$B$6+$B$7,$B$13/FN108,IF(17&gt;=$B$6,$B$13*$B$15/FN108,($B$13*$B$15+$B$12)/FN108)))</f>
        <v/>
      </c>
      <c r="FR107" s="9">
        <f>IF(17=$B$6,-$K$28*$B$12,0)</f>
        <v/>
      </c>
      <c r="FS107" s="9">
        <f>FQ107/(FP107-FO107*FS106)</f>
        <v/>
      </c>
      <c r="FT107" s="9">
        <f>(FR107-FO107*FT106)/(FP107-FO107*FS106)</f>
        <v/>
      </c>
      <c r="FU107" s="16">
        <f>FT107-FS107*FU108</f>
        <v/>
      </c>
      <c r="FV107" s="9">
        <f>IF(17&gt;$B$6+$B$7,$G$29*$B$11^$H$29,$E$29*$B$9^$F$29)</f>
        <v/>
      </c>
      <c r="FW107" s="9">
        <f>IF(17=1,0,$B$14)</f>
        <v/>
      </c>
      <c r="FX107" s="9">
        <f>-($B$14+(IF(17&lt;=$B$6,$B$13*$B$15+$B$12,IF(17&lt;=$B$6+$B$7,$B$13*$B$15,$B$13)))/FV107)</f>
        <v/>
      </c>
      <c r="FY107" s="9">
        <f>IF(17=$B$6+$B$7,0,IF(17&gt;$B$6+$B$7,$B$13/FV108,IF(17&gt;=$B$6,$B$13*$B$15/FV108,($B$13*$B$15+$B$12)/FV108)))</f>
        <v/>
      </c>
      <c r="FZ107" s="9">
        <f>IF(17=$B$6,-$K$29*$B$12,0)</f>
        <v/>
      </c>
      <c r="GA107" s="9">
        <f>FY107/(FX107-FW107*GA106)</f>
        <v/>
      </c>
      <c r="GB107" s="9">
        <f>(FZ107-FW107*GB106)/(FX107-FW107*GA106)</f>
        <v/>
      </c>
      <c r="GC107" s="16">
        <f>GB107-GA107*GC108</f>
        <v/>
      </c>
      <c r="GD107" s="9">
        <f>IF(17&gt;$B$6+$B$7,$G$30*$B$11^$H$30,$E$30*$B$9^$F$30)</f>
        <v/>
      </c>
      <c r="GE107" s="9">
        <f>IF(17=1,0,$B$14)</f>
        <v/>
      </c>
      <c r="GF107" s="9">
        <f>-($B$14+(IF(17&lt;=$B$6,$B$13*$B$15+$B$12,IF(17&lt;=$B$6+$B$7,$B$13*$B$15,$B$13)))/GD107)</f>
        <v/>
      </c>
      <c r="GG107" s="9">
        <f>IF(17=$B$6+$B$7,0,IF(17&gt;$B$6+$B$7,$B$13/GD108,IF(17&gt;=$B$6,$B$13*$B$15/GD108,($B$13*$B$15+$B$12)/GD108)))</f>
        <v/>
      </c>
      <c r="GH107" s="9">
        <f>IF(17=$B$6,-$K$30*$B$12,0)</f>
        <v/>
      </c>
      <c r="GI107" s="9">
        <f>GG107/(GF107-GE107*GI106)</f>
        <v/>
      </c>
      <c r="GJ107" s="9">
        <f>(GH107-GE107*GJ106)/(GF107-GE107*GI106)</f>
        <v/>
      </c>
      <c r="GK107" s="16">
        <f>GJ107-GI107*GK108</f>
        <v/>
      </c>
      <c r="GL107" s="9">
        <f>IF(17&gt;$B$6+$B$7,$G$31*$B$11^$H$31,$E$31*$B$9^$F$31)</f>
        <v/>
      </c>
      <c r="GM107" s="9">
        <f>IF(17=1,0,$B$14)</f>
        <v/>
      </c>
      <c r="GN107" s="9">
        <f>-($B$14+(IF(17&lt;=$B$6,$B$13*$B$15+$B$12,IF(17&lt;=$B$6+$B$7,$B$13*$B$15,$B$13)))/GL107)</f>
        <v/>
      </c>
      <c r="GO107" s="9">
        <f>IF(17=$B$6+$B$7,0,IF(17&gt;$B$6+$B$7,$B$13/GL108,IF(17&gt;=$B$6,$B$13*$B$15/GL108,($B$13*$B$15+$B$12)/GL108)))</f>
        <v/>
      </c>
      <c r="GP107" s="9">
        <f>IF(17=$B$6,-$K$31*$B$12,0)</f>
        <v/>
      </c>
      <c r="GQ107" s="9">
        <f>GO107/(GN107-GM107*GQ106)</f>
        <v/>
      </c>
      <c r="GR107" s="9">
        <f>(GP107-GM107*GR106)/(GN107-GM107*GQ106)</f>
        <v/>
      </c>
      <c r="GS107" s="16">
        <f>GR107-GQ107*GS108</f>
        <v/>
      </c>
      <c r="GT107" s="9">
        <f>IF(17&gt;$B$6+$B$7,$G$32*$B$11^$H$32,$E$32*$B$9^$F$32)</f>
        <v/>
      </c>
      <c r="GU107" s="9">
        <f>IF(17=1,0,$B$14)</f>
        <v/>
      </c>
      <c r="GV107" s="9">
        <f>-($B$14+(IF(17&lt;=$B$6,$B$13*$B$15+$B$12,IF(17&lt;=$B$6+$B$7,$B$13*$B$15,$B$13)))/GT107)</f>
        <v/>
      </c>
      <c r="GW107" s="9">
        <f>IF(17=$B$6+$B$7,0,IF(17&gt;$B$6+$B$7,$B$13/GT108,IF(17&gt;=$B$6,$B$13*$B$15/GT108,($B$13*$B$15+$B$12)/GT108)))</f>
        <v/>
      </c>
      <c r="GX107" s="9">
        <f>IF(17=$B$6,-$K$32*$B$12,0)</f>
        <v/>
      </c>
      <c r="GY107" s="9">
        <f>GW107/(GV107-GU107*GY106)</f>
        <v/>
      </c>
      <c r="GZ107" s="9">
        <f>(GX107-GU107*GZ106)/(GV107-GU107*GY106)</f>
        <v/>
      </c>
      <c r="HA107" s="16">
        <f>GZ107-GY107*HA108</f>
        <v/>
      </c>
      <c r="HB107" s="12">
        <f>IFERROR(I107/B107,0)</f>
        <v/>
      </c>
      <c r="HC107" s="12">
        <f>IFERROR(Q107/J107,0)</f>
        <v/>
      </c>
      <c r="HD107" s="12">
        <f>IFERROR(Y107/R107,0)</f>
        <v/>
      </c>
      <c r="HE107" s="12">
        <f>IFERROR(AG107/Z107,0)</f>
        <v/>
      </c>
      <c r="HF107" s="12">
        <f>IFERROR(AO107/AH107,0)</f>
        <v/>
      </c>
      <c r="HG107" s="12">
        <f>IFERROR(AW107/AP107,0)</f>
        <v/>
      </c>
      <c r="HH107" s="12">
        <f>IFERROR(BE107/AX107,0)</f>
        <v/>
      </c>
      <c r="HI107" s="12">
        <f>IFERROR(BM107/BF107,0)</f>
        <v/>
      </c>
      <c r="HJ107" s="12">
        <f>IFERROR(BU107/BN107,0)</f>
        <v/>
      </c>
      <c r="HK107" s="12">
        <f>IFERROR(CC107/BV107,0)</f>
        <v/>
      </c>
      <c r="HL107" s="12">
        <f>IFERROR(CK107/CD107,0)</f>
        <v/>
      </c>
      <c r="HM107" s="12">
        <f>IFERROR(CS107/CL107,0)</f>
        <v/>
      </c>
      <c r="HN107" s="12">
        <f>IFERROR(DA107/CT107,0)</f>
        <v/>
      </c>
      <c r="HO107" s="12">
        <f>IFERROR(DI107/DB107,0)</f>
        <v/>
      </c>
      <c r="HP107" s="12">
        <f>IFERROR(DQ107/DJ107,0)</f>
        <v/>
      </c>
      <c r="HQ107" s="12">
        <f>IFERROR(DY107/DR107,0)</f>
        <v/>
      </c>
      <c r="HR107" s="12">
        <f>IFERROR(EG107/DZ107,0)</f>
        <v/>
      </c>
      <c r="HS107" s="12">
        <f>IFERROR(EO107/EH107,0)</f>
        <v/>
      </c>
      <c r="HT107" s="12">
        <f>IFERROR(EW107/EP107,0)</f>
        <v/>
      </c>
      <c r="HU107" s="12">
        <f>IFERROR(FE107/EX107,0)</f>
        <v/>
      </c>
      <c r="HV107" s="12">
        <f>IFERROR(FM107/FF107,0)</f>
        <v/>
      </c>
      <c r="HW107" s="12">
        <f>IFERROR(FU107/FN107,0)</f>
        <v/>
      </c>
      <c r="HX107" s="12">
        <f>IFERROR(GC107/FV107,0)</f>
        <v/>
      </c>
      <c r="HY107" s="12">
        <f>IFERROR(GK107/GD107,0)</f>
        <v/>
      </c>
      <c r="HZ107" s="12">
        <f>IFERROR(GS107/GL107,0)</f>
        <v/>
      </c>
      <c r="IA107" s="12">
        <f>IFERROR(HA107/GT107,0)</f>
        <v/>
      </c>
      <c r="IB107" s="12">
        <f>I107+Q107+Y107+AG107+AO107+AW107+BE107+BM107+BU107+CC107+CK107+CS107+DA107+DI107+DQ107+DY107+EG107+EO107+EW107+FE107+FM107+FU107+GC107+GK107+GS107+HA107</f>
        <v/>
      </c>
      <c r="IC107" s="12">
        <f>HB107+HC107+HD107+HE107+HF107+HG107+HH107+HI107+HJ107+HK107+HL107+HM107+HN107+HO107+HP107+HQ107+HR107+HS107+HT107+HU107+HV107+HW107+HX107+HY107+HZ107+IA107</f>
        <v/>
      </c>
    </row>
    <row r="108" ht="14" customHeight="1">
      <c r="A108" s="29" t="n">
        <v>18</v>
      </c>
      <c r="B108" s="9">
        <f>IF(18&gt;$B$6+$B$7,$G$7*$B$11^$H$7,$E$7*$B$9^$F$7)</f>
        <v/>
      </c>
      <c r="C108" s="9">
        <f>IF(18=1,0,$B$14)</f>
        <v/>
      </c>
      <c r="D108" s="9">
        <f>-($B$14+(IF(18&lt;=$B$6,$B$13*$B$15+$B$12,IF(18&lt;=$B$6+$B$7,$B$13*$B$15,$B$13)))/B108)</f>
        <v/>
      </c>
      <c r="E108" s="9">
        <f>IF(18=$B$6+$B$7,0,IF(18&gt;$B$6+$B$7,$B$13/B109,IF(18&gt;=$B$6,$B$13*$B$15/B109,($B$13*$B$15+$B$12)/B109)))</f>
        <v/>
      </c>
      <c r="F108" s="9">
        <f>IF(18=$B$6,-$K$7*$B$12,0)</f>
        <v/>
      </c>
      <c r="G108" s="9">
        <f>E108/(D108-C108*G107)</f>
        <v/>
      </c>
      <c r="H108" s="9">
        <f>(F108-C108*H107)/(D108-C108*G107)</f>
        <v/>
      </c>
      <c r="I108" s="16">
        <f>H108-G108*I109</f>
        <v/>
      </c>
      <c r="J108" s="9">
        <f>IF(18&gt;$B$6+$B$7,$G$8*$B$11^$H$8,$E$8*$B$9^$F$8)</f>
        <v/>
      </c>
      <c r="K108" s="9">
        <f>IF(18=1,0,$B$14)</f>
        <v/>
      </c>
      <c r="L108" s="9">
        <f>-($B$14+(IF(18&lt;=$B$6,$B$13*$B$15+$B$12,IF(18&lt;=$B$6+$B$7,$B$13*$B$15,$B$13)))/J108)</f>
        <v/>
      </c>
      <c r="M108" s="9">
        <f>IF(18=$B$6+$B$7,0,IF(18&gt;$B$6+$B$7,$B$13/J109,IF(18&gt;=$B$6,$B$13*$B$15/J109,($B$13*$B$15+$B$12)/J109)))</f>
        <v/>
      </c>
      <c r="N108" s="9">
        <f>IF(18=$B$6,-$K$8*$B$12,0)</f>
        <v/>
      </c>
      <c r="O108" s="9">
        <f>M108/(L108-K108*O107)</f>
        <v/>
      </c>
      <c r="P108" s="9">
        <f>(N108-K108*P107)/(L108-K108*O107)</f>
        <v/>
      </c>
      <c r="Q108" s="16">
        <f>P108-O108*Q109</f>
        <v/>
      </c>
      <c r="R108" s="9">
        <f>IF(18&gt;$B$6+$B$7,$G$9*$B$11^$H$9,$E$9*$B$9^$F$9)</f>
        <v/>
      </c>
      <c r="S108" s="9">
        <f>IF(18=1,0,$B$14)</f>
        <v/>
      </c>
      <c r="T108" s="9">
        <f>-($B$14+(IF(18&lt;=$B$6,$B$13*$B$15+$B$12,IF(18&lt;=$B$6+$B$7,$B$13*$B$15,$B$13)))/R108)</f>
        <v/>
      </c>
      <c r="U108" s="9">
        <f>IF(18=$B$6+$B$7,0,IF(18&gt;$B$6+$B$7,$B$13/R109,IF(18&gt;=$B$6,$B$13*$B$15/R109,($B$13*$B$15+$B$12)/R109)))</f>
        <v/>
      </c>
      <c r="V108" s="9">
        <f>IF(18=$B$6,-$K$9*$B$12,0)</f>
        <v/>
      </c>
      <c r="W108" s="9">
        <f>U108/(T108-S108*W107)</f>
        <v/>
      </c>
      <c r="X108" s="9">
        <f>(V108-S108*X107)/(T108-S108*W107)</f>
        <v/>
      </c>
      <c r="Y108" s="16">
        <f>X108-W108*Y109</f>
        <v/>
      </c>
      <c r="Z108" s="9">
        <f>IF(18&gt;$B$6+$B$7,$G$10*$B$11^$H$10,$E$10*$B$9^$F$10)</f>
        <v/>
      </c>
      <c r="AA108" s="9">
        <f>IF(18=1,0,$B$14)</f>
        <v/>
      </c>
      <c r="AB108" s="9">
        <f>-($B$14+(IF(18&lt;=$B$6,$B$13*$B$15+$B$12,IF(18&lt;=$B$6+$B$7,$B$13*$B$15,$B$13)))/Z108)</f>
        <v/>
      </c>
      <c r="AC108" s="9">
        <f>IF(18=$B$6+$B$7,0,IF(18&gt;$B$6+$B$7,$B$13/Z109,IF(18&gt;=$B$6,$B$13*$B$15/Z109,($B$13*$B$15+$B$12)/Z109)))</f>
        <v/>
      </c>
      <c r="AD108" s="9">
        <f>IF(18=$B$6,-$K$10*$B$12,0)</f>
        <v/>
      </c>
      <c r="AE108" s="9">
        <f>AC108/(AB108-AA108*AE107)</f>
        <v/>
      </c>
      <c r="AF108" s="9">
        <f>(AD108-AA108*AF107)/(AB108-AA108*AE107)</f>
        <v/>
      </c>
      <c r="AG108" s="16">
        <f>AF108-AE108*AG109</f>
        <v/>
      </c>
      <c r="AH108" s="9">
        <f>IF(18&gt;$B$6+$B$7,$G$11*$B$11^$H$11,$E$11*$B$9^$F$11)</f>
        <v/>
      </c>
      <c r="AI108" s="9">
        <f>IF(18=1,0,$B$14)</f>
        <v/>
      </c>
      <c r="AJ108" s="9">
        <f>-($B$14+(IF(18&lt;=$B$6,$B$13*$B$15+$B$12,IF(18&lt;=$B$6+$B$7,$B$13*$B$15,$B$13)))/AH108)</f>
        <v/>
      </c>
      <c r="AK108" s="9">
        <f>IF(18=$B$6+$B$7,0,IF(18&gt;$B$6+$B$7,$B$13/AH109,IF(18&gt;=$B$6,$B$13*$B$15/AH109,($B$13*$B$15+$B$12)/AH109)))</f>
        <v/>
      </c>
      <c r="AL108" s="9">
        <f>IF(18=$B$6,-$K$11*$B$12,0)</f>
        <v/>
      </c>
      <c r="AM108" s="9">
        <f>AK108/(AJ108-AI108*AM107)</f>
        <v/>
      </c>
      <c r="AN108" s="9">
        <f>(AL108-AI108*AN107)/(AJ108-AI108*AM107)</f>
        <v/>
      </c>
      <c r="AO108" s="16">
        <f>AN108-AM108*AO109</f>
        <v/>
      </c>
      <c r="AP108" s="9">
        <f>IF(18&gt;$B$6+$B$7,$G$12*$B$11^$H$12,$E$12*$B$9^$F$12)</f>
        <v/>
      </c>
      <c r="AQ108" s="9">
        <f>IF(18=1,0,$B$14)</f>
        <v/>
      </c>
      <c r="AR108" s="9">
        <f>-($B$14+(IF(18&lt;=$B$6,$B$13*$B$15+$B$12,IF(18&lt;=$B$6+$B$7,$B$13*$B$15,$B$13)))/AP108)</f>
        <v/>
      </c>
      <c r="AS108" s="9">
        <f>IF(18=$B$6+$B$7,0,IF(18&gt;$B$6+$B$7,$B$13/AP109,IF(18&gt;=$B$6,$B$13*$B$15/AP109,($B$13*$B$15+$B$12)/AP109)))</f>
        <v/>
      </c>
      <c r="AT108" s="9">
        <f>IF(18=$B$6,-$K$12*$B$12,0)</f>
        <v/>
      </c>
      <c r="AU108" s="9">
        <f>AS108/(AR108-AQ108*AU107)</f>
        <v/>
      </c>
      <c r="AV108" s="9">
        <f>(AT108-AQ108*AV107)/(AR108-AQ108*AU107)</f>
        <v/>
      </c>
      <c r="AW108" s="16">
        <f>AV108-AU108*AW109</f>
        <v/>
      </c>
      <c r="AX108" s="9">
        <f>IF(18&gt;$B$6+$B$7,$G$13*$B$11^$H$13,$E$13*$B$9^$F$13)</f>
        <v/>
      </c>
      <c r="AY108" s="9">
        <f>IF(18=1,0,$B$14)</f>
        <v/>
      </c>
      <c r="AZ108" s="9">
        <f>-($B$14+(IF(18&lt;=$B$6,$B$13*$B$15+$B$12,IF(18&lt;=$B$6+$B$7,$B$13*$B$15,$B$13)))/AX108)</f>
        <v/>
      </c>
      <c r="BA108" s="9">
        <f>IF(18=$B$6+$B$7,0,IF(18&gt;$B$6+$B$7,$B$13/AX109,IF(18&gt;=$B$6,$B$13*$B$15/AX109,($B$13*$B$15+$B$12)/AX109)))</f>
        <v/>
      </c>
      <c r="BB108" s="9">
        <f>IF(18=$B$6,-$K$13*$B$12,0)</f>
        <v/>
      </c>
      <c r="BC108" s="9">
        <f>BA108/(AZ108-AY108*BC107)</f>
        <v/>
      </c>
      <c r="BD108" s="9">
        <f>(BB108-AY108*BD107)/(AZ108-AY108*BC107)</f>
        <v/>
      </c>
      <c r="BE108" s="16">
        <f>BD108-BC108*BE109</f>
        <v/>
      </c>
      <c r="BF108" s="9">
        <f>IF(18&gt;$B$6+$B$7,$G$14*$B$11^$H$14,$E$14*$B$9^$F$14)</f>
        <v/>
      </c>
      <c r="BG108" s="9">
        <f>IF(18=1,0,$B$14)</f>
        <v/>
      </c>
      <c r="BH108" s="9">
        <f>-($B$14+(IF(18&lt;=$B$6,$B$13*$B$15+$B$12,IF(18&lt;=$B$6+$B$7,$B$13*$B$15,$B$13)))/BF108)</f>
        <v/>
      </c>
      <c r="BI108" s="9">
        <f>IF(18=$B$6+$B$7,0,IF(18&gt;$B$6+$B$7,$B$13/BF109,IF(18&gt;=$B$6,$B$13*$B$15/BF109,($B$13*$B$15+$B$12)/BF109)))</f>
        <v/>
      </c>
      <c r="BJ108" s="9">
        <f>IF(18=$B$6,-$K$14*$B$12,0)</f>
        <v/>
      </c>
      <c r="BK108" s="9">
        <f>BI108/(BH108-BG108*BK107)</f>
        <v/>
      </c>
      <c r="BL108" s="9">
        <f>(BJ108-BG108*BL107)/(BH108-BG108*BK107)</f>
        <v/>
      </c>
      <c r="BM108" s="16">
        <f>BL108-BK108*BM109</f>
        <v/>
      </c>
      <c r="BN108" s="9">
        <f>IF(18&gt;$B$6+$B$7,$G$15*$B$11^$H$15,$E$15*$B$9^$F$15)</f>
        <v/>
      </c>
      <c r="BO108" s="9">
        <f>IF(18=1,0,$B$14)</f>
        <v/>
      </c>
      <c r="BP108" s="9">
        <f>-($B$14+(IF(18&lt;=$B$6,$B$13*$B$15+$B$12,IF(18&lt;=$B$6+$B$7,$B$13*$B$15,$B$13)))/BN108)</f>
        <v/>
      </c>
      <c r="BQ108" s="9">
        <f>IF(18=$B$6+$B$7,0,IF(18&gt;$B$6+$B$7,$B$13/BN109,IF(18&gt;=$B$6,$B$13*$B$15/BN109,($B$13*$B$15+$B$12)/BN109)))</f>
        <v/>
      </c>
      <c r="BR108" s="9">
        <f>IF(18=$B$6,-$K$15*$B$12,0)</f>
        <v/>
      </c>
      <c r="BS108" s="9">
        <f>BQ108/(BP108-BO108*BS107)</f>
        <v/>
      </c>
      <c r="BT108" s="9">
        <f>(BR108-BO108*BT107)/(BP108-BO108*BS107)</f>
        <v/>
      </c>
      <c r="BU108" s="16">
        <f>BT108-BS108*BU109</f>
        <v/>
      </c>
      <c r="BV108" s="9">
        <f>IF(18&gt;$B$6+$B$7,$G$16*$B$11^$H$16,$E$16*$B$9^$F$16)</f>
        <v/>
      </c>
      <c r="BW108" s="9">
        <f>IF(18=1,0,$B$14)</f>
        <v/>
      </c>
      <c r="BX108" s="9">
        <f>-($B$14+(IF(18&lt;=$B$6,$B$13*$B$15+$B$12,IF(18&lt;=$B$6+$B$7,$B$13*$B$15,$B$13)))/BV108)</f>
        <v/>
      </c>
      <c r="BY108" s="9">
        <f>IF(18=$B$6+$B$7,0,IF(18&gt;$B$6+$B$7,$B$13/BV109,IF(18&gt;=$B$6,$B$13*$B$15/BV109,($B$13*$B$15+$B$12)/BV109)))</f>
        <v/>
      </c>
      <c r="BZ108" s="9">
        <f>IF(18=$B$6,-$K$16*$B$12,0)</f>
        <v/>
      </c>
      <c r="CA108" s="9">
        <f>BY108/(BX108-BW108*CA107)</f>
        <v/>
      </c>
      <c r="CB108" s="9">
        <f>(BZ108-BW108*CB107)/(BX108-BW108*CA107)</f>
        <v/>
      </c>
      <c r="CC108" s="16">
        <f>CB108-CA108*CC109</f>
        <v/>
      </c>
      <c r="CD108" s="9">
        <f>IF(18&gt;$B$6+$B$7,$G$17*$B$11^$H$17,$E$17*$B$9^$F$17)</f>
        <v/>
      </c>
      <c r="CE108" s="9">
        <f>IF(18=1,0,$B$14)</f>
        <v/>
      </c>
      <c r="CF108" s="9">
        <f>-($B$14+(IF(18&lt;=$B$6,$B$13*$B$15+$B$12,IF(18&lt;=$B$6+$B$7,$B$13*$B$15,$B$13)))/CD108)</f>
        <v/>
      </c>
      <c r="CG108" s="9">
        <f>IF(18=$B$6+$B$7,0,IF(18&gt;$B$6+$B$7,$B$13/CD109,IF(18&gt;=$B$6,$B$13*$B$15/CD109,($B$13*$B$15+$B$12)/CD109)))</f>
        <v/>
      </c>
      <c r="CH108" s="9">
        <f>IF(18=$B$6,-$K$17*$B$12,0)</f>
        <v/>
      </c>
      <c r="CI108" s="9">
        <f>CG108/(CF108-CE108*CI107)</f>
        <v/>
      </c>
      <c r="CJ108" s="9">
        <f>(CH108-CE108*CJ107)/(CF108-CE108*CI107)</f>
        <v/>
      </c>
      <c r="CK108" s="16">
        <f>CJ108-CI108*CK109</f>
        <v/>
      </c>
      <c r="CL108" s="9">
        <f>IF(18&gt;$B$6+$B$7,$G$18*$B$11^$H$18,$E$18*$B$9^$F$18)</f>
        <v/>
      </c>
      <c r="CM108" s="9">
        <f>IF(18=1,0,$B$14)</f>
        <v/>
      </c>
      <c r="CN108" s="9">
        <f>-($B$14+(IF(18&lt;=$B$6,$B$13*$B$15+$B$12,IF(18&lt;=$B$6+$B$7,$B$13*$B$15,$B$13)))/CL108)</f>
        <v/>
      </c>
      <c r="CO108" s="9">
        <f>IF(18=$B$6+$B$7,0,IF(18&gt;$B$6+$B$7,$B$13/CL109,IF(18&gt;=$B$6,$B$13*$B$15/CL109,($B$13*$B$15+$B$12)/CL109)))</f>
        <v/>
      </c>
      <c r="CP108" s="9">
        <f>IF(18=$B$6,-$K$18*$B$12,0)</f>
        <v/>
      </c>
      <c r="CQ108" s="9">
        <f>CO108/(CN108-CM108*CQ107)</f>
        <v/>
      </c>
      <c r="CR108" s="9">
        <f>(CP108-CM108*CR107)/(CN108-CM108*CQ107)</f>
        <v/>
      </c>
      <c r="CS108" s="16">
        <f>CR108-CQ108*CS109</f>
        <v/>
      </c>
      <c r="CT108" s="9">
        <f>IF(18&gt;$B$6+$B$7,$G$19*$B$11^$H$19,$E$19*$B$9^$F$19)</f>
        <v/>
      </c>
      <c r="CU108" s="9">
        <f>IF(18=1,0,$B$14)</f>
        <v/>
      </c>
      <c r="CV108" s="9">
        <f>-($B$14+(IF(18&lt;=$B$6,$B$13*$B$15+$B$12,IF(18&lt;=$B$6+$B$7,$B$13*$B$15,$B$13)))/CT108)</f>
        <v/>
      </c>
      <c r="CW108" s="9">
        <f>IF(18=$B$6+$B$7,0,IF(18&gt;$B$6+$B$7,$B$13/CT109,IF(18&gt;=$B$6,$B$13*$B$15/CT109,($B$13*$B$15+$B$12)/CT109)))</f>
        <v/>
      </c>
      <c r="CX108" s="9">
        <f>IF(18=$B$6,-$K$19*$B$12,0)</f>
        <v/>
      </c>
      <c r="CY108" s="9">
        <f>CW108/(CV108-CU108*CY107)</f>
        <v/>
      </c>
      <c r="CZ108" s="9">
        <f>(CX108-CU108*CZ107)/(CV108-CU108*CY107)</f>
        <v/>
      </c>
      <c r="DA108" s="16">
        <f>CZ108-CY108*DA109</f>
        <v/>
      </c>
      <c r="DB108" s="9">
        <f>IF(18&gt;$B$6+$B$7,$G$20*$B$11^$H$20,$E$20*$B$9^$F$20)</f>
        <v/>
      </c>
      <c r="DC108" s="9">
        <f>IF(18=1,0,$B$14)</f>
        <v/>
      </c>
      <c r="DD108" s="9">
        <f>-($B$14+(IF(18&lt;=$B$6,$B$13*$B$15+$B$12,IF(18&lt;=$B$6+$B$7,$B$13*$B$15,$B$13)))/DB108)</f>
        <v/>
      </c>
      <c r="DE108" s="9">
        <f>IF(18=$B$6+$B$7,0,IF(18&gt;$B$6+$B$7,$B$13/DB109,IF(18&gt;=$B$6,$B$13*$B$15/DB109,($B$13*$B$15+$B$12)/DB109)))</f>
        <v/>
      </c>
      <c r="DF108" s="9">
        <f>IF(18=$B$6,-$K$20*$B$12,0)</f>
        <v/>
      </c>
      <c r="DG108" s="9">
        <f>DE108/(DD108-DC108*DG107)</f>
        <v/>
      </c>
      <c r="DH108" s="9">
        <f>(DF108-DC108*DH107)/(DD108-DC108*DG107)</f>
        <v/>
      </c>
      <c r="DI108" s="16">
        <f>DH108-DG108*DI109</f>
        <v/>
      </c>
      <c r="DJ108" s="9">
        <f>IF(18&gt;$B$6+$B$7,$G$21*$B$11^$H$21,$E$21*$B$9^$F$21)</f>
        <v/>
      </c>
      <c r="DK108" s="9">
        <f>IF(18=1,0,$B$14)</f>
        <v/>
      </c>
      <c r="DL108" s="9">
        <f>-($B$14+(IF(18&lt;=$B$6,$B$13*$B$15+$B$12,IF(18&lt;=$B$6+$B$7,$B$13*$B$15,$B$13)))/DJ108)</f>
        <v/>
      </c>
      <c r="DM108" s="9">
        <f>IF(18=$B$6+$B$7,0,IF(18&gt;$B$6+$B$7,$B$13/DJ109,IF(18&gt;=$B$6,$B$13*$B$15/DJ109,($B$13*$B$15+$B$12)/DJ109)))</f>
        <v/>
      </c>
      <c r="DN108" s="9">
        <f>IF(18=$B$6,-$K$21*$B$12,0)</f>
        <v/>
      </c>
      <c r="DO108" s="9">
        <f>DM108/(DL108-DK108*DO107)</f>
        <v/>
      </c>
      <c r="DP108" s="9">
        <f>(DN108-DK108*DP107)/(DL108-DK108*DO107)</f>
        <v/>
      </c>
      <c r="DQ108" s="16">
        <f>DP108-DO108*DQ109</f>
        <v/>
      </c>
      <c r="DR108" s="9">
        <f>IF(18&gt;$B$6+$B$7,$G$22*$B$11^$H$22,$E$22*$B$9^$F$22)</f>
        <v/>
      </c>
      <c r="DS108" s="9">
        <f>IF(18=1,0,$B$14)</f>
        <v/>
      </c>
      <c r="DT108" s="9">
        <f>-($B$14+(IF(18&lt;=$B$6,$B$13*$B$15+$B$12,IF(18&lt;=$B$6+$B$7,$B$13*$B$15,$B$13)))/DR108)</f>
        <v/>
      </c>
      <c r="DU108" s="9">
        <f>IF(18=$B$6+$B$7,0,IF(18&gt;$B$6+$B$7,$B$13/DR109,IF(18&gt;=$B$6,$B$13*$B$15/DR109,($B$13*$B$15+$B$12)/DR109)))</f>
        <v/>
      </c>
      <c r="DV108" s="9">
        <f>IF(18=$B$6,-$K$22*$B$12,0)</f>
        <v/>
      </c>
      <c r="DW108" s="9">
        <f>DU108/(DT108-DS108*DW107)</f>
        <v/>
      </c>
      <c r="DX108" s="9">
        <f>(DV108-DS108*DX107)/(DT108-DS108*DW107)</f>
        <v/>
      </c>
      <c r="DY108" s="16">
        <f>DX108-DW108*DY109</f>
        <v/>
      </c>
      <c r="DZ108" s="9">
        <f>IF(18&gt;$B$6+$B$7,$G$23*$B$11^$H$23,$E$23*$B$9^$F$23)</f>
        <v/>
      </c>
      <c r="EA108" s="9">
        <f>IF(18=1,0,$B$14)</f>
        <v/>
      </c>
      <c r="EB108" s="9">
        <f>-($B$14+(IF(18&lt;=$B$6,$B$13*$B$15+$B$12,IF(18&lt;=$B$6+$B$7,$B$13*$B$15,$B$13)))/DZ108)</f>
        <v/>
      </c>
      <c r="EC108" s="9">
        <f>IF(18=$B$6+$B$7,0,IF(18&gt;$B$6+$B$7,$B$13/DZ109,IF(18&gt;=$B$6,$B$13*$B$15/DZ109,($B$13*$B$15+$B$12)/DZ109)))</f>
        <v/>
      </c>
      <c r="ED108" s="9">
        <f>IF(18=$B$6,-$K$23*$B$12,0)</f>
        <v/>
      </c>
      <c r="EE108" s="9">
        <f>EC108/(EB108-EA108*EE107)</f>
        <v/>
      </c>
      <c r="EF108" s="9">
        <f>(ED108-EA108*EF107)/(EB108-EA108*EE107)</f>
        <v/>
      </c>
      <c r="EG108" s="16">
        <f>EF108-EE108*EG109</f>
        <v/>
      </c>
      <c r="EH108" s="9">
        <f>IF(18&gt;$B$6+$B$7,$G$24*$B$11^$H$24,$E$24*$B$9^$F$24)</f>
        <v/>
      </c>
      <c r="EI108" s="9">
        <f>IF(18=1,0,$B$14)</f>
        <v/>
      </c>
      <c r="EJ108" s="9">
        <f>-($B$14+(IF(18&lt;=$B$6,$B$13*$B$15+$B$12,IF(18&lt;=$B$6+$B$7,$B$13*$B$15,$B$13)))/EH108)</f>
        <v/>
      </c>
      <c r="EK108" s="9">
        <f>IF(18=$B$6+$B$7,0,IF(18&gt;$B$6+$B$7,$B$13/EH109,IF(18&gt;=$B$6,$B$13*$B$15/EH109,($B$13*$B$15+$B$12)/EH109)))</f>
        <v/>
      </c>
      <c r="EL108" s="9">
        <f>IF(18=$B$6,-$K$24*$B$12,0)</f>
        <v/>
      </c>
      <c r="EM108" s="9">
        <f>EK108/(EJ108-EI108*EM107)</f>
        <v/>
      </c>
      <c r="EN108" s="9">
        <f>(EL108-EI108*EN107)/(EJ108-EI108*EM107)</f>
        <v/>
      </c>
      <c r="EO108" s="16">
        <f>EN108-EM108*EO109</f>
        <v/>
      </c>
      <c r="EP108" s="9">
        <f>IF(18&gt;$B$6+$B$7,$G$25*$B$11^$H$25,$E$25*$B$9^$F$25)</f>
        <v/>
      </c>
      <c r="EQ108" s="9">
        <f>IF(18=1,0,$B$14)</f>
        <v/>
      </c>
      <c r="ER108" s="9">
        <f>-($B$14+(IF(18&lt;=$B$6,$B$13*$B$15+$B$12,IF(18&lt;=$B$6+$B$7,$B$13*$B$15,$B$13)))/EP108)</f>
        <v/>
      </c>
      <c r="ES108" s="9">
        <f>IF(18=$B$6+$B$7,0,IF(18&gt;$B$6+$B$7,$B$13/EP109,IF(18&gt;=$B$6,$B$13*$B$15/EP109,($B$13*$B$15+$B$12)/EP109)))</f>
        <v/>
      </c>
      <c r="ET108" s="9">
        <f>IF(18=$B$6,-$K$25*$B$12,0)</f>
        <v/>
      </c>
      <c r="EU108" s="9">
        <f>ES108/(ER108-EQ108*EU107)</f>
        <v/>
      </c>
      <c r="EV108" s="9">
        <f>(ET108-EQ108*EV107)/(ER108-EQ108*EU107)</f>
        <v/>
      </c>
      <c r="EW108" s="16">
        <f>EV108-EU108*EW109</f>
        <v/>
      </c>
      <c r="EX108" s="9">
        <f>IF(18&gt;$B$6+$B$7,$G$26*$B$11^$H$26,$E$26*$B$9^$F$26)</f>
        <v/>
      </c>
      <c r="EY108" s="9">
        <f>IF(18=1,0,$B$14)</f>
        <v/>
      </c>
      <c r="EZ108" s="9">
        <f>-($B$14+(IF(18&lt;=$B$6,$B$13*$B$15+$B$12,IF(18&lt;=$B$6+$B$7,$B$13*$B$15,$B$13)))/EX108)</f>
        <v/>
      </c>
      <c r="FA108" s="9">
        <f>IF(18=$B$6+$B$7,0,IF(18&gt;$B$6+$B$7,$B$13/EX109,IF(18&gt;=$B$6,$B$13*$B$15/EX109,($B$13*$B$15+$B$12)/EX109)))</f>
        <v/>
      </c>
      <c r="FB108" s="9">
        <f>IF(18=$B$6,-$K$26*$B$12,0)</f>
        <v/>
      </c>
      <c r="FC108" s="9">
        <f>FA108/(EZ108-EY108*FC107)</f>
        <v/>
      </c>
      <c r="FD108" s="9">
        <f>(FB108-EY108*FD107)/(EZ108-EY108*FC107)</f>
        <v/>
      </c>
      <c r="FE108" s="16">
        <f>FD108-FC108*FE109</f>
        <v/>
      </c>
      <c r="FF108" s="9">
        <f>IF(18&gt;$B$6+$B$7,$G$27*$B$11^$H$27,$E$27*$B$9^$F$27)</f>
        <v/>
      </c>
      <c r="FG108" s="9">
        <f>IF(18=1,0,$B$14)</f>
        <v/>
      </c>
      <c r="FH108" s="9">
        <f>-($B$14+(IF(18&lt;=$B$6,$B$13*$B$15+$B$12,IF(18&lt;=$B$6+$B$7,$B$13*$B$15,$B$13)))/FF108)</f>
        <v/>
      </c>
      <c r="FI108" s="9">
        <f>IF(18=$B$6+$B$7,0,IF(18&gt;$B$6+$B$7,$B$13/FF109,IF(18&gt;=$B$6,$B$13*$B$15/FF109,($B$13*$B$15+$B$12)/FF109)))</f>
        <v/>
      </c>
      <c r="FJ108" s="9">
        <f>IF(18=$B$6,-$K$27*$B$12,0)</f>
        <v/>
      </c>
      <c r="FK108" s="9">
        <f>FI108/(FH108-FG108*FK107)</f>
        <v/>
      </c>
      <c r="FL108" s="9">
        <f>(FJ108-FG108*FL107)/(FH108-FG108*FK107)</f>
        <v/>
      </c>
      <c r="FM108" s="16">
        <f>FL108-FK108*FM109</f>
        <v/>
      </c>
      <c r="FN108" s="9">
        <f>IF(18&gt;$B$6+$B$7,$G$28*$B$11^$H$28,$E$28*$B$9^$F$28)</f>
        <v/>
      </c>
      <c r="FO108" s="9">
        <f>IF(18=1,0,$B$14)</f>
        <v/>
      </c>
      <c r="FP108" s="9">
        <f>-($B$14+(IF(18&lt;=$B$6,$B$13*$B$15+$B$12,IF(18&lt;=$B$6+$B$7,$B$13*$B$15,$B$13)))/FN108)</f>
        <v/>
      </c>
      <c r="FQ108" s="9">
        <f>IF(18=$B$6+$B$7,0,IF(18&gt;$B$6+$B$7,$B$13/FN109,IF(18&gt;=$B$6,$B$13*$B$15/FN109,($B$13*$B$15+$B$12)/FN109)))</f>
        <v/>
      </c>
      <c r="FR108" s="9">
        <f>IF(18=$B$6,-$K$28*$B$12,0)</f>
        <v/>
      </c>
      <c r="FS108" s="9">
        <f>FQ108/(FP108-FO108*FS107)</f>
        <v/>
      </c>
      <c r="FT108" s="9">
        <f>(FR108-FO108*FT107)/(FP108-FO108*FS107)</f>
        <v/>
      </c>
      <c r="FU108" s="16">
        <f>FT108-FS108*FU109</f>
        <v/>
      </c>
      <c r="FV108" s="9">
        <f>IF(18&gt;$B$6+$B$7,$G$29*$B$11^$H$29,$E$29*$B$9^$F$29)</f>
        <v/>
      </c>
      <c r="FW108" s="9">
        <f>IF(18=1,0,$B$14)</f>
        <v/>
      </c>
      <c r="FX108" s="9">
        <f>-($B$14+(IF(18&lt;=$B$6,$B$13*$B$15+$B$12,IF(18&lt;=$B$6+$B$7,$B$13*$B$15,$B$13)))/FV108)</f>
        <v/>
      </c>
      <c r="FY108" s="9">
        <f>IF(18=$B$6+$B$7,0,IF(18&gt;$B$6+$B$7,$B$13/FV109,IF(18&gt;=$B$6,$B$13*$B$15/FV109,($B$13*$B$15+$B$12)/FV109)))</f>
        <v/>
      </c>
      <c r="FZ108" s="9">
        <f>IF(18=$B$6,-$K$29*$B$12,0)</f>
        <v/>
      </c>
      <c r="GA108" s="9">
        <f>FY108/(FX108-FW108*GA107)</f>
        <v/>
      </c>
      <c r="GB108" s="9">
        <f>(FZ108-FW108*GB107)/(FX108-FW108*GA107)</f>
        <v/>
      </c>
      <c r="GC108" s="16">
        <f>GB108-GA108*GC109</f>
        <v/>
      </c>
      <c r="GD108" s="9">
        <f>IF(18&gt;$B$6+$B$7,$G$30*$B$11^$H$30,$E$30*$B$9^$F$30)</f>
        <v/>
      </c>
      <c r="GE108" s="9">
        <f>IF(18=1,0,$B$14)</f>
        <v/>
      </c>
      <c r="GF108" s="9">
        <f>-($B$14+(IF(18&lt;=$B$6,$B$13*$B$15+$B$12,IF(18&lt;=$B$6+$B$7,$B$13*$B$15,$B$13)))/GD108)</f>
        <v/>
      </c>
      <c r="GG108" s="9">
        <f>IF(18=$B$6+$B$7,0,IF(18&gt;$B$6+$B$7,$B$13/GD109,IF(18&gt;=$B$6,$B$13*$B$15/GD109,($B$13*$B$15+$B$12)/GD109)))</f>
        <v/>
      </c>
      <c r="GH108" s="9">
        <f>IF(18=$B$6,-$K$30*$B$12,0)</f>
        <v/>
      </c>
      <c r="GI108" s="9">
        <f>GG108/(GF108-GE108*GI107)</f>
        <v/>
      </c>
      <c r="GJ108" s="9">
        <f>(GH108-GE108*GJ107)/(GF108-GE108*GI107)</f>
        <v/>
      </c>
      <c r="GK108" s="16">
        <f>GJ108-GI108*GK109</f>
        <v/>
      </c>
      <c r="GL108" s="9">
        <f>IF(18&gt;$B$6+$B$7,$G$31*$B$11^$H$31,$E$31*$B$9^$F$31)</f>
        <v/>
      </c>
      <c r="GM108" s="9">
        <f>IF(18=1,0,$B$14)</f>
        <v/>
      </c>
      <c r="GN108" s="9">
        <f>-($B$14+(IF(18&lt;=$B$6,$B$13*$B$15+$B$12,IF(18&lt;=$B$6+$B$7,$B$13*$B$15,$B$13)))/GL108)</f>
        <v/>
      </c>
      <c r="GO108" s="9">
        <f>IF(18=$B$6+$B$7,0,IF(18&gt;$B$6+$B$7,$B$13/GL109,IF(18&gt;=$B$6,$B$13*$B$15/GL109,($B$13*$B$15+$B$12)/GL109)))</f>
        <v/>
      </c>
      <c r="GP108" s="9">
        <f>IF(18=$B$6,-$K$31*$B$12,0)</f>
        <v/>
      </c>
      <c r="GQ108" s="9">
        <f>GO108/(GN108-GM108*GQ107)</f>
        <v/>
      </c>
      <c r="GR108" s="9">
        <f>(GP108-GM108*GR107)/(GN108-GM108*GQ107)</f>
        <v/>
      </c>
      <c r="GS108" s="16">
        <f>GR108-GQ108*GS109</f>
        <v/>
      </c>
      <c r="GT108" s="9">
        <f>IF(18&gt;$B$6+$B$7,$G$32*$B$11^$H$32,$E$32*$B$9^$F$32)</f>
        <v/>
      </c>
      <c r="GU108" s="9">
        <f>IF(18=1,0,$B$14)</f>
        <v/>
      </c>
      <c r="GV108" s="9">
        <f>-($B$14+(IF(18&lt;=$B$6,$B$13*$B$15+$B$12,IF(18&lt;=$B$6+$B$7,$B$13*$B$15,$B$13)))/GT108)</f>
        <v/>
      </c>
      <c r="GW108" s="9">
        <f>IF(18=$B$6+$B$7,0,IF(18&gt;$B$6+$B$7,$B$13/GT109,IF(18&gt;=$B$6,$B$13*$B$15/GT109,($B$13*$B$15+$B$12)/GT109)))</f>
        <v/>
      </c>
      <c r="GX108" s="9">
        <f>IF(18=$B$6,-$K$32*$B$12,0)</f>
        <v/>
      </c>
      <c r="GY108" s="9">
        <f>GW108/(GV108-GU108*GY107)</f>
        <v/>
      </c>
      <c r="GZ108" s="9">
        <f>(GX108-GU108*GZ107)/(GV108-GU108*GY107)</f>
        <v/>
      </c>
      <c r="HA108" s="16">
        <f>GZ108-GY108*HA109</f>
        <v/>
      </c>
      <c r="HB108" s="12">
        <f>IFERROR(I108/B108,0)</f>
        <v/>
      </c>
      <c r="HC108" s="12">
        <f>IFERROR(Q108/J108,0)</f>
        <v/>
      </c>
      <c r="HD108" s="12">
        <f>IFERROR(Y108/R108,0)</f>
        <v/>
      </c>
      <c r="HE108" s="12">
        <f>IFERROR(AG108/Z108,0)</f>
        <v/>
      </c>
      <c r="HF108" s="12">
        <f>IFERROR(AO108/AH108,0)</f>
        <v/>
      </c>
      <c r="HG108" s="12">
        <f>IFERROR(AW108/AP108,0)</f>
        <v/>
      </c>
      <c r="HH108" s="12">
        <f>IFERROR(BE108/AX108,0)</f>
        <v/>
      </c>
      <c r="HI108" s="12">
        <f>IFERROR(BM108/BF108,0)</f>
        <v/>
      </c>
      <c r="HJ108" s="12">
        <f>IFERROR(BU108/BN108,0)</f>
        <v/>
      </c>
      <c r="HK108" s="12">
        <f>IFERROR(CC108/BV108,0)</f>
        <v/>
      </c>
      <c r="HL108" s="12">
        <f>IFERROR(CK108/CD108,0)</f>
        <v/>
      </c>
      <c r="HM108" s="12">
        <f>IFERROR(CS108/CL108,0)</f>
        <v/>
      </c>
      <c r="HN108" s="12">
        <f>IFERROR(DA108/CT108,0)</f>
        <v/>
      </c>
      <c r="HO108" s="12">
        <f>IFERROR(DI108/DB108,0)</f>
        <v/>
      </c>
      <c r="HP108" s="12">
        <f>IFERROR(DQ108/DJ108,0)</f>
        <v/>
      </c>
      <c r="HQ108" s="12">
        <f>IFERROR(DY108/DR108,0)</f>
        <v/>
      </c>
      <c r="HR108" s="12">
        <f>IFERROR(EG108/DZ108,0)</f>
        <v/>
      </c>
      <c r="HS108" s="12">
        <f>IFERROR(EO108/EH108,0)</f>
        <v/>
      </c>
      <c r="HT108" s="12">
        <f>IFERROR(EW108/EP108,0)</f>
        <v/>
      </c>
      <c r="HU108" s="12">
        <f>IFERROR(FE108/EX108,0)</f>
        <v/>
      </c>
      <c r="HV108" s="12">
        <f>IFERROR(FM108/FF108,0)</f>
        <v/>
      </c>
      <c r="HW108" s="12">
        <f>IFERROR(FU108/FN108,0)</f>
        <v/>
      </c>
      <c r="HX108" s="12">
        <f>IFERROR(GC108/FV108,0)</f>
        <v/>
      </c>
      <c r="HY108" s="12">
        <f>IFERROR(GK108/GD108,0)</f>
        <v/>
      </c>
      <c r="HZ108" s="12">
        <f>IFERROR(GS108/GL108,0)</f>
        <v/>
      </c>
      <c r="IA108" s="12">
        <f>IFERROR(HA108/GT108,0)</f>
        <v/>
      </c>
      <c r="IB108" s="12">
        <f>I108+Q108+Y108+AG108+AO108+AW108+BE108+BM108+BU108+CC108+CK108+CS108+DA108+DI108+DQ108+DY108+EG108+EO108+EW108+FE108+FM108+FU108+GC108+GK108+GS108+HA108</f>
        <v/>
      </c>
      <c r="IC108" s="12">
        <f>HB108+HC108+HD108+HE108+HF108+HG108+HH108+HI108+HJ108+HK108+HL108+HM108+HN108+HO108+HP108+HQ108+HR108+HS108+HT108+HU108+HV108+HW108+HX108+HY108+HZ108+IA108</f>
        <v/>
      </c>
    </row>
    <row r="109" ht="14" customHeight="1">
      <c r="A109" s="29" t="n">
        <v>19</v>
      </c>
      <c r="B109" s="9">
        <f>IF(19&gt;$B$6+$B$7,$G$7*$B$11^$H$7,$E$7*$B$9^$F$7)</f>
        <v/>
      </c>
      <c r="C109" s="9">
        <f>IF(19=1,0,$B$14)</f>
        <v/>
      </c>
      <c r="D109" s="9">
        <f>-($B$14+(IF(19&lt;=$B$6,$B$13*$B$15+$B$12,IF(19&lt;=$B$6+$B$7,$B$13*$B$15,$B$13)))/B109)</f>
        <v/>
      </c>
      <c r="E109" s="9">
        <f>IF(19=$B$6+$B$7,0,IF(19&gt;$B$6+$B$7,$B$13/B110,IF(19&gt;=$B$6,$B$13*$B$15/B110,($B$13*$B$15+$B$12)/B110)))</f>
        <v/>
      </c>
      <c r="F109" s="9">
        <f>IF(19=$B$6,-$K$7*$B$12,0)</f>
        <v/>
      </c>
      <c r="G109" s="9">
        <f>E109/(D109-C109*G108)</f>
        <v/>
      </c>
      <c r="H109" s="9">
        <f>(F109-C109*H108)/(D109-C109*G108)</f>
        <v/>
      </c>
      <c r="I109" s="16">
        <f>H109-G109*I110</f>
        <v/>
      </c>
      <c r="J109" s="9">
        <f>IF(19&gt;$B$6+$B$7,$G$8*$B$11^$H$8,$E$8*$B$9^$F$8)</f>
        <v/>
      </c>
      <c r="K109" s="9">
        <f>IF(19=1,0,$B$14)</f>
        <v/>
      </c>
      <c r="L109" s="9">
        <f>-($B$14+(IF(19&lt;=$B$6,$B$13*$B$15+$B$12,IF(19&lt;=$B$6+$B$7,$B$13*$B$15,$B$13)))/J109)</f>
        <v/>
      </c>
      <c r="M109" s="9">
        <f>IF(19=$B$6+$B$7,0,IF(19&gt;$B$6+$B$7,$B$13/J110,IF(19&gt;=$B$6,$B$13*$B$15/J110,($B$13*$B$15+$B$12)/J110)))</f>
        <v/>
      </c>
      <c r="N109" s="9">
        <f>IF(19=$B$6,-$K$8*$B$12,0)</f>
        <v/>
      </c>
      <c r="O109" s="9">
        <f>M109/(L109-K109*O108)</f>
        <v/>
      </c>
      <c r="P109" s="9">
        <f>(N109-K109*P108)/(L109-K109*O108)</f>
        <v/>
      </c>
      <c r="Q109" s="16">
        <f>P109-O109*Q110</f>
        <v/>
      </c>
      <c r="R109" s="9">
        <f>IF(19&gt;$B$6+$B$7,$G$9*$B$11^$H$9,$E$9*$B$9^$F$9)</f>
        <v/>
      </c>
      <c r="S109" s="9">
        <f>IF(19=1,0,$B$14)</f>
        <v/>
      </c>
      <c r="T109" s="9">
        <f>-($B$14+(IF(19&lt;=$B$6,$B$13*$B$15+$B$12,IF(19&lt;=$B$6+$B$7,$B$13*$B$15,$B$13)))/R109)</f>
        <v/>
      </c>
      <c r="U109" s="9">
        <f>IF(19=$B$6+$B$7,0,IF(19&gt;$B$6+$B$7,$B$13/R110,IF(19&gt;=$B$6,$B$13*$B$15/R110,($B$13*$B$15+$B$12)/R110)))</f>
        <v/>
      </c>
      <c r="V109" s="9">
        <f>IF(19=$B$6,-$K$9*$B$12,0)</f>
        <v/>
      </c>
      <c r="W109" s="9">
        <f>U109/(T109-S109*W108)</f>
        <v/>
      </c>
      <c r="X109" s="9">
        <f>(V109-S109*X108)/(T109-S109*W108)</f>
        <v/>
      </c>
      <c r="Y109" s="16">
        <f>X109-W109*Y110</f>
        <v/>
      </c>
      <c r="Z109" s="9">
        <f>IF(19&gt;$B$6+$B$7,$G$10*$B$11^$H$10,$E$10*$B$9^$F$10)</f>
        <v/>
      </c>
      <c r="AA109" s="9">
        <f>IF(19=1,0,$B$14)</f>
        <v/>
      </c>
      <c r="AB109" s="9">
        <f>-($B$14+(IF(19&lt;=$B$6,$B$13*$B$15+$B$12,IF(19&lt;=$B$6+$B$7,$B$13*$B$15,$B$13)))/Z109)</f>
        <v/>
      </c>
      <c r="AC109" s="9">
        <f>IF(19=$B$6+$B$7,0,IF(19&gt;$B$6+$B$7,$B$13/Z110,IF(19&gt;=$B$6,$B$13*$B$15/Z110,($B$13*$B$15+$B$12)/Z110)))</f>
        <v/>
      </c>
      <c r="AD109" s="9">
        <f>IF(19=$B$6,-$K$10*$B$12,0)</f>
        <v/>
      </c>
      <c r="AE109" s="9">
        <f>AC109/(AB109-AA109*AE108)</f>
        <v/>
      </c>
      <c r="AF109" s="9">
        <f>(AD109-AA109*AF108)/(AB109-AA109*AE108)</f>
        <v/>
      </c>
      <c r="AG109" s="16">
        <f>AF109-AE109*AG110</f>
        <v/>
      </c>
      <c r="AH109" s="9">
        <f>IF(19&gt;$B$6+$B$7,$G$11*$B$11^$H$11,$E$11*$B$9^$F$11)</f>
        <v/>
      </c>
      <c r="AI109" s="9">
        <f>IF(19=1,0,$B$14)</f>
        <v/>
      </c>
      <c r="AJ109" s="9">
        <f>-($B$14+(IF(19&lt;=$B$6,$B$13*$B$15+$B$12,IF(19&lt;=$B$6+$B$7,$B$13*$B$15,$B$13)))/AH109)</f>
        <v/>
      </c>
      <c r="AK109" s="9">
        <f>IF(19=$B$6+$B$7,0,IF(19&gt;$B$6+$B$7,$B$13/AH110,IF(19&gt;=$B$6,$B$13*$B$15/AH110,($B$13*$B$15+$B$12)/AH110)))</f>
        <v/>
      </c>
      <c r="AL109" s="9">
        <f>IF(19=$B$6,-$K$11*$B$12,0)</f>
        <v/>
      </c>
      <c r="AM109" s="9">
        <f>AK109/(AJ109-AI109*AM108)</f>
        <v/>
      </c>
      <c r="AN109" s="9">
        <f>(AL109-AI109*AN108)/(AJ109-AI109*AM108)</f>
        <v/>
      </c>
      <c r="AO109" s="16">
        <f>AN109-AM109*AO110</f>
        <v/>
      </c>
      <c r="AP109" s="9">
        <f>IF(19&gt;$B$6+$B$7,$G$12*$B$11^$H$12,$E$12*$B$9^$F$12)</f>
        <v/>
      </c>
      <c r="AQ109" s="9">
        <f>IF(19=1,0,$B$14)</f>
        <v/>
      </c>
      <c r="AR109" s="9">
        <f>-($B$14+(IF(19&lt;=$B$6,$B$13*$B$15+$B$12,IF(19&lt;=$B$6+$B$7,$B$13*$B$15,$B$13)))/AP109)</f>
        <v/>
      </c>
      <c r="AS109" s="9">
        <f>IF(19=$B$6+$B$7,0,IF(19&gt;$B$6+$B$7,$B$13/AP110,IF(19&gt;=$B$6,$B$13*$B$15/AP110,($B$13*$B$15+$B$12)/AP110)))</f>
        <v/>
      </c>
      <c r="AT109" s="9">
        <f>IF(19=$B$6,-$K$12*$B$12,0)</f>
        <v/>
      </c>
      <c r="AU109" s="9">
        <f>AS109/(AR109-AQ109*AU108)</f>
        <v/>
      </c>
      <c r="AV109" s="9">
        <f>(AT109-AQ109*AV108)/(AR109-AQ109*AU108)</f>
        <v/>
      </c>
      <c r="AW109" s="16">
        <f>AV109-AU109*AW110</f>
        <v/>
      </c>
      <c r="AX109" s="9">
        <f>IF(19&gt;$B$6+$B$7,$G$13*$B$11^$H$13,$E$13*$B$9^$F$13)</f>
        <v/>
      </c>
      <c r="AY109" s="9">
        <f>IF(19=1,0,$B$14)</f>
        <v/>
      </c>
      <c r="AZ109" s="9">
        <f>-($B$14+(IF(19&lt;=$B$6,$B$13*$B$15+$B$12,IF(19&lt;=$B$6+$B$7,$B$13*$B$15,$B$13)))/AX109)</f>
        <v/>
      </c>
      <c r="BA109" s="9">
        <f>IF(19=$B$6+$B$7,0,IF(19&gt;$B$6+$B$7,$B$13/AX110,IF(19&gt;=$B$6,$B$13*$B$15/AX110,($B$13*$B$15+$B$12)/AX110)))</f>
        <v/>
      </c>
      <c r="BB109" s="9">
        <f>IF(19=$B$6,-$K$13*$B$12,0)</f>
        <v/>
      </c>
      <c r="BC109" s="9">
        <f>BA109/(AZ109-AY109*BC108)</f>
        <v/>
      </c>
      <c r="BD109" s="9">
        <f>(BB109-AY109*BD108)/(AZ109-AY109*BC108)</f>
        <v/>
      </c>
      <c r="BE109" s="16">
        <f>BD109-BC109*BE110</f>
        <v/>
      </c>
      <c r="BF109" s="9">
        <f>IF(19&gt;$B$6+$B$7,$G$14*$B$11^$H$14,$E$14*$B$9^$F$14)</f>
        <v/>
      </c>
      <c r="BG109" s="9">
        <f>IF(19=1,0,$B$14)</f>
        <v/>
      </c>
      <c r="BH109" s="9">
        <f>-($B$14+(IF(19&lt;=$B$6,$B$13*$B$15+$B$12,IF(19&lt;=$B$6+$B$7,$B$13*$B$15,$B$13)))/BF109)</f>
        <v/>
      </c>
      <c r="BI109" s="9">
        <f>IF(19=$B$6+$B$7,0,IF(19&gt;$B$6+$B$7,$B$13/BF110,IF(19&gt;=$B$6,$B$13*$B$15/BF110,($B$13*$B$15+$B$12)/BF110)))</f>
        <v/>
      </c>
      <c r="BJ109" s="9">
        <f>IF(19=$B$6,-$K$14*$B$12,0)</f>
        <v/>
      </c>
      <c r="BK109" s="9">
        <f>BI109/(BH109-BG109*BK108)</f>
        <v/>
      </c>
      <c r="BL109" s="9">
        <f>(BJ109-BG109*BL108)/(BH109-BG109*BK108)</f>
        <v/>
      </c>
      <c r="BM109" s="16">
        <f>BL109-BK109*BM110</f>
        <v/>
      </c>
      <c r="BN109" s="9">
        <f>IF(19&gt;$B$6+$B$7,$G$15*$B$11^$H$15,$E$15*$B$9^$F$15)</f>
        <v/>
      </c>
      <c r="BO109" s="9">
        <f>IF(19=1,0,$B$14)</f>
        <v/>
      </c>
      <c r="BP109" s="9">
        <f>-($B$14+(IF(19&lt;=$B$6,$B$13*$B$15+$B$12,IF(19&lt;=$B$6+$B$7,$B$13*$B$15,$B$13)))/BN109)</f>
        <v/>
      </c>
      <c r="BQ109" s="9">
        <f>IF(19=$B$6+$B$7,0,IF(19&gt;$B$6+$B$7,$B$13/BN110,IF(19&gt;=$B$6,$B$13*$B$15/BN110,($B$13*$B$15+$B$12)/BN110)))</f>
        <v/>
      </c>
      <c r="BR109" s="9">
        <f>IF(19=$B$6,-$K$15*$B$12,0)</f>
        <v/>
      </c>
      <c r="BS109" s="9">
        <f>BQ109/(BP109-BO109*BS108)</f>
        <v/>
      </c>
      <c r="BT109" s="9">
        <f>(BR109-BO109*BT108)/(BP109-BO109*BS108)</f>
        <v/>
      </c>
      <c r="BU109" s="16">
        <f>BT109-BS109*BU110</f>
        <v/>
      </c>
      <c r="BV109" s="9">
        <f>IF(19&gt;$B$6+$B$7,$G$16*$B$11^$H$16,$E$16*$B$9^$F$16)</f>
        <v/>
      </c>
      <c r="BW109" s="9">
        <f>IF(19=1,0,$B$14)</f>
        <v/>
      </c>
      <c r="BX109" s="9">
        <f>-($B$14+(IF(19&lt;=$B$6,$B$13*$B$15+$B$12,IF(19&lt;=$B$6+$B$7,$B$13*$B$15,$B$13)))/BV109)</f>
        <v/>
      </c>
      <c r="BY109" s="9">
        <f>IF(19=$B$6+$B$7,0,IF(19&gt;$B$6+$B$7,$B$13/BV110,IF(19&gt;=$B$6,$B$13*$B$15/BV110,($B$13*$B$15+$B$12)/BV110)))</f>
        <v/>
      </c>
      <c r="BZ109" s="9">
        <f>IF(19=$B$6,-$K$16*$B$12,0)</f>
        <v/>
      </c>
      <c r="CA109" s="9">
        <f>BY109/(BX109-BW109*CA108)</f>
        <v/>
      </c>
      <c r="CB109" s="9">
        <f>(BZ109-BW109*CB108)/(BX109-BW109*CA108)</f>
        <v/>
      </c>
      <c r="CC109" s="16">
        <f>CB109-CA109*CC110</f>
        <v/>
      </c>
      <c r="CD109" s="9">
        <f>IF(19&gt;$B$6+$B$7,$G$17*$B$11^$H$17,$E$17*$B$9^$F$17)</f>
        <v/>
      </c>
      <c r="CE109" s="9">
        <f>IF(19=1,0,$B$14)</f>
        <v/>
      </c>
      <c r="CF109" s="9">
        <f>-($B$14+(IF(19&lt;=$B$6,$B$13*$B$15+$B$12,IF(19&lt;=$B$6+$B$7,$B$13*$B$15,$B$13)))/CD109)</f>
        <v/>
      </c>
      <c r="CG109" s="9">
        <f>IF(19=$B$6+$B$7,0,IF(19&gt;$B$6+$B$7,$B$13/CD110,IF(19&gt;=$B$6,$B$13*$B$15/CD110,($B$13*$B$15+$B$12)/CD110)))</f>
        <v/>
      </c>
      <c r="CH109" s="9">
        <f>IF(19=$B$6,-$K$17*$B$12,0)</f>
        <v/>
      </c>
      <c r="CI109" s="9">
        <f>CG109/(CF109-CE109*CI108)</f>
        <v/>
      </c>
      <c r="CJ109" s="9">
        <f>(CH109-CE109*CJ108)/(CF109-CE109*CI108)</f>
        <v/>
      </c>
      <c r="CK109" s="16">
        <f>CJ109-CI109*CK110</f>
        <v/>
      </c>
      <c r="CL109" s="9">
        <f>IF(19&gt;$B$6+$B$7,$G$18*$B$11^$H$18,$E$18*$B$9^$F$18)</f>
        <v/>
      </c>
      <c r="CM109" s="9">
        <f>IF(19=1,0,$B$14)</f>
        <v/>
      </c>
      <c r="CN109" s="9">
        <f>-($B$14+(IF(19&lt;=$B$6,$B$13*$B$15+$B$12,IF(19&lt;=$B$6+$B$7,$B$13*$B$15,$B$13)))/CL109)</f>
        <v/>
      </c>
      <c r="CO109" s="9">
        <f>IF(19=$B$6+$B$7,0,IF(19&gt;$B$6+$B$7,$B$13/CL110,IF(19&gt;=$B$6,$B$13*$B$15/CL110,($B$13*$B$15+$B$12)/CL110)))</f>
        <v/>
      </c>
      <c r="CP109" s="9">
        <f>IF(19=$B$6,-$K$18*$B$12,0)</f>
        <v/>
      </c>
      <c r="CQ109" s="9">
        <f>CO109/(CN109-CM109*CQ108)</f>
        <v/>
      </c>
      <c r="CR109" s="9">
        <f>(CP109-CM109*CR108)/(CN109-CM109*CQ108)</f>
        <v/>
      </c>
      <c r="CS109" s="16">
        <f>CR109-CQ109*CS110</f>
        <v/>
      </c>
      <c r="CT109" s="9">
        <f>IF(19&gt;$B$6+$B$7,$G$19*$B$11^$H$19,$E$19*$B$9^$F$19)</f>
        <v/>
      </c>
      <c r="CU109" s="9">
        <f>IF(19=1,0,$B$14)</f>
        <v/>
      </c>
      <c r="CV109" s="9">
        <f>-($B$14+(IF(19&lt;=$B$6,$B$13*$B$15+$B$12,IF(19&lt;=$B$6+$B$7,$B$13*$B$15,$B$13)))/CT109)</f>
        <v/>
      </c>
      <c r="CW109" s="9">
        <f>IF(19=$B$6+$B$7,0,IF(19&gt;$B$6+$B$7,$B$13/CT110,IF(19&gt;=$B$6,$B$13*$B$15/CT110,($B$13*$B$15+$B$12)/CT110)))</f>
        <v/>
      </c>
      <c r="CX109" s="9">
        <f>IF(19=$B$6,-$K$19*$B$12,0)</f>
        <v/>
      </c>
      <c r="CY109" s="9">
        <f>CW109/(CV109-CU109*CY108)</f>
        <v/>
      </c>
      <c r="CZ109" s="9">
        <f>(CX109-CU109*CZ108)/(CV109-CU109*CY108)</f>
        <v/>
      </c>
      <c r="DA109" s="16">
        <f>CZ109-CY109*DA110</f>
        <v/>
      </c>
      <c r="DB109" s="9">
        <f>IF(19&gt;$B$6+$B$7,$G$20*$B$11^$H$20,$E$20*$B$9^$F$20)</f>
        <v/>
      </c>
      <c r="DC109" s="9">
        <f>IF(19=1,0,$B$14)</f>
        <v/>
      </c>
      <c r="DD109" s="9">
        <f>-($B$14+(IF(19&lt;=$B$6,$B$13*$B$15+$B$12,IF(19&lt;=$B$6+$B$7,$B$13*$B$15,$B$13)))/DB109)</f>
        <v/>
      </c>
      <c r="DE109" s="9">
        <f>IF(19=$B$6+$B$7,0,IF(19&gt;$B$6+$B$7,$B$13/DB110,IF(19&gt;=$B$6,$B$13*$B$15/DB110,($B$13*$B$15+$B$12)/DB110)))</f>
        <v/>
      </c>
      <c r="DF109" s="9">
        <f>IF(19=$B$6,-$K$20*$B$12,0)</f>
        <v/>
      </c>
      <c r="DG109" s="9">
        <f>DE109/(DD109-DC109*DG108)</f>
        <v/>
      </c>
      <c r="DH109" s="9">
        <f>(DF109-DC109*DH108)/(DD109-DC109*DG108)</f>
        <v/>
      </c>
      <c r="DI109" s="16">
        <f>DH109-DG109*DI110</f>
        <v/>
      </c>
      <c r="DJ109" s="9">
        <f>IF(19&gt;$B$6+$B$7,$G$21*$B$11^$H$21,$E$21*$B$9^$F$21)</f>
        <v/>
      </c>
      <c r="DK109" s="9">
        <f>IF(19=1,0,$B$14)</f>
        <v/>
      </c>
      <c r="DL109" s="9">
        <f>-($B$14+(IF(19&lt;=$B$6,$B$13*$B$15+$B$12,IF(19&lt;=$B$6+$B$7,$B$13*$B$15,$B$13)))/DJ109)</f>
        <v/>
      </c>
      <c r="DM109" s="9">
        <f>IF(19=$B$6+$B$7,0,IF(19&gt;$B$6+$B$7,$B$13/DJ110,IF(19&gt;=$B$6,$B$13*$B$15/DJ110,($B$13*$B$15+$B$12)/DJ110)))</f>
        <v/>
      </c>
      <c r="DN109" s="9">
        <f>IF(19=$B$6,-$K$21*$B$12,0)</f>
        <v/>
      </c>
      <c r="DO109" s="9">
        <f>DM109/(DL109-DK109*DO108)</f>
        <v/>
      </c>
      <c r="DP109" s="9">
        <f>(DN109-DK109*DP108)/(DL109-DK109*DO108)</f>
        <v/>
      </c>
      <c r="DQ109" s="16">
        <f>DP109-DO109*DQ110</f>
        <v/>
      </c>
      <c r="DR109" s="9">
        <f>IF(19&gt;$B$6+$B$7,$G$22*$B$11^$H$22,$E$22*$B$9^$F$22)</f>
        <v/>
      </c>
      <c r="DS109" s="9">
        <f>IF(19=1,0,$B$14)</f>
        <v/>
      </c>
      <c r="DT109" s="9">
        <f>-($B$14+(IF(19&lt;=$B$6,$B$13*$B$15+$B$12,IF(19&lt;=$B$6+$B$7,$B$13*$B$15,$B$13)))/DR109)</f>
        <v/>
      </c>
      <c r="DU109" s="9">
        <f>IF(19=$B$6+$B$7,0,IF(19&gt;$B$6+$B$7,$B$13/DR110,IF(19&gt;=$B$6,$B$13*$B$15/DR110,($B$13*$B$15+$B$12)/DR110)))</f>
        <v/>
      </c>
      <c r="DV109" s="9">
        <f>IF(19=$B$6,-$K$22*$B$12,0)</f>
        <v/>
      </c>
      <c r="DW109" s="9">
        <f>DU109/(DT109-DS109*DW108)</f>
        <v/>
      </c>
      <c r="DX109" s="9">
        <f>(DV109-DS109*DX108)/(DT109-DS109*DW108)</f>
        <v/>
      </c>
      <c r="DY109" s="16">
        <f>DX109-DW109*DY110</f>
        <v/>
      </c>
      <c r="DZ109" s="9">
        <f>IF(19&gt;$B$6+$B$7,$G$23*$B$11^$H$23,$E$23*$B$9^$F$23)</f>
        <v/>
      </c>
      <c r="EA109" s="9">
        <f>IF(19=1,0,$B$14)</f>
        <v/>
      </c>
      <c r="EB109" s="9">
        <f>-($B$14+(IF(19&lt;=$B$6,$B$13*$B$15+$B$12,IF(19&lt;=$B$6+$B$7,$B$13*$B$15,$B$13)))/DZ109)</f>
        <v/>
      </c>
      <c r="EC109" s="9">
        <f>IF(19=$B$6+$B$7,0,IF(19&gt;$B$6+$B$7,$B$13/DZ110,IF(19&gt;=$B$6,$B$13*$B$15/DZ110,($B$13*$B$15+$B$12)/DZ110)))</f>
        <v/>
      </c>
      <c r="ED109" s="9">
        <f>IF(19=$B$6,-$K$23*$B$12,0)</f>
        <v/>
      </c>
      <c r="EE109" s="9">
        <f>EC109/(EB109-EA109*EE108)</f>
        <v/>
      </c>
      <c r="EF109" s="9">
        <f>(ED109-EA109*EF108)/(EB109-EA109*EE108)</f>
        <v/>
      </c>
      <c r="EG109" s="16">
        <f>EF109-EE109*EG110</f>
        <v/>
      </c>
      <c r="EH109" s="9">
        <f>IF(19&gt;$B$6+$B$7,$G$24*$B$11^$H$24,$E$24*$B$9^$F$24)</f>
        <v/>
      </c>
      <c r="EI109" s="9">
        <f>IF(19=1,0,$B$14)</f>
        <v/>
      </c>
      <c r="EJ109" s="9">
        <f>-($B$14+(IF(19&lt;=$B$6,$B$13*$B$15+$B$12,IF(19&lt;=$B$6+$B$7,$B$13*$B$15,$B$13)))/EH109)</f>
        <v/>
      </c>
      <c r="EK109" s="9">
        <f>IF(19=$B$6+$B$7,0,IF(19&gt;$B$6+$B$7,$B$13/EH110,IF(19&gt;=$B$6,$B$13*$B$15/EH110,($B$13*$B$15+$B$12)/EH110)))</f>
        <v/>
      </c>
      <c r="EL109" s="9">
        <f>IF(19=$B$6,-$K$24*$B$12,0)</f>
        <v/>
      </c>
      <c r="EM109" s="9">
        <f>EK109/(EJ109-EI109*EM108)</f>
        <v/>
      </c>
      <c r="EN109" s="9">
        <f>(EL109-EI109*EN108)/(EJ109-EI109*EM108)</f>
        <v/>
      </c>
      <c r="EO109" s="16">
        <f>EN109-EM109*EO110</f>
        <v/>
      </c>
      <c r="EP109" s="9">
        <f>IF(19&gt;$B$6+$B$7,$G$25*$B$11^$H$25,$E$25*$B$9^$F$25)</f>
        <v/>
      </c>
      <c r="EQ109" s="9">
        <f>IF(19=1,0,$B$14)</f>
        <v/>
      </c>
      <c r="ER109" s="9">
        <f>-($B$14+(IF(19&lt;=$B$6,$B$13*$B$15+$B$12,IF(19&lt;=$B$6+$B$7,$B$13*$B$15,$B$13)))/EP109)</f>
        <v/>
      </c>
      <c r="ES109" s="9">
        <f>IF(19=$B$6+$B$7,0,IF(19&gt;$B$6+$B$7,$B$13/EP110,IF(19&gt;=$B$6,$B$13*$B$15/EP110,($B$13*$B$15+$B$12)/EP110)))</f>
        <v/>
      </c>
      <c r="ET109" s="9">
        <f>IF(19=$B$6,-$K$25*$B$12,0)</f>
        <v/>
      </c>
      <c r="EU109" s="9">
        <f>ES109/(ER109-EQ109*EU108)</f>
        <v/>
      </c>
      <c r="EV109" s="9">
        <f>(ET109-EQ109*EV108)/(ER109-EQ109*EU108)</f>
        <v/>
      </c>
      <c r="EW109" s="16">
        <f>EV109-EU109*EW110</f>
        <v/>
      </c>
      <c r="EX109" s="9">
        <f>IF(19&gt;$B$6+$B$7,$G$26*$B$11^$H$26,$E$26*$B$9^$F$26)</f>
        <v/>
      </c>
      <c r="EY109" s="9">
        <f>IF(19=1,0,$B$14)</f>
        <v/>
      </c>
      <c r="EZ109" s="9">
        <f>-($B$14+(IF(19&lt;=$B$6,$B$13*$B$15+$B$12,IF(19&lt;=$B$6+$B$7,$B$13*$B$15,$B$13)))/EX109)</f>
        <v/>
      </c>
      <c r="FA109" s="9">
        <f>IF(19=$B$6+$B$7,0,IF(19&gt;$B$6+$B$7,$B$13/EX110,IF(19&gt;=$B$6,$B$13*$B$15/EX110,($B$13*$B$15+$B$12)/EX110)))</f>
        <v/>
      </c>
      <c r="FB109" s="9">
        <f>IF(19=$B$6,-$K$26*$B$12,0)</f>
        <v/>
      </c>
      <c r="FC109" s="9">
        <f>FA109/(EZ109-EY109*FC108)</f>
        <v/>
      </c>
      <c r="FD109" s="9">
        <f>(FB109-EY109*FD108)/(EZ109-EY109*FC108)</f>
        <v/>
      </c>
      <c r="FE109" s="16">
        <f>FD109-FC109*FE110</f>
        <v/>
      </c>
      <c r="FF109" s="9">
        <f>IF(19&gt;$B$6+$B$7,$G$27*$B$11^$H$27,$E$27*$B$9^$F$27)</f>
        <v/>
      </c>
      <c r="FG109" s="9">
        <f>IF(19=1,0,$B$14)</f>
        <v/>
      </c>
      <c r="FH109" s="9">
        <f>-($B$14+(IF(19&lt;=$B$6,$B$13*$B$15+$B$12,IF(19&lt;=$B$6+$B$7,$B$13*$B$15,$B$13)))/FF109)</f>
        <v/>
      </c>
      <c r="FI109" s="9">
        <f>IF(19=$B$6+$B$7,0,IF(19&gt;$B$6+$B$7,$B$13/FF110,IF(19&gt;=$B$6,$B$13*$B$15/FF110,($B$13*$B$15+$B$12)/FF110)))</f>
        <v/>
      </c>
      <c r="FJ109" s="9">
        <f>IF(19=$B$6,-$K$27*$B$12,0)</f>
        <v/>
      </c>
      <c r="FK109" s="9">
        <f>FI109/(FH109-FG109*FK108)</f>
        <v/>
      </c>
      <c r="FL109" s="9">
        <f>(FJ109-FG109*FL108)/(FH109-FG109*FK108)</f>
        <v/>
      </c>
      <c r="FM109" s="16">
        <f>FL109-FK109*FM110</f>
        <v/>
      </c>
      <c r="FN109" s="9">
        <f>IF(19&gt;$B$6+$B$7,$G$28*$B$11^$H$28,$E$28*$B$9^$F$28)</f>
        <v/>
      </c>
      <c r="FO109" s="9">
        <f>IF(19=1,0,$B$14)</f>
        <v/>
      </c>
      <c r="FP109" s="9">
        <f>-($B$14+(IF(19&lt;=$B$6,$B$13*$B$15+$B$12,IF(19&lt;=$B$6+$B$7,$B$13*$B$15,$B$13)))/FN109)</f>
        <v/>
      </c>
      <c r="FQ109" s="9">
        <f>IF(19=$B$6+$B$7,0,IF(19&gt;$B$6+$B$7,$B$13/FN110,IF(19&gt;=$B$6,$B$13*$B$15/FN110,($B$13*$B$15+$B$12)/FN110)))</f>
        <v/>
      </c>
      <c r="FR109" s="9">
        <f>IF(19=$B$6,-$K$28*$B$12,0)</f>
        <v/>
      </c>
      <c r="FS109" s="9">
        <f>FQ109/(FP109-FO109*FS108)</f>
        <v/>
      </c>
      <c r="FT109" s="9">
        <f>(FR109-FO109*FT108)/(FP109-FO109*FS108)</f>
        <v/>
      </c>
      <c r="FU109" s="16">
        <f>FT109-FS109*FU110</f>
        <v/>
      </c>
      <c r="FV109" s="9">
        <f>IF(19&gt;$B$6+$B$7,$G$29*$B$11^$H$29,$E$29*$B$9^$F$29)</f>
        <v/>
      </c>
      <c r="FW109" s="9">
        <f>IF(19=1,0,$B$14)</f>
        <v/>
      </c>
      <c r="FX109" s="9">
        <f>-($B$14+(IF(19&lt;=$B$6,$B$13*$B$15+$B$12,IF(19&lt;=$B$6+$B$7,$B$13*$B$15,$B$13)))/FV109)</f>
        <v/>
      </c>
      <c r="FY109" s="9">
        <f>IF(19=$B$6+$B$7,0,IF(19&gt;$B$6+$B$7,$B$13/FV110,IF(19&gt;=$B$6,$B$13*$B$15/FV110,($B$13*$B$15+$B$12)/FV110)))</f>
        <v/>
      </c>
      <c r="FZ109" s="9">
        <f>IF(19=$B$6,-$K$29*$B$12,0)</f>
        <v/>
      </c>
      <c r="GA109" s="9">
        <f>FY109/(FX109-FW109*GA108)</f>
        <v/>
      </c>
      <c r="GB109" s="9">
        <f>(FZ109-FW109*GB108)/(FX109-FW109*GA108)</f>
        <v/>
      </c>
      <c r="GC109" s="16">
        <f>GB109-GA109*GC110</f>
        <v/>
      </c>
      <c r="GD109" s="9">
        <f>IF(19&gt;$B$6+$B$7,$G$30*$B$11^$H$30,$E$30*$B$9^$F$30)</f>
        <v/>
      </c>
      <c r="GE109" s="9">
        <f>IF(19=1,0,$B$14)</f>
        <v/>
      </c>
      <c r="GF109" s="9">
        <f>-($B$14+(IF(19&lt;=$B$6,$B$13*$B$15+$B$12,IF(19&lt;=$B$6+$B$7,$B$13*$B$15,$B$13)))/GD109)</f>
        <v/>
      </c>
      <c r="GG109" s="9">
        <f>IF(19=$B$6+$B$7,0,IF(19&gt;$B$6+$B$7,$B$13/GD110,IF(19&gt;=$B$6,$B$13*$B$15/GD110,($B$13*$B$15+$B$12)/GD110)))</f>
        <v/>
      </c>
      <c r="GH109" s="9">
        <f>IF(19=$B$6,-$K$30*$B$12,0)</f>
        <v/>
      </c>
      <c r="GI109" s="9">
        <f>GG109/(GF109-GE109*GI108)</f>
        <v/>
      </c>
      <c r="GJ109" s="9">
        <f>(GH109-GE109*GJ108)/(GF109-GE109*GI108)</f>
        <v/>
      </c>
      <c r="GK109" s="16">
        <f>GJ109-GI109*GK110</f>
        <v/>
      </c>
      <c r="GL109" s="9">
        <f>IF(19&gt;$B$6+$B$7,$G$31*$B$11^$H$31,$E$31*$B$9^$F$31)</f>
        <v/>
      </c>
      <c r="GM109" s="9">
        <f>IF(19=1,0,$B$14)</f>
        <v/>
      </c>
      <c r="GN109" s="9">
        <f>-($B$14+(IF(19&lt;=$B$6,$B$13*$B$15+$B$12,IF(19&lt;=$B$6+$B$7,$B$13*$B$15,$B$13)))/GL109)</f>
        <v/>
      </c>
      <c r="GO109" s="9">
        <f>IF(19=$B$6+$B$7,0,IF(19&gt;$B$6+$B$7,$B$13/GL110,IF(19&gt;=$B$6,$B$13*$B$15/GL110,($B$13*$B$15+$B$12)/GL110)))</f>
        <v/>
      </c>
      <c r="GP109" s="9">
        <f>IF(19=$B$6,-$K$31*$B$12,0)</f>
        <v/>
      </c>
      <c r="GQ109" s="9">
        <f>GO109/(GN109-GM109*GQ108)</f>
        <v/>
      </c>
      <c r="GR109" s="9">
        <f>(GP109-GM109*GR108)/(GN109-GM109*GQ108)</f>
        <v/>
      </c>
      <c r="GS109" s="16">
        <f>GR109-GQ109*GS110</f>
        <v/>
      </c>
      <c r="GT109" s="9">
        <f>IF(19&gt;$B$6+$B$7,$G$32*$B$11^$H$32,$E$32*$B$9^$F$32)</f>
        <v/>
      </c>
      <c r="GU109" s="9">
        <f>IF(19=1,0,$B$14)</f>
        <v/>
      </c>
      <c r="GV109" s="9">
        <f>-($B$14+(IF(19&lt;=$B$6,$B$13*$B$15+$B$12,IF(19&lt;=$B$6+$B$7,$B$13*$B$15,$B$13)))/GT109)</f>
        <v/>
      </c>
      <c r="GW109" s="9">
        <f>IF(19=$B$6+$B$7,0,IF(19&gt;$B$6+$B$7,$B$13/GT110,IF(19&gt;=$B$6,$B$13*$B$15/GT110,($B$13*$B$15+$B$12)/GT110)))</f>
        <v/>
      </c>
      <c r="GX109" s="9">
        <f>IF(19=$B$6,-$K$32*$B$12,0)</f>
        <v/>
      </c>
      <c r="GY109" s="9">
        <f>GW109/(GV109-GU109*GY108)</f>
        <v/>
      </c>
      <c r="GZ109" s="9">
        <f>(GX109-GU109*GZ108)/(GV109-GU109*GY108)</f>
        <v/>
      </c>
      <c r="HA109" s="16">
        <f>GZ109-GY109*HA110</f>
        <v/>
      </c>
      <c r="HB109" s="12">
        <f>IFERROR(I109/B109,0)</f>
        <v/>
      </c>
      <c r="HC109" s="12">
        <f>IFERROR(Q109/J109,0)</f>
        <v/>
      </c>
      <c r="HD109" s="12">
        <f>IFERROR(Y109/R109,0)</f>
        <v/>
      </c>
      <c r="HE109" s="12">
        <f>IFERROR(AG109/Z109,0)</f>
        <v/>
      </c>
      <c r="HF109" s="12">
        <f>IFERROR(AO109/AH109,0)</f>
        <v/>
      </c>
      <c r="HG109" s="12">
        <f>IFERROR(AW109/AP109,0)</f>
        <v/>
      </c>
      <c r="HH109" s="12">
        <f>IFERROR(BE109/AX109,0)</f>
        <v/>
      </c>
      <c r="HI109" s="12">
        <f>IFERROR(BM109/BF109,0)</f>
        <v/>
      </c>
      <c r="HJ109" s="12">
        <f>IFERROR(BU109/BN109,0)</f>
        <v/>
      </c>
      <c r="HK109" s="12">
        <f>IFERROR(CC109/BV109,0)</f>
        <v/>
      </c>
      <c r="HL109" s="12">
        <f>IFERROR(CK109/CD109,0)</f>
        <v/>
      </c>
      <c r="HM109" s="12">
        <f>IFERROR(CS109/CL109,0)</f>
        <v/>
      </c>
      <c r="HN109" s="12">
        <f>IFERROR(DA109/CT109,0)</f>
        <v/>
      </c>
      <c r="HO109" s="12">
        <f>IFERROR(DI109/DB109,0)</f>
        <v/>
      </c>
      <c r="HP109" s="12">
        <f>IFERROR(DQ109/DJ109,0)</f>
        <v/>
      </c>
      <c r="HQ109" s="12">
        <f>IFERROR(DY109/DR109,0)</f>
        <v/>
      </c>
      <c r="HR109" s="12">
        <f>IFERROR(EG109/DZ109,0)</f>
        <v/>
      </c>
      <c r="HS109" s="12">
        <f>IFERROR(EO109/EH109,0)</f>
        <v/>
      </c>
      <c r="HT109" s="12">
        <f>IFERROR(EW109/EP109,0)</f>
        <v/>
      </c>
      <c r="HU109" s="12">
        <f>IFERROR(FE109/EX109,0)</f>
        <v/>
      </c>
      <c r="HV109" s="12">
        <f>IFERROR(FM109/FF109,0)</f>
        <v/>
      </c>
      <c r="HW109" s="12">
        <f>IFERROR(FU109/FN109,0)</f>
        <v/>
      </c>
      <c r="HX109" s="12">
        <f>IFERROR(GC109/FV109,0)</f>
        <v/>
      </c>
      <c r="HY109" s="12">
        <f>IFERROR(GK109/GD109,0)</f>
        <v/>
      </c>
      <c r="HZ109" s="12">
        <f>IFERROR(GS109/GL109,0)</f>
        <v/>
      </c>
      <c r="IA109" s="12">
        <f>IFERROR(HA109/GT109,0)</f>
        <v/>
      </c>
      <c r="IB109" s="12">
        <f>I109+Q109+Y109+AG109+AO109+AW109+BE109+BM109+BU109+CC109+CK109+CS109+DA109+DI109+DQ109+DY109+EG109+EO109+EW109+FE109+FM109+FU109+GC109+GK109+GS109+HA109</f>
        <v/>
      </c>
      <c r="IC109" s="12">
        <f>HB109+HC109+HD109+HE109+HF109+HG109+HH109+HI109+HJ109+HK109+HL109+HM109+HN109+HO109+HP109+HQ109+HR109+HS109+HT109+HU109+HV109+HW109+HX109+HY109+HZ109+IA109</f>
        <v/>
      </c>
    </row>
    <row r="110" ht="14" customHeight="1">
      <c r="A110" s="29" t="n">
        <v>20</v>
      </c>
      <c r="B110" s="9">
        <f>IF(20&gt;$B$6+$B$7,$G$7*$B$11^$H$7,$E$7*$B$9^$F$7)</f>
        <v/>
      </c>
      <c r="C110" s="9">
        <f>IF(20=1,0,$B$14)</f>
        <v/>
      </c>
      <c r="D110" s="9">
        <f>-($B$14+(IF(20&lt;=$B$6,$B$13*$B$15+$B$12,IF(20&lt;=$B$6+$B$7,$B$13*$B$15,$B$13)))/B110)</f>
        <v/>
      </c>
      <c r="E110" s="9">
        <f>IF(20=$B$6+$B$7,0,IF(20&gt;$B$6+$B$7,$B$13/B111,IF(20&gt;=$B$6,$B$13*$B$15/B111,($B$13*$B$15+$B$12)/B111)))</f>
        <v/>
      </c>
      <c r="F110" s="9">
        <f>IF(20=$B$6,-$K$7*$B$12,0)</f>
        <v/>
      </c>
      <c r="G110" s="9">
        <f>E110/(D110-C110*G109)</f>
        <v/>
      </c>
      <c r="H110" s="9">
        <f>(F110-C110*H109)/(D110-C110*G109)</f>
        <v/>
      </c>
      <c r="I110" s="16">
        <f>H110-G110*I111</f>
        <v/>
      </c>
      <c r="J110" s="9">
        <f>IF(20&gt;$B$6+$B$7,$G$8*$B$11^$H$8,$E$8*$B$9^$F$8)</f>
        <v/>
      </c>
      <c r="K110" s="9">
        <f>IF(20=1,0,$B$14)</f>
        <v/>
      </c>
      <c r="L110" s="9">
        <f>-($B$14+(IF(20&lt;=$B$6,$B$13*$B$15+$B$12,IF(20&lt;=$B$6+$B$7,$B$13*$B$15,$B$13)))/J110)</f>
        <v/>
      </c>
      <c r="M110" s="9">
        <f>IF(20=$B$6+$B$7,0,IF(20&gt;$B$6+$B$7,$B$13/J111,IF(20&gt;=$B$6,$B$13*$B$15/J111,($B$13*$B$15+$B$12)/J111)))</f>
        <v/>
      </c>
      <c r="N110" s="9">
        <f>IF(20=$B$6,-$K$8*$B$12,0)</f>
        <v/>
      </c>
      <c r="O110" s="9">
        <f>M110/(L110-K110*O109)</f>
        <v/>
      </c>
      <c r="P110" s="9">
        <f>(N110-K110*P109)/(L110-K110*O109)</f>
        <v/>
      </c>
      <c r="Q110" s="16">
        <f>P110-O110*Q111</f>
        <v/>
      </c>
      <c r="R110" s="9">
        <f>IF(20&gt;$B$6+$B$7,$G$9*$B$11^$H$9,$E$9*$B$9^$F$9)</f>
        <v/>
      </c>
      <c r="S110" s="9">
        <f>IF(20=1,0,$B$14)</f>
        <v/>
      </c>
      <c r="T110" s="9">
        <f>-($B$14+(IF(20&lt;=$B$6,$B$13*$B$15+$B$12,IF(20&lt;=$B$6+$B$7,$B$13*$B$15,$B$13)))/R110)</f>
        <v/>
      </c>
      <c r="U110" s="9">
        <f>IF(20=$B$6+$B$7,0,IF(20&gt;$B$6+$B$7,$B$13/R111,IF(20&gt;=$B$6,$B$13*$B$15/R111,($B$13*$B$15+$B$12)/R111)))</f>
        <v/>
      </c>
      <c r="V110" s="9">
        <f>IF(20=$B$6,-$K$9*$B$12,0)</f>
        <v/>
      </c>
      <c r="W110" s="9">
        <f>U110/(T110-S110*W109)</f>
        <v/>
      </c>
      <c r="X110" s="9">
        <f>(V110-S110*X109)/(T110-S110*W109)</f>
        <v/>
      </c>
      <c r="Y110" s="16">
        <f>X110-W110*Y111</f>
        <v/>
      </c>
      <c r="Z110" s="9">
        <f>IF(20&gt;$B$6+$B$7,$G$10*$B$11^$H$10,$E$10*$B$9^$F$10)</f>
        <v/>
      </c>
      <c r="AA110" s="9">
        <f>IF(20=1,0,$B$14)</f>
        <v/>
      </c>
      <c r="AB110" s="9">
        <f>-($B$14+(IF(20&lt;=$B$6,$B$13*$B$15+$B$12,IF(20&lt;=$B$6+$B$7,$B$13*$B$15,$B$13)))/Z110)</f>
        <v/>
      </c>
      <c r="AC110" s="9">
        <f>IF(20=$B$6+$B$7,0,IF(20&gt;$B$6+$B$7,$B$13/Z111,IF(20&gt;=$B$6,$B$13*$B$15/Z111,($B$13*$B$15+$B$12)/Z111)))</f>
        <v/>
      </c>
      <c r="AD110" s="9">
        <f>IF(20=$B$6,-$K$10*$B$12,0)</f>
        <v/>
      </c>
      <c r="AE110" s="9">
        <f>AC110/(AB110-AA110*AE109)</f>
        <v/>
      </c>
      <c r="AF110" s="9">
        <f>(AD110-AA110*AF109)/(AB110-AA110*AE109)</f>
        <v/>
      </c>
      <c r="AG110" s="16">
        <f>AF110-AE110*AG111</f>
        <v/>
      </c>
      <c r="AH110" s="9">
        <f>IF(20&gt;$B$6+$B$7,$G$11*$B$11^$H$11,$E$11*$B$9^$F$11)</f>
        <v/>
      </c>
      <c r="AI110" s="9">
        <f>IF(20=1,0,$B$14)</f>
        <v/>
      </c>
      <c r="AJ110" s="9">
        <f>-($B$14+(IF(20&lt;=$B$6,$B$13*$B$15+$B$12,IF(20&lt;=$B$6+$B$7,$B$13*$B$15,$B$13)))/AH110)</f>
        <v/>
      </c>
      <c r="AK110" s="9">
        <f>IF(20=$B$6+$B$7,0,IF(20&gt;$B$6+$B$7,$B$13/AH111,IF(20&gt;=$B$6,$B$13*$B$15/AH111,($B$13*$B$15+$B$12)/AH111)))</f>
        <v/>
      </c>
      <c r="AL110" s="9">
        <f>IF(20=$B$6,-$K$11*$B$12,0)</f>
        <v/>
      </c>
      <c r="AM110" s="9">
        <f>AK110/(AJ110-AI110*AM109)</f>
        <v/>
      </c>
      <c r="AN110" s="9">
        <f>(AL110-AI110*AN109)/(AJ110-AI110*AM109)</f>
        <v/>
      </c>
      <c r="AO110" s="16">
        <f>AN110-AM110*AO111</f>
        <v/>
      </c>
      <c r="AP110" s="9">
        <f>IF(20&gt;$B$6+$B$7,$G$12*$B$11^$H$12,$E$12*$B$9^$F$12)</f>
        <v/>
      </c>
      <c r="AQ110" s="9">
        <f>IF(20=1,0,$B$14)</f>
        <v/>
      </c>
      <c r="AR110" s="9">
        <f>-($B$14+(IF(20&lt;=$B$6,$B$13*$B$15+$B$12,IF(20&lt;=$B$6+$B$7,$B$13*$B$15,$B$13)))/AP110)</f>
        <v/>
      </c>
      <c r="AS110" s="9">
        <f>IF(20=$B$6+$B$7,0,IF(20&gt;$B$6+$B$7,$B$13/AP111,IF(20&gt;=$B$6,$B$13*$B$15/AP111,($B$13*$B$15+$B$12)/AP111)))</f>
        <v/>
      </c>
      <c r="AT110" s="9">
        <f>IF(20=$B$6,-$K$12*$B$12,0)</f>
        <v/>
      </c>
      <c r="AU110" s="9">
        <f>AS110/(AR110-AQ110*AU109)</f>
        <v/>
      </c>
      <c r="AV110" s="9">
        <f>(AT110-AQ110*AV109)/(AR110-AQ110*AU109)</f>
        <v/>
      </c>
      <c r="AW110" s="16">
        <f>AV110-AU110*AW111</f>
        <v/>
      </c>
      <c r="AX110" s="9">
        <f>IF(20&gt;$B$6+$B$7,$G$13*$B$11^$H$13,$E$13*$B$9^$F$13)</f>
        <v/>
      </c>
      <c r="AY110" s="9">
        <f>IF(20=1,0,$B$14)</f>
        <v/>
      </c>
      <c r="AZ110" s="9">
        <f>-($B$14+(IF(20&lt;=$B$6,$B$13*$B$15+$B$12,IF(20&lt;=$B$6+$B$7,$B$13*$B$15,$B$13)))/AX110)</f>
        <v/>
      </c>
      <c r="BA110" s="9">
        <f>IF(20=$B$6+$B$7,0,IF(20&gt;$B$6+$B$7,$B$13/AX111,IF(20&gt;=$B$6,$B$13*$B$15/AX111,($B$13*$B$15+$B$12)/AX111)))</f>
        <v/>
      </c>
      <c r="BB110" s="9">
        <f>IF(20=$B$6,-$K$13*$B$12,0)</f>
        <v/>
      </c>
      <c r="BC110" s="9">
        <f>BA110/(AZ110-AY110*BC109)</f>
        <v/>
      </c>
      <c r="BD110" s="9">
        <f>(BB110-AY110*BD109)/(AZ110-AY110*BC109)</f>
        <v/>
      </c>
      <c r="BE110" s="16">
        <f>BD110-BC110*BE111</f>
        <v/>
      </c>
      <c r="BF110" s="9">
        <f>IF(20&gt;$B$6+$B$7,$G$14*$B$11^$H$14,$E$14*$B$9^$F$14)</f>
        <v/>
      </c>
      <c r="BG110" s="9">
        <f>IF(20=1,0,$B$14)</f>
        <v/>
      </c>
      <c r="BH110" s="9">
        <f>-($B$14+(IF(20&lt;=$B$6,$B$13*$B$15+$B$12,IF(20&lt;=$B$6+$B$7,$B$13*$B$15,$B$13)))/BF110)</f>
        <v/>
      </c>
      <c r="BI110" s="9">
        <f>IF(20=$B$6+$B$7,0,IF(20&gt;$B$6+$B$7,$B$13/BF111,IF(20&gt;=$B$6,$B$13*$B$15/BF111,($B$13*$B$15+$B$12)/BF111)))</f>
        <v/>
      </c>
      <c r="BJ110" s="9">
        <f>IF(20=$B$6,-$K$14*$B$12,0)</f>
        <v/>
      </c>
      <c r="BK110" s="9">
        <f>BI110/(BH110-BG110*BK109)</f>
        <v/>
      </c>
      <c r="BL110" s="9">
        <f>(BJ110-BG110*BL109)/(BH110-BG110*BK109)</f>
        <v/>
      </c>
      <c r="BM110" s="16">
        <f>BL110-BK110*BM111</f>
        <v/>
      </c>
      <c r="BN110" s="9">
        <f>IF(20&gt;$B$6+$B$7,$G$15*$B$11^$H$15,$E$15*$B$9^$F$15)</f>
        <v/>
      </c>
      <c r="BO110" s="9">
        <f>IF(20=1,0,$B$14)</f>
        <v/>
      </c>
      <c r="BP110" s="9">
        <f>-($B$14+(IF(20&lt;=$B$6,$B$13*$B$15+$B$12,IF(20&lt;=$B$6+$B$7,$B$13*$B$15,$B$13)))/BN110)</f>
        <v/>
      </c>
      <c r="BQ110" s="9">
        <f>IF(20=$B$6+$B$7,0,IF(20&gt;$B$6+$B$7,$B$13/BN111,IF(20&gt;=$B$6,$B$13*$B$15/BN111,($B$13*$B$15+$B$12)/BN111)))</f>
        <v/>
      </c>
      <c r="BR110" s="9">
        <f>IF(20=$B$6,-$K$15*$B$12,0)</f>
        <v/>
      </c>
      <c r="BS110" s="9">
        <f>BQ110/(BP110-BO110*BS109)</f>
        <v/>
      </c>
      <c r="BT110" s="9">
        <f>(BR110-BO110*BT109)/(BP110-BO110*BS109)</f>
        <v/>
      </c>
      <c r="BU110" s="16">
        <f>BT110-BS110*BU111</f>
        <v/>
      </c>
      <c r="BV110" s="9">
        <f>IF(20&gt;$B$6+$B$7,$G$16*$B$11^$H$16,$E$16*$B$9^$F$16)</f>
        <v/>
      </c>
      <c r="BW110" s="9">
        <f>IF(20=1,0,$B$14)</f>
        <v/>
      </c>
      <c r="BX110" s="9">
        <f>-($B$14+(IF(20&lt;=$B$6,$B$13*$B$15+$B$12,IF(20&lt;=$B$6+$B$7,$B$13*$B$15,$B$13)))/BV110)</f>
        <v/>
      </c>
      <c r="BY110" s="9">
        <f>IF(20=$B$6+$B$7,0,IF(20&gt;$B$6+$B$7,$B$13/BV111,IF(20&gt;=$B$6,$B$13*$B$15/BV111,($B$13*$B$15+$B$12)/BV111)))</f>
        <v/>
      </c>
      <c r="BZ110" s="9">
        <f>IF(20=$B$6,-$K$16*$B$12,0)</f>
        <v/>
      </c>
      <c r="CA110" s="9">
        <f>BY110/(BX110-BW110*CA109)</f>
        <v/>
      </c>
      <c r="CB110" s="9">
        <f>(BZ110-BW110*CB109)/(BX110-BW110*CA109)</f>
        <v/>
      </c>
      <c r="CC110" s="16">
        <f>CB110-CA110*CC111</f>
        <v/>
      </c>
      <c r="CD110" s="9">
        <f>IF(20&gt;$B$6+$B$7,$G$17*$B$11^$H$17,$E$17*$B$9^$F$17)</f>
        <v/>
      </c>
      <c r="CE110" s="9">
        <f>IF(20=1,0,$B$14)</f>
        <v/>
      </c>
      <c r="CF110" s="9">
        <f>-($B$14+(IF(20&lt;=$B$6,$B$13*$B$15+$B$12,IF(20&lt;=$B$6+$B$7,$B$13*$B$15,$B$13)))/CD110)</f>
        <v/>
      </c>
      <c r="CG110" s="9">
        <f>IF(20=$B$6+$B$7,0,IF(20&gt;$B$6+$B$7,$B$13/CD111,IF(20&gt;=$B$6,$B$13*$B$15/CD111,($B$13*$B$15+$B$12)/CD111)))</f>
        <v/>
      </c>
      <c r="CH110" s="9">
        <f>IF(20=$B$6,-$K$17*$B$12,0)</f>
        <v/>
      </c>
      <c r="CI110" s="9">
        <f>CG110/(CF110-CE110*CI109)</f>
        <v/>
      </c>
      <c r="CJ110" s="9">
        <f>(CH110-CE110*CJ109)/(CF110-CE110*CI109)</f>
        <v/>
      </c>
      <c r="CK110" s="16">
        <f>CJ110-CI110*CK111</f>
        <v/>
      </c>
      <c r="CL110" s="9">
        <f>IF(20&gt;$B$6+$B$7,$G$18*$B$11^$H$18,$E$18*$B$9^$F$18)</f>
        <v/>
      </c>
      <c r="CM110" s="9">
        <f>IF(20=1,0,$B$14)</f>
        <v/>
      </c>
      <c r="CN110" s="9">
        <f>-($B$14+(IF(20&lt;=$B$6,$B$13*$B$15+$B$12,IF(20&lt;=$B$6+$B$7,$B$13*$B$15,$B$13)))/CL110)</f>
        <v/>
      </c>
      <c r="CO110" s="9">
        <f>IF(20=$B$6+$B$7,0,IF(20&gt;$B$6+$B$7,$B$13/CL111,IF(20&gt;=$B$6,$B$13*$B$15/CL111,($B$13*$B$15+$B$12)/CL111)))</f>
        <v/>
      </c>
      <c r="CP110" s="9">
        <f>IF(20=$B$6,-$K$18*$B$12,0)</f>
        <v/>
      </c>
      <c r="CQ110" s="9">
        <f>CO110/(CN110-CM110*CQ109)</f>
        <v/>
      </c>
      <c r="CR110" s="9">
        <f>(CP110-CM110*CR109)/(CN110-CM110*CQ109)</f>
        <v/>
      </c>
      <c r="CS110" s="16">
        <f>CR110-CQ110*CS111</f>
        <v/>
      </c>
      <c r="CT110" s="9">
        <f>IF(20&gt;$B$6+$B$7,$G$19*$B$11^$H$19,$E$19*$B$9^$F$19)</f>
        <v/>
      </c>
      <c r="CU110" s="9">
        <f>IF(20=1,0,$B$14)</f>
        <v/>
      </c>
      <c r="CV110" s="9">
        <f>-($B$14+(IF(20&lt;=$B$6,$B$13*$B$15+$B$12,IF(20&lt;=$B$6+$B$7,$B$13*$B$15,$B$13)))/CT110)</f>
        <v/>
      </c>
      <c r="CW110" s="9">
        <f>IF(20=$B$6+$B$7,0,IF(20&gt;$B$6+$B$7,$B$13/CT111,IF(20&gt;=$B$6,$B$13*$B$15/CT111,($B$13*$B$15+$B$12)/CT111)))</f>
        <v/>
      </c>
      <c r="CX110" s="9">
        <f>IF(20=$B$6,-$K$19*$B$12,0)</f>
        <v/>
      </c>
      <c r="CY110" s="9">
        <f>CW110/(CV110-CU110*CY109)</f>
        <v/>
      </c>
      <c r="CZ110" s="9">
        <f>(CX110-CU110*CZ109)/(CV110-CU110*CY109)</f>
        <v/>
      </c>
      <c r="DA110" s="16">
        <f>CZ110-CY110*DA111</f>
        <v/>
      </c>
      <c r="DB110" s="9">
        <f>IF(20&gt;$B$6+$B$7,$G$20*$B$11^$H$20,$E$20*$B$9^$F$20)</f>
        <v/>
      </c>
      <c r="DC110" s="9">
        <f>IF(20=1,0,$B$14)</f>
        <v/>
      </c>
      <c r="DD110" s="9">
        <f>-($B$14+(IF(20&lt;=$B$6,$B$13*$B$15+$B$12,IF(20&lt;=$B$6+$B$7,$B$13*$B$15,$B$13)))/DB110)</f>
        <v/>
      </c>
      <c r="DE110" s="9">
        <f>IF(20=$B$6+$B$7,0,IF(20&gt;$B$6+$B$7,$B$13/DB111,IF(20&gt;=$B$6,$B$13*$B$15/DB111,($B$13*$B$15+$B$12)/DB111)))</f>
        <v/>
      </c>
      <c r="DF110" s="9">
        <f>IF(20=$B$6,-$K$20*$B$12,0)</f>
        <v/>
      </c>
      <c r="DG110" s="9">
        <f>DE110/(DD110-DC110*DG109)</f>
        <v/>
      </c>
      <c r="DH110" s="9">
        <f>(DF110-DC110*DH109)/(DD110-DC110*DG109)</f>
        <v/>
      </c>
      <c r="DI110" s="16">
        <f>DH110-DG110*DI111</f>
        <v/>
      </c>
      <c r="DJ110" s="9">
        <f>IF(20&gt;$B$6+$B$7,$G$21*$B$11^$H$21,$E$21*$B$9^$F$21)</f>
        <v/>
      </c>
      <c r="DK110" s="9">
        <f>IF(20=1,0,$B$14)</f>
        <v/>
      </c>
      <c r="DL110" s="9">
        <f>-($B$14+(IF(20&lt;=$B$6,$B$13*$B$15+$B$12,IF(20&lt;=$B$6+$B$7,$B$13*$B$15,$B$13)))/DJ110)</f>
        <v/>
      </c>
      <c r="DM110" s="9">
        <f>IF(20=$B$6+$B$7,0,IF(20&gt;$B$6+$B$7,$B$13/DJ111,IF(20&gt;=$B$6,$B$13*$B$15/DJ111,($B$13*$B$15+$B$12)/DJ111)))</f>
        <v/>
      </c>
      <c r="DN110" s="9">
        <f>IF(20=$B$6,-$K$21*$B$12,0)</f>
        <v/>
      </c>
      <c r="DO110" s="9">
        <f>DM110/(DL110-DK110*DO109)</f>
        <v/>
      </c>
      <c r="DP110" s="9">
        <f>(DN110-DK110*DP109)/(DL110-DK110*DO109)</f>
        <v/>
      </c>
      <c r="DQ110" s="16">
        <f>DP110-DO110*DQ111</f>
        <v/>
      </c>
      <c r="DR110" s="9">
        <f>IF(20&gt;$B$6+$B$7,$G$22*$B$11^$H$22,$E$22*$B$9^$F$22)</f>
        <v/>
      </c>
      <c r="DS110" s="9">
        <f>IF(20=1,0,$B$14)</f>
        <v/>
      </c>
      <c r="DT110" s="9">
        <f>-($B$14+(IF(20&lt;=$B$6,$B$13*$B$15+$B$12,IF(20&lt;=$B$6+$B$7,$B$13*$B$15,$B$13)))/DR110)</f>
        <v/>
      </c>
      <c r="DU110" s="9">
        <f>IF(20=$B$6+$B$7,0,IF(20&gt;$B$6+$B$7,$B$13/DR111,IF(20&gt;=$B$6,$B$13*$B$15/DR111,($B$13*$B$15+$B$12)/DR111)))</f>
        <v/>
      </c>
      <c r="DV110" s="9">
        <f>IF(20=$B$6,-$K$22*$B$12,0)</f>
        <v/>
      </c>
      <c r="DW110" s="9">
        <f>DU110/(DT110-DS110*DW109)</f>
        <v/>
      </c>
      <c r="DX110" s="9">
        <f>(DV110-DS110*DX109)/(DT110-DS110*DW109)</f>
        <v/>
      </c>
      <c r="DY110" s="16">
        <f>DX110-DW110*DY111</f>
        <v/>
      </c>
      <c r="DZ110" s="9">
        <f>IF(20&gt;$B$6+$B$7,$G$23*$B$11^$H$23,$E$23*$B$9^$F$23)</f>
        <v/>
      </c>
      <c r="EA110" s="9">
        <f>IF(20=1,0,$B$14)</f>
        <v/>
      </c>
      <c r="EB110" s="9">
        <f>-($B$14+(IF(20&lt;=$B$6,$B$13*$B$15+$B$12,IF(20&lt;=$B$6+$B$7,$B$13*$B$15,$B$13)))/DZ110)</f>
        <v/>
      </c>
      <c r="EC110" s="9">
        <f>IF(20=$B$6+$B$7,0,IF(20&gt;$B$6+$B$7,$B$13/DZ111,IF(20&gt;=$B$6,$B$13*$B$15/DZ111,($B$13*$B$15+$B$12)/DZ111)))</f>
        <v/>
      </c>
      <c r="ED110" s="9">
        <f>IF(20=$B$6,-$K$23*$B$12,0)</f>
        <v/>
      </c>
      <c r="EE110" s="9">
        <f>EC110/(EB110-EA110*EE109)</f>
        <v/>
      </c>
      <c r="EF110" s="9">
        <f>(ED110-EA110*EF109)/(EB110-EA110*EE109)</f>
        <v/>
      </c>
      <c r="EG110" s="16">
        <f>EF110-EE110*EG111</f>
        <v/>
      </c>
      <c r="EH110" s="9">
        <f>IF(20&gt;$B$6+$B$7,$G$24*$B$11^$H$24,$E$24*$B$9^$F$24)</f>
        <v/>
      </c>
      <c r="EI110" s="9">
        <f>IF(20=1,0,$B$14)</f>
        <v/>
      </c>
      <c r="EJ110" s="9">
        <f>-($B$14+(IF(20&lt;=$B$6,$B$13*$B$15+$B$12,IF(20&lt;=$B$6+$B$7,$B$13*$B$15,$B$13)))/EH110)</f>
        <v/>
      </c>
      <c r="EK110" s="9">
        <f>IF(20=$B$6+$B$7,0,IF(20&gt;$B$6+$B$7,$B$13/EH111,IF(20&gt;=$B$6,$B$13*$B$15/EH111,($B$13*$B$15+$B$12)/EH111)))</f>
        <v/>
      </c>
      <c r="EL110" s="9">
        <f>IF(20=$B$6,-$K$24*$B$12,0)</f>
        <v/>
      </c>
      <c r="EM110" s="9">
        <f>EK110/(EJ110-EI110*EM109)</f>
        <v/>
      </c>
      <c r="EN110" s="9">
        <f>(EL110-EI110*EN109)/(EJ110-EI110*EM109)</f>
        <v/>
      </c>
      <c r="EO110" s="16">
        <f>EN110-EM110*EO111</f>
        <v/>
      </c>
      <c r="EP110" s="9">
        <f>IF(20&gt;$B$6+$B$7,$G$25*$B$11^$H$25,$E$25*$B$9^$F$25)</f>
        <v/>
      </c>
      <c r="EQ110" s="9">
        <f>IF(20=1,0,$B$14)</f>
        <v/>
      </c>
      <c r="ER110" s="9">
        <f>-($B$14+(IF(20&lt;=$B$6,$B$13*$B$15+$B$12,IF(20&lt;=$B$6+$B$7,$B$13*$B$15,$B$13)))/EP110)</f>
        <v/>
      </c>
      <c r="ES110" s="9">
        <f>IF(20=$B$6+$B$7,0,IF(20&gt;$B$6+$B$7,$B$13/EP111,IF(20&gt;=$B$6,$B$13*$B$15/EP111,($B$13*$B$15+$B$12)/EP111)))</f>
        <v/>
      </c>
      <c r="ET110" s="9">
        <f>IF(20=$B$6,-$K$25*$B$12,0)</f>
        <v/>
      </c>
      <c r="EU110" s="9">
        <f>ES110/(ER110-EQ110*EU109)</f>
        <v/>
      </c>
      <c r="EV110" s="9">
        <f>(ET110-EQ110*EV109)/(ER110-EQ110*EU109)</f>
        <v/>
      </c>
      <c r="EW110" s="16">
        <f>EV110-EU110*EW111</f>
        <v/>
      </c>
      <c r="EX110" s="9">
        <f>IF(20&gt;$B$6+$B$7,$G$26*$B$11^$H$26,$E$26*$B$9^$F$26)</f>
        <v/>
      </c>
      <c r="EY110" s="9">
        <f>IF(20=1,0,$B$14)</f>
        <v/>
      </c>
      <c r="EZ110" s="9">
        <f>-($B$14+(IF(20&lt;=$B$6,$B$13*$B$15+$B$12,IF(20&lt;=$B$6+$B$7,$B$13*$B$15,$B$13)))/EX110)</f>
        <v/>
      </c>
      <c r="FA110" s="9">
        <f>IF(20=$B$6+$B$7,0,IF(20&gt;$B$6+$B$7,$B$13/EX111,IF(20&gt;=$B$6,$B$13*$B$15/EX111,($B$13*$B$15+$B$12)/EX111)))</f>
        <v/>
      </c>
      <c r="FB110" s="9">
        <f>IF(20=$B$6,-$K$26*$B$12,0)</f>
        <v/>
      </c>
      <c r="FC110" s="9">
        <f>FA110/(EZ110-EY110*FC109)</f>
        <v/>
      </c>
      <c r="FD110" s="9">
        <f>(FB110-EY110*FD109)/(EZ110-EY110*FC109)</f>
        <v/>
      </c>
      <c r="FE110" s="16">
        <f>FD110-FC110*FE111</f>
        <v/>
      </c>
      <c r="FF110" s="9">
        <f>IF(20&gt;$B$6+$B$7,$G$27*$B$11^$H$27,$E$27*$B$9^$F$27)</f>
        <v/>
      </c>
      <c r="FG110" s="9">
        <f>IF(20=1,0,$B$14)</f>
        <v/>
      </c>
      <c r="FH110" s="9">
        <f>-($B$14+(IF(20&lt;=$B$6,$B$13*$B$15+$B$12,IF(20&lt;=$B$6+$B$7,$B$13*$B$15,$B$13)))/FF110)</f>
        <v/>
      </c>
      <c r="FI110" s="9">
        <f>IF(20=$B$6+$B$7,0,IF(20&gt;$B$6+$B$7,$B$13/FF111,IF(20&gt;=$B$6,$B$13*$B$15/FF111,($B$13*$B$15+$B$12)/FF111)))</f>
        <v/>
      </c>
      <c r="FJ110" s="9">
        <f>IF(20=$B$6,-$K$27*$B$12,0)</f>
        <v/>
      </c>
      <c r="FK110" s="9">
        <f>FI110/(FH110-FG110*FK109)</f>
        <v/>
      </c>
      <c r="FL110" s="9">
        <f>(FJ110-FG110*FL109)/(FH110-FG110*FK109)</f>
        <v/>
      </c>
      <c r="FM110" s="16">
        <f>FL110-FK110*FM111</f>
        <v/>
      </c>
      <c r="FN110" s="9">
        <f>IF(20&gt;$B$6+$B$7,$G$28*$B$11^$H$28,$E$28*$B$9^$F$28)</f>
        <v/>
      </c>
      <c r="FO110" s="9">
        <f>IF(20=1,0,$B$14)</f>
        <v/>
      </c>
      <c r="FP110" s="9">
        <f>-($B$14+(IF(20&lt;=$B$6,$B$13*$B$15+$B$12,IF(20&lt;=$B$6+$B$7,$B$13*$B$15,$B$13)))/FN110)</f>
        <v/>
      </c>
      <c r="FQ110" s="9">
        <f>IF(20=$B$6+$B$7,0,IF(20&gt;$B$6+$B$7,$B$13/FN111,IF(20&gt;=$B$6,$B$13*$B$15/FN111,($B$13*$B$15+$B$12)/FN111)))</f>
        <v/>
      </c>
      <c r="FR110" s="9">
        <f>IF(20=$B$6,-$K$28*$B$12,0)</f>
        <v/>
      </c>
      <c r="FS110" s="9">
        <f>FQ110/(FP110-FO110*FS109)</f>
        <v/>
      </c>
      <c r="FT110" s="9">
        <f>(FR110-FO110*FT109)/(FP110-FO110*FS109)</f>
        <v/>
      </c>
      <c r="FU110" s="16">
        <f>FT110-FS110*FU111</f>
        <v/>
      </c>
      <c r="FV110" s="9">
        <f>IF(20&gt;$B$6+$B$7,$G$29*$B$11^$H$29,$E$29*$B$9^$F$29)</f>
        <v/>
      </c>
      <c r="FW110" s="9">
        <f>IF(20=1,0,$B$14)</f>
        <v/>
      </c>
      <c r="FX110" s="9">
        <f>-($B$14+(IF(20&lt;=$B$6,$B$13*$B$15+$B$12,IF(20&lt;=$B$6+$B$7,$B$13*$B$15,$B$13)))/FV110)</f>
        <v/>
      </c>
      <c r="FY110" s="9">
        <f>IF(20=$B$6+$B$7,0,IF(20&gt;$B$6+$B$7,$B$13/FV111,IF(20&gt;=$B$6,$B$13*$B$15/FV111,($B$13*$B$15+$B$12)/FV111)))</f>
        <v/>
      </c>
      <c r="FZ110" s="9">
        <f>IF(20=$B$6,-$K$29*$B$12,0)</f>
        <v/>
      </c>
      <c r="GA110" s="9">
        <f>FY110/(FX110-FW110*GA109)</f>
        <v/>
      </c>
      <c r="GB110" s="9">
        <f>(FZ110-FW110*GB109)/(FX110-FW110*GA109)</f>
        <v/>
      </c>
      <c r="GC110" s="16">
        <f>GB110-GA110*GC111</f>
        <v/>
      </c>
      <c r="GD110" s="9">
        <f>IF(20&gt;$B$6+$B$7,$G$30*$B$11^$H$30,$E$30*$B$9^$F$30)</f>
        <v/>
      </c>
      <c r="GE110" s="9">
        <f>IF(20=1,0,$B$14)</f>
        <v/>
      </c>
      <c r="GF110" s="9">
        <f>-($B$14+(IF(20&lt;=$B$6,$B$13*$B$15+$B$12,IF(20&lt;=$B$6+$B$7,$B$13*$B$15,$B$13)))/GD110)</f>
        <v/>
      </c>
      <c r="GG110" s="9">
        <f>IF(20=$B$6+$B$7,0,IF(20&gt;$B$6+$B$7,$B$13/GD111,IF(20&gt;=$B$6,$B$13*$B$15/GD111,($B$13*$B$15+$B$12)/GD111)))</f>
        <v/>
      </c>
      <c r="GH110" s="9">
        <f>IF(20=$B$6,-$K$30*$B$12,0)</f>
        <v/>
      </c>
      <c r="GI110" s="9">
        <f>GG110/(GF110-GE110*GI109)</f>
        <v/>
      </c>
      <c r="GJ110" s="9">
        <f>(GH110-GE110*GJ109)/(GF110-GE110*GI109)</f>
        <v/>
      </c>
      <c r="GK110" s="16">
        <f>GJ110-GI110*GK111</f>
        <v/>
      </c>
      <c r="GL110" s="9">
        <f>IF(20&gt;$B$6+$B$7,$G$31*$B$11^$H$31,$E$31*$B$9^$F$31)</f>
        <v/>
      </c>
      <c r="GM110" s="9">
        <f>IF(20=1,0,$B$14)</f>
        <v/>
      </c>
      <c r="GN110" s="9">
        <f>-($B$14+(IF(20&lt;=$B$6,$B$13*$B$15+$B$12,IF(20&lt;=$B$6+$B$7,$B$13*$B$15,$B$13)))/GL110)</f>
        <v/>
      </c>
      <c r="GO110" s="9">
        <f>IF(20=$B$6+$B$7,0,IF(20&gt;$B$6+$B$7,$B$13/GL111,IF(20&gt;=$B$6,$B$13*$B$15/GL111,($B$13*$B$15+$B$12)/GL111)))</f>
        <v/>
      </c>
      <c r="GP110" s="9">
        <f>IF(20=$B$6,-$K$31*$B$12,0)</f>
        <v/>
      </c>
      <c r="GQ110" s="9">
        <f>GO110/(GN110-GM110*GQ109)</f>
        <v/>
      </c>
      <c r="GR110" s="9">
        <f>(GP110-GM110*GR109)/(GN110-GM110*GQ109)</f>
        <v/>
      </c>
      <c r="GS110" s="16">
        <f>GR110-GQ110*GS111</f>
        <v/>
      </c>
      <c r="GT110" s="9">
        <f>IF(20&gt;$B$6+$B$7,$G$32*$B$11^$H$32,$E$32*$B$9^$F$32)</f>
        <v/>
      </c>
      <c r="GU110" s="9">
        <f>IF(20=1,0,$B$14)</f>
        <v/>
      </c>
      <c r="GV110" s="9">
        <f>-($B$14+(IF(20&lt;=$B$6,$B$13*$B$15+$B$12,IF(20&lt;=$B$6+$B$7,$B$13*$B$15,$B$13)))/GT110)</f>
        <v/>
      </c>
      <c r="GW110" s="9">
        <f>IF(20=$B$6+$B$7,0,IF(20&gt;$B$6+$B$7,$B$13/GT111,IF(20&gt;=$B$6,$B$13*$B$15/GT111,($B$13*$B$15+$B$12)/GT111)))</f>
        <v/>
      </c>
      <c r="GX110" s="9">
        <f>IF(20=$B$6,-$K$32*$B$12,0)</f>
        <v/>
      </c>
      <c r="GY110" s="9">
        <f>GW110/(GV110-GU110*GY109)</f>
        <v/>
      </c>
      <c r="GZ110" s="9">
        <f>(GX110-GU110*GZ109)/(GV110-GU110*GY109)</f>
        <v/>
      </c>
      <c r="HA110" s="16">
        <f>GZ110-GY110*HA111</f>
        <v/>
      </c>
      <c r="HB110" s="12">
        <f>IFERROR(I110/B110,0)</f>
        <v/>
      </c>
      <c r="HC110" s="12">
        <f>IFERROR(Q110/J110,0)</f>
        <v/>
      </c>
      <c r="HD110" s="12">
        <f>IFERROR(Y110/R110,0)</f>
        <v/>
      </c>
      <c r="HE110" s="12">
        <f>IFERROR(AG110/Z110,0)</f>
        <v/>
      </c>
      <c r="HF110" s="12">
        <f>IFERROR(AO110/AH110,0)</f>
        <v/>
      </c>
      <c r="HG110" s="12">
        <f>IFERROR(AW110/AP110,0)</f>
        <v/>
      </c>
      <c r="HH110" s="12">
        <f>IFERROR(BE110/AX110,0)</f>
        <v/>
      </c>
      <c r="HI110" s="12">
        <f>IFERROR(BM110/BF110,0)</f>
        <v/>
      </c>
      <c r="HJ110" s="12">
        <f>IFERROR(BU110/BN110,0)</f>
        <v/>
      </c>
      <c r="HK110" s="12">
        <f>IFERROR(CC110/BV110,0)</f>
        <v/>
      </c>
      <c r="HL110" s="12">
        <f>IFERROR(CK110/CD110,0)</f>
        <v/>
      </c>
      <c r="HM110" s="12">
        <f>IFERROR(CS110/CL110,0)</f>
        <v/>
      </c>
      <c r="HN110" s="12">
        <f>IFERROR(DA110/CT110,0)</f>
        <v/>
      </c>
      <c r="HO110" s="12">
        <f>IFERROR(DI110/DB110,0)</f>
        <v/>
      </c>
      <c r="HP110" s="12">
        <f>IFERROR(DQ110/DJ110,0)</f>
        <v/>
      </c>
      <c r="HQ110" s="12">
        <f>IFERROR(DY110/DR110,0)</f>
        <v/>
      </c>
      <c r="HR110" s="12">
        <f>IFERROR(EG110/DZ110,0)</f>
        <v/>
      </c>
      <c r="HS110" s="12">
        <f>IFERROR(EO110/EH110,0)</f>
        <v/>
      </c>
      <c r="HT110" s="12">
        <f>IFERROR(EW110/EP110,0)</f>
        <v/>
      </c>
      <c r="HU110" s="12">
        <f>IFERROR(FE110/EX110,0)</f>
        <v/>
      </c>
      <c r="HV110" s="12">
        <f>IFERROR(FM110/FF110,0)</f>
        <v/>
      </c>
      <c r="HW110" s="12">
        <f>IFERROR(FU110/FN110,0)</f>
        <v/>
      </c>
      <c r="HX110" s="12">
        <f>IFERROR(GC110/FV110,0)</f>
        <v/>
      </c>
      <c r="HY110" s="12">
        <f>IFERROR(GK110/GD110,0)</f>
        <v/>
      </c>
      <c r="HZ110" s="12">
        <f>IFERROR(GS110/GL110,0)</f>
        <v/>
      </c>
      <c r="IA110" s="12">
        <f>IFERROR(HA110/GT110,0)</f>
        <v/>
      </c>
      <c r="IB110" s="12">
        <f>I110+Q110+Y110+AG110+AO110+AW110+BE110+BM110+BU110+CC110+CK110+CS110+DA110+DI110+DQ110+DY110+EG110+EO110+EW110+FE110+FM110+FU110+GC110+GK110+GS110+HA110</f>
        <v/>
      </c>
      <c r="IC110" s="12">
        <f>HB110+HC110+HD110+HE110+HF110+HG110+HH110+HI110+HJ110+HK110+HL110+HM110+HN110+HO110+HP110+HQ110+HR110+HS110+HT110+HU110+HV110+HW110+HX110+HY110+HZ110+IA110</f>
        <v/>
      </c>
    </row>
    <row r="111" ht="14" customHeight="1">
      <c r="A111" s="29" t="n">
        <v>21</v>
      </c>
      <c r="B111" s="9">
        <f>IF(21&gt;$B$6+$B$7,$G$7*$B$11^$H$7,$E$7*$B$9^$F$7)</f>
        <v/>
      </c>
      <c r="C111" s="9">
        <f>IF(21=1,0,$B$14)</f>
        <v/>
      </c>
      <c r="D111" s="9">
        <f>-($B$14+(IF(21&lt;=$B$6,$B$13*$B$15+$B$12,IF(21&lt;=$B$6+$B$7,$B$13*$B$15,$B$13)))/B111)</f>
        <v/>
      </c>
      <c r="E111" s="9">
        <f>IF(21=$B$6+$B$7,0,IF(21&gt;$B$6+$B$7,$B$13/B112,IF(21&gt;=$B$6,$B$13*$B$15/B112,($B$13*$B$15+$B$12)/B112)))</f>
        <v/>
      </c>
      <c r="F111" s="9">
        <f>IF(21=$B$6,-$K$7*$B$12,0)</f>
        <v/>
      </c>
      <c r="G111" s="9">
        <f>E111/(D111-C111*G110)</f>
        <v/>
      </c>
      <c r="H111" s="9">
        <f>(F111-C111*H110)/(D111-C111*G110)</f>
        <v/>
      </c>
      <c r="I111" s="16">
        <f>H111-G111*I112</f>
        <v/>
      </c>
      <c r="J111" s="9">
        <f>IF(21&gt;$B$6+$B$7,$G$8*$B$11^$H$8,$E$8*$B$9^$F$8)</f>
        <v/>
      </c>
      <c r="K111" s="9">
        <f>IF(21=1,0,$B$14)</f>
        <v/>
      </c>
      <c r="L111" s="9">
        <f>-($B$14+(IF(21&lt;=$B$6,$B$13*$B$15+$B$12,IF(21&lt;=$B$6+$B$7,$B$13*$B$15,$B$13)))/J111)</f>
        <v/>
      </c>
      <c r="M111" s="9">
        <f>IF(21=$B$6+$B$7,0,IF(21&gt;$B$6+$B$7,$B$13/J112,IF(21&gt;=$B$6,$B$13*$B$15/J112,($B$13*$B$15+$B$12)/J112)))</f>
        <v/>
      </c>
      <c r="N111" s="9">
        <f>IF(21=$B$6,-$K$8*$B$12,0)</f>
        <v/>
      </c>
      <c r="O111" s="9">
        <f>M111/(L111-K111*O110)</f>
        <v/>
      </c>
      <c r="P111" s="9">
        <f>(N111-K111*P110)/(L111-K111*O110)</f>
        <v/>
      </c>
      <c r="Q111" s="16">
        <f>P111-O111*Q112</f>
        <v/>
      </c>
      <c r="R111" s="9">
        <f>IF(21&gt;$B$6+$B$7,$G$9*$B$11^$H$9,$E$9*$B$9^$F$9)</f>
        <v/>
      </c>
      <c r="S111" s="9">
        <f>IF(21=1,0,$B$14)</f>
        <v/>
      </c>
      <c r="T111" s="9">
        <f>-($B$14+(IF(21&lt;=$B$6,$B$13*$B$15+$B$12,IF(21&lt;=$B$6+$B$7,$B$13*$B$15,$B$13)))/R111)</f>
        <v/>
      </c>
      <c r="U111" s="9">
        <f>IF(21=$B$6+$B$7,0,IF(21&gt;$B$6+$B$7,$B$13/R112,IF(21&gt;=$B$6,$B$13*$B$15/R112,($B$13*$B$15+$B$12)/R112)))</f>
        <v/>
      </c>
      <c r="V111" s="9">
        <f>IF(21=$B$6,-$K$9*$B$12,0)</f>
        <v/>
      </c>
      <c r="W111" s="9">
        <f>U111/(T111-S111*W110)</f>
        <v/>
      </c>
      <c r="X111" s="9">
        <f>(V111-S111*X110)/(T111-S111*W110)</f>
        <v/>
      </c>
      <c r="Y111" s="16">
        <f>X111-W111*Y112</f>
        <v/>
      </c>
      <c r="Z111" s="9">
        <f>IF(21&gt;$B$6+$B$7,$G$10*$B$11^$H$10,$E$10*$B$9^$F$10)</f>
        <v/>
      </c>
      <c r="AA111" s="9">
        <f>IF(21=1,0,$B$14)</f>
        <v/>
      </c>
      <c r="AB111" s="9">
        <f>-($B$14+(IF(21&lt;=$B$6,$B$13*$B$15+$B$12,IF(21&lt;=$B$6+$B$7,$B$13*$B$15,$B$13)))/Z111)</f>
        <v/>
      </c>
      <c r="AC111" s="9">
        <f>IF(21=$B$6+$B$7,0,IF(21&gt;$B$6+$B$7,$B$13/Z112,IF(21&gt;=$B$6,$B$13*$B$15/Z112,($B$13*$B$15+$B$12)/Z112)))</f>
        <v/>
      </c>
      <c r="AD111" s="9">
        <f>IF(21=$B$6,-$K$10*$B$12,0)</f>
        <v/>
      </c>
      <c r="AE111" s="9">
        <f>AC111/(AB111-AA111*AE110)</f>
        <v/>
      </c>
      <c r="AF111" s="9">
        <f>(AD111-AA111*AF110)/(AB111-AA111*AE110)</f>
        <v/>
      </c>
      <c r="AG111" s="16">
        <f>AF111-AE111*AG112</f>
        <v/>
      </c>
      <c r="AH111" s="9">
        <f>IF(21&gt;$B$6+$B$7,$G$11*$B$11^$H$11,$E$11*$B$9^$F$11)</f>
        <v/>
      </c>
      <c r="AI111" s="9">
        <f>IF(21=1,0,$B$14)</f>
        <v/>
      </c>
      <c r="AJ111" s="9">
        <f>-($B$14+(IF(21&lt;=$B$6,$B$13*$B$15+$B$12,IF(21&lt;=$B$6+$B$7,$B$13*$B$15,$B$13)))/AH111)</f>
        <v/>
      </c>
      <c r="AK111" s="9">
        <f>IF(21=$B$6+$B$7,0,IF(21&gt;$B$6+$B$7,$B$13/AH112,IF(21&gt;=$B$6,$B$13*$B$15/AH112,($B$13*$B$15+$B$12)/AH112)))</f>
        <v/>
      </c>
      <c r="AL111" s="9">
        <f>IF(21=$B$6,-$K$11*$B$12,0)</f>
        <v/>
      </c>
      <c r="AM111" s="9">
        <f>AK111/(AJ111-AI111*AM110)</f>
        <v/>
      </c>
      <c r="AN111" s="9">
        <f>(AL111-AI111*AN110)/(AJ111-AI111*AM110)</f>
        <v/>
      </c>
      <c r="AO111" s="16">
        <f>AN111-AM111*AO112</f>
        <v/>
      </c>
      <c r="AP111" s="9">
        <f>IF(21&gt;$B$6+$B$7,$G$12*$B$11^$H$12,$E$12*$B$9^$F$12)</f>
        <v/>
      </c>
      <c r="AQ111" s="9">
        <f>IF(21=1,0,$B$14)</f>
        <v/>
      </c>
      <c r="AR111" s="9">
        <f>-($B$14+(IF(21&lt;=$B$6,$B$13*$B$15+$B$12,IF(21&lt;=$B$6+$B$7,$B$13*$B$15,$B$13)))/AP111)</f>
        <v/>
      </c>
      <c r="AS111" s="9">
        <f>IF(21=$B$6+$B$7,0,IF(21&gt;$B$6+$B$7,$B$13/AP112,IF(21&gt;=$B$6,$B$13*$B$15/AP112,($B$13*$B$15+$B$12)/AP112)))</f>
        <v/>
      </c>
      <c r="AT111" s="9">
        <f>IF(21=$B$6,-$K$12*$B$12,0)</f>
        <v/>
      </c>
      <c r="AU111" s="9">
        <f>AS111/(AR111-AQ111*AU110)</f>
        <v/>
      </c>
      <c r="AV111" s="9">
        <f>(AT111-AQ111*AV110)/(AR111-AQ111*AU110)</f>
        <v/>
      </c>
      <c r="AW111" s="16">
        <f>AV111-AU111*AW112</f>
        <v/>
      </c>
      <c r="AX111" s="9">
        <f>IF(21&gt;$B$6+$B$7,$G$13*$B$11^$H$13,$E$13*$B$9^$F$13)</f>
        <v/>
      </c>
      <c r="AY111" s="9">
        <f>IF(21=1,0,$B$14)</f>
        <v/>
      </c>
      <c r="AZ111" s="9">
        <f>-($B$14+(IF(21&lt;=$B$6,$B$13*$B$15+$B$12,IF(21&lt;=$B$6+$B$7,$B$13*$B$15,$B$13)))/AX111)</f>
        <v/>
      </c>
      <c r="BA111" s="9">
        <f>IF(21=$B$6+$B$7,0,IF(21&gt;$B$6+$B$7,$B$13/AX112,IF(21&gt;=$B$6,$B$13*$B$15/AX112,($B$13*$B$15+$B$12)/AX112)))</f>
        <v/>
      </c>
      <c r="BB111" s="9">
        <f>IF(21=$B$6,-$K$13*$B$12,0)</f>
        <v/>
      </c>
      <c r="BC111" s="9">
        <f>BA111/(AZ111-AY111*BC110)</f>
        <v/>
      </c>
      <c r="BD111" s="9">
        <f>(BB111-AY111*BD110)/(AZ111-AY111*BC110)</f>
        <v/>
      </c>
      <c r="BE111" s="16">
        <f>BD111-BC111*BE112</f>
        <v/>
      </c>
      <c r="BF111" s="9">
        <f>IF(21&gt;$B$6+$B$7,$G$14*$B$11^$H$14,$E$14*$B$9^$F$14)</f>
        <v/>
      </c>
      <c r="BG111" s="9">
        <f>IF(21=1,0,$B$14)</f>
        <v/>
      </c>
      <c r="BH111" s="9">
        <f>-($B$14+(IF(21&lt;=$B$6,$B$13*$B$15+$B$12,IF(21&lt;=$B$6+$B$7,$B$13*$B$15,$B$13)))/BF111)</f>
        <v/>
      </c>
      <c r="BI111" s="9">
        <f>IF(21=$B$6+$B$7,0,IF(21&gt;$B$6+$B$7,$B$13/BF112,IF(21&gt;=$B$6,$B$13*$B$15/BF112,($B$13*$B$15+$B$12)/BF112)))</f>
        <v/>
      </c>
      <c r="BJ111" s="9">
        <f>IF(21=$B$6,-$K$14*$B$12,0)</f>
        <v/>
      </c>
      <c r="BK111" s="9">
        <f>BI111/(BH111-BG111*BK110)</f>
        <v/>
      </c>
      <c r="BL111" s="9">
        <f>(BJ111-BG111*BL110)/(BH111-BG111*BK110)</f>
        <v/>
      </c>
      <c r="BM111" s="16">
        <f>BL111-BK111*BM112</f>
        <v/>
      </c>
      <c r="BN111" s="9">
        <f>IF(21&gt;$B$6+$B$7,$G$15*$B$11^$H$15,$E$15*$B$9^$F$15)</f>
        <v/>
      </c>
      <c r="BO111" s="9">
        <f>IF(21=1,0,$B$14)</f>
        <v/>
      </c>
      <c r="BP111" s="9">
        <f>-($B$14+(IF(21&lt;=$B$6,$B$13*$B$15+$B$12,IF(21&lt;=$B$6+$B$7,$B$13*$B$15,$B$13)))/BN111)</f>
        <v/>
      </c>
      <c r="BQ111" s="9">
        <f>IF(21=$B$6+$B$7,0,IF(21&gt;$B$6+$B$7,$B$13/BN112,IF(21&gt;=$B$6,$B$13*$B$15/BN112,($B$13*$B$15+$B$12)/BN112)))</f>
        <v/>
      </c>
      <c r="BR111" s="9">
        <f>IF(21=$B$6,-$K$15*$B$12,0)</f>
        <v/>
      </c>
      <c r="BS111" s="9">
        <f>BQ111/(BP111-BO111*BS110)</f>
        <v/>
      </c>
      <c r="BT111" s="9">
        <f>(BR111-BO111*BT110)/(BP111-BO111*BS110)</f>
        <v/>
      </c>
      <c r="BU111" s="16">
        <f>BT111-BS111*BU112</f>
        <v/>
      </c>
      <c r="BV111" s="9">
        <f>IF(21&gt;$B$6+$B$7,$G$16*$B$11^$H$16,$E$16*$B$9^$F$16)</f>
        <v/>
      </c>
      <c r="BW111" s="9">
        <f>IF(21=1,0,$B$14)</f>
        <v/>
      </c>
      <c r="BX111" s="9">
        <f>-($B$14+(IF(21&lt;=$B$6,$B$13*$B$15+$B$12,IF(21&lt;=$B$6+$B$7,$B$13*$B$15,$B$13)))/BV111)</f>
        <v/>
      </c>
      <c r="BY111" s="9">
        <f>IF(21=$B$6+$B$7,0,IF(21&gt;$B$6+$B$7,$B$13/BV112,IF(21&gt;=$B$6,$B$13*$B$15/BV112,($B$13*$B$15+$B$12)/BV112)))</f>
        <v/>
      </c>
      <c r="BZ111" s="9">
        <f>IF(21=$B$6,-$K$16*$B$12,0)</f>
        <v/>
      </c>
      <c r="CA111" s="9">
        <f>BY111/(BX111-BW111*CA110)</f>
        <v/>
      </c>
      <c r="CB111" s="9">
        <f>(BZ111-BW111*CB110)/(BX111-BW111*CA110)</f>
        <v/>
      </c>
      <c r="CC111" s="16">
        <f>CB111-CA111*CC112</f>
        <v/>
      </c>
      <c r="CD111" s="9">
        <f>IF(21&gt;$B$6+$B$7,$G$17*$B$11^$H$17,$E$17*$B$9^$F$17)</f>
        <v/>
      </c>
      <c r="CE111" s="9">
        <f>IF(21=1,0,$B$14)</f>
        <v/>
      </c>
      <c r="CF111" s="9">
        <f>-($B$14+(IF(21&lt;=$B$6,$B$13*$B$15+$B$12,IF(21&lt;=$B$6+$B$7,$B$13*$B$15,$B$13)))/CD111)</f>
        <v/>
      </c>
      <c r="CG111" s="9">
        <f>IF(21=$B$6+$B$7,0,IF(21&gt;$B$6+$B$7,$B$13/CD112,IF(21&gt;=$B$6,$B$13*$B$15/CD112,($B$13*$B$15+$B$12)/CD112)))</f>
        <v/>
      </c>
      <c r="CH111" s="9">
        <f>IF(21=$B$6,-$K$17*$B$12,0)</f>
        <v/>
      </c>
      <c r="CI111" s="9">
        <f>CG111/(CF111-CE111*CI110)</f>
        <v/>
      </c>
      <c r="CJ111" s="9">
        <f>(CH111-CE111*CJ110)/(CF111-CE111*CI110)</f>
        <v/>
      </c>
      <c r="CK111" s="16">
        <f>CJ111-CI111*CK112</f>
        <v/>
      </c>
      <c r="CL111" s="9">
        <f>IF(21&gt;$B$6+$B$7,$G$18*$B$11^$H$18,$E$18*$B$9^$F$18)</f>
        <v/>
      </c>
      <c r="CM111" s="9">
        <f>IF(21=1,0,$B$14)</f>
        <v/>
      </c>
      <c r="CN111" s="9">
        <f>-($B$14+(IF(21&lt;=$B$6,$B$13*$B$15+$B$12,IF(21&lt;=$B$6+$B$7,$B$13*$B$15,$B$13)))/CL111)</f>
        <v/>
      </c>
      <c r="CO111" s="9">
        <f>IF(21=$B$6+$B$7,0,IF(21&gt;$B$6+$B$7,$B$13/CL112,IF(21&gt;=$B$6,$B$13*$B$15/CL112,($B$13*$B$15+$B$12)/CL112)))</f>
        <v/>
      </c>
      <c r="CP111" s="9">
        <f>IF(21=$B$6,-$K$18*$B$12,0)</f>
        <v/>
      </c>
      <c r="CQ111" s="9">
        <f>CO111/(CN111-CM111*CQ110)</f>
        <v/>
      </c>
      <c r="CR111" s="9">
        <f>(CP111-CM111*CR110)/(CN111-CM111*CQ110)</f>
        <v/>
      </c>
      <c r="CS111" s="16">
        <f>CR111-CQ111*CS112</f>
        <v/>
      </c>
      <c r="CT111" s="9">
        <f>IF(21&gt;$B$6+$B$7,$G$19*$B$11^$H$19,$E$19*$B$9^$F$19)</f>
        <v/>
      </c>
      <c r="CU111" s="9">
        <f>IF(21=1,0,$B$14)</f>
        <v/>
      </c>
      <c r="CV111" s="9">
        <f>-($B$14+(IF(21&lt;=$B$6,$B$13*$B$15+$B$12,IF(21&lt;=$B$6+$B$7,$B$13*$B$15,$B$13)))/CT111)</f>
        <v/>
      </c>
      <c r="CW111" s="9">
        <f>IF(21=$B$6+$B$7,0,IF(21&gt;$B$6+$B$7,$B$13/CT112,IF(21&gt;=$B$6,$B$13*$B$15/CT112,($B$13*$B$15+$B$12)/CT112)))</f>
        <v/>
      </c>
      <c r="CX111" s="9">
        <f>IF(21=$B$6,-$K$19*$B$12,0)</f>
        <v/>
      </c>
      <c r="CY111" s="9">
        <f>CW111/(CV111-CU111*CY110)</f>
        <v/>
      </c>
      <c r="CZ111" s="9">
        <f>(CX111-CU111*CZ110)/(CV111-CU111*CY110)</f>
        <v/>
      </c>
      <c r="DA111" s="16">
        <f>CZ111-CY111*DA112</f>
        <v/>
      </c>
      <c r="DB111" s="9">
        <f>IF(21&gt;$B$6+$B$7,$G$20*$B$11^$H$20,$E$20*$B$9^$F$20)</f>
        <v/>
      </c>
      <c r="DC111" s="9">
        <f>IF(21=1,0,$B$14)</f>
        <v/>
      </c>
      <c r="DD111" s="9">
        <f>-($B$14+(IF(21&lt;=$B$6,$B$13*$B$15+$B$12,IF(21&lt;=$B$6+$B$7,$B$13*$B$15,$B$13)))/DB111)</f>
        <v/>
      </c>
      <c r="DE111" s="9">
        <f>IF(21=$B$6+$B$7,0,IF(21&gt;$B$6+$B$7,$B$13/DB112,IF(21&gt;=$B$6,$B$13*$B$15/DB112,($B$13*$B$15+$B$12)/DB112)))</f>
        <v/>
      </c>
      <c r="DF111" s="9">
        <f>IF(21=$B$6,-$K$20*$B$12,0)</f>
        <v/>
      </c>
      <c r="DG111" s="9">
        <f>DE111/(DD111-DC111*DG110)</f>
        <v/>
      </c>
      <c r="DH111" s="9">
        <f>(DF111-DC111*DH110)/(DD111-DC111*DG110)</f>
        <v/>
      </c>
      <c r="DI111" s="16">
        <f>DH111-DG111*DI112</f>
        <v/>
      </c>
      <c r="DJ111" s="9">
        <f>IF(21&gt;$B$6+$B$7,$G$21*$B$11^$H$21,$E$21*$B$9^$F$21)</f>
        <v/>
      </c>
      <c r="DK111" s="9">
        <f>IF(21=1,0,$B$14)</f>
        <v/>
      </c>
      <c r="DL111" s="9">
        <f>-($B$14+(IF(21&lt;=$B$6,$B$13*$B$15+$B$12,IF(21&lt;=$B$6+$B$7,$B$13*$B$15,$B$13)))/DJ111)</f>
        <v/>
      </c>
      <c r="DM111" s="9">
        <f>IF(21=$B$6+$B$7,0,IF(21&gt;$B$6+$B$7,$B$13/DJ112,IF(21&gt;=$B$6,$B$13*$B$15/DJ112,($B$13*$B$15+$B$12)/DJ112)))</f>
        <v/>
      </c>
      <c r="DN111" s="9">
        <f>IF(21=$B$6,-$K$21*$B$12,0)</f>
        <v/>
      </c>
      <c r="DO111" s="9">
        <f>DM111/(DL111-DK111*DO110)</f>
        <v/>
      </c>
      <c r="DP111" s="9">
        <f>(DN111-DK111*DP110)/(DL111-DK111*DO110)</f>
        <v/>
      </c>
      <c r="DQ111" s="16">
        <f>DP111-DO111*DQ112</f>
        <v/>
      </c>
      <c r="DR111" s="9">
        <f>IF(21&gt;$B$6+$B$7,$G$22*$B$11^$H$22,$E$22*$B$9^$F$22)</f>
        <v/>
      </c>
      <c r="DS111" s="9">
        <f>IF(21=1,0,$B$14)</f>
        <v/>
      </c>
      <c r="DT111" s="9">
        <f>-($B$14+(IF(21&lt;=$B$6,$B$13*$B$15+$B$12,IF(21&lt;=$B$6+$B$7,$B$13*$B$15,$B$13)))/DR111)</f>
        <v/>
      </c>
      <c r="DU111" s="9">
        <f>IF(21=$B$6+$B$7,0,IF(21&gt;$B$6+$B$7,$B$13/DR112,IF(21&gt;=$B$6,$B$13*$B$15/DR112,($B$13*$B$15+$B$12)/DR112)))</f>
        <v/>
      </c>
      <c r="DV111" s="9">
        <f>IF(21=$B$6,-$K$22*$B$12,0)</f>
        <v/>
      </c>
      <c r="DW111" s="9">
        <f>DU111/(DT111-DS111*DW110)</f>
        <v/>
      </c>
      <c r="DX111" s="9">
        <f>(DV111-DS111*DX110)/(DT111-DS111*DW110)</f>
        <v/>
      </c>
      <c r="DY111" s="16">
        <f>DX111-DW111*DY112</f>
        <v/>
      </c>
      <c r="DZ111" s="9">
        <f>IF(21&gt;$B$6+$B$7,$G$23*$B$11^$H$23,$E$23*$B$9^$F$23)</f>
        <v/>
      </c>
      <c r="EA111" s="9">
        <f>IF(21=1,0,$B$14)</f>
        <v/>
      </c>
      <c r="EB111" s="9">
        <f>-($B$14+(IF(21&lt;=$B$6,$B$13*$B$15+$B$12,IF(21&lt;=$B$6+$B$7,$B$13*$B$15,$B$13)))/DZ111)</f>
        <v/>
      </c>
      <c r="EC111" s="9">
        <f>IF(21=$B$6+$B$7,0,IF(21&gt;$B$6+$B$7,$B$13/DZ112,IF(21&gt;=$B$6,$B$13*$B$15/DZ112,($B$13*$B$15+$B$12)/DZ112)))</f>
        <v/>
      </c>
      <c r="ED111" s="9">
        <f>IF(21=$B$6,-$K$23*$B$12,0)</f>
        <v/>
      </c>
      <c r="EE111" s="9">
        <f>EC111/(EB111-EA111*EE110)</f>
        <v/>
      </c>
      <c r="EF111" s="9">
        <f>(ED111-EA111*EF110)/(EB111-EA111*EE110)</f>
        <v/>
      </c>
      <c r="EG111" s="16">
        <f>EF111-EE111*EG112</f>
        <v/>
      </c>
      <c r="EH111" s="9">
        <f>IF(21&gt;$B$6+$B$7,$G$24*$B$11^$H$24,$E$24*$B$9^$F$24)</f>
        <v/>
      </c>
      <c r="EI111" s="9">
        <f>IF(21=1,0,$B$14)</f>
        <v/>
      </c>
      <c r="EJ111" s="9">
        <f>-($B$14+(IF(21&lt;=$B$6,$B$13*$B$15+$B$12,IF(21&lt;=$B$6+$B$7,$B$13*$B$15,$B$13)))/EH111)</f>
        <v/>
      </c>
      <c r="EK111" s="9">
        <f>IF(21=$B$6+$B$7,0,IF(21&gt;$B$6+$B$7,$B$13/EH112,IF(21&gt;=$B$6,$B$13*$B$15/EH112,($B$13*$B$15+$B$12)/EH112)))</f>
        <v/>
      </c>
      <c r="EL111" s="9">
        <f>IF(21=$B$6,-$K$24*$B$12,0)</f>
        <v/>
      </c>
      <c r="EM111" s="9">
        <f>EK111/(EJ111-EI111*EM110)</f>
        <v/>
      </c>
      <c r="EN111" s="9">
        <f>(EL111-EI111*EN110)/(EJ111-EI111*EM110)</f>
        <v/>
      </c>
      <c r="EO111" s="16">
        <f>EN111-EM111*EO112</f>
        <v/>
      </c>
      <c r="EP111" s="9">
        <f>IF(21&gt;$B$6+$B$7,$G$25*$B$11^$H$25,$E$25*$B$9^$F$25)</f>
        <v/>
      </c>
      <c r="EQ111" s="9">
        <f>IF(21=1,0,$B$14)</f>
        <v/>
      </c>
      <c r="ER111" s="9">
        <f>-($B$14+(IF(21&lt;=$B$6,$B$13*$B$15+$B$12,IF(21&lt;=$B$6+$B$7,$B$13*$B$15,$B$13)))/EP111)</f>
        <v/>
      </c>
      <c r="ES111" s="9">
        <f>IF(21=$B$6+$B$7,0,IF(21&gt;$B$6+$B$7,$B$13/EP112,IF(21&gt;=$B$6,$B$13*$B$15/EP112,($B$13*$B$15+$B$12)/EP112)))</f>
        <v/>
      </c>
      <c r="ET111" s="9">
        <f>IF(21=$B$6,-$K$25*$B$12,0)</f>
        <v/>
      </c>
      <c r="EU111" s="9">
        <f>ES111/(ER111-EQ111*EU110)</f>
        <v/>
      </c>
      <c r="EV111" s="9">
        <f>(ET111-EQ111*EV110)/(ER111-EQ111*EU110)</f>
        <v/>
      </c>
      <c r="EW111" s="16">
        <f>EV111-EU111*EW112</f>
        <v/>
      </c>
      <c r="EX111" s="9">
        <f>IF(21&gt;$B$6+$B$7,$G$26*$B$11^$H$26,$E$26*$B$9^$F$26)</f>
        <v/>
      </c>
      <c r="EY111" s="9">
        <f>IF(21=1,0,$B$14)</f>
        <v/>
      </c>
      <c r="EZ111" s="9">
        <f>-($B$14+(IF(21&lt;=$B$6,$B$13*$B$15+$B$12,IF(21&lt;=$B$6+$B$7,$B$13*$B$15,$B$13)))/EX111)</f>
        <v/>
      </c>
      <c r="FA111" s="9">
        <f>IF(21=$B$6+$B$7,0,IF(21&gt;$B$6+$B$7,$B$13/EX112,IF(21&gt;=$B$6,$B$13*$B$15/EX112,($B$13*$B$15+$B$12)/EX112)))</f>
        <v/>
      </c>
      <c r="FB111" s="9">
        <f>IF(21=$B$6,-$K$26*$B$12,0)</f>
        <v/>
      </c>
      <c r="FC111" s="9">
        <f>FA111/(EZ111-EY111*FC110)</f>
        <v/>
      </c>
      <c r="FD111" s="9">
        <f>(FB111-EY111*FD110)/(EZ111-EY111*FC110)</f>
        <v/>
      </c>
      <c r="FE111" s="16">
        <f>FD111-FC111*FE112</f>
        <v/>
      </c>
      <c r="FF111" s="9">
        <f>IF(21&gt;$B$6+$B$7,$G$27*$B$11^$H$27,$E$27*$B$9^$F$27)</f>
        <v/>
      </c>
      <c r="FG111" s="9">
        <f>IF(21=1,0,$B$14)</f>
        <v/>
      </c>
      <c r="FH111" s="9">
        <f>-($B$14+(IF(21&lt;=$B$6,$B$13*$B$15+$B$12,IF(21&lt;=$B$6+$B$7,$B$13*$B$15,$B$13)))/FF111)</f>
        <v/>
      </c>
      <c r="FI111" s="9">
        <f>IF(21=$B$6+$B$7,0,IF(21&gt;$B$6+$B$7,$B$13/FF112,IF(21&gt;=$B$6,$B$13*$B$15/FF112,($B$13*$B$15+$B$12)/FF112)))</f>
        <v/>
      </c>
      <c r="FJ111" s="9">
        <f>IF(21=$B$6,-$K$27*$B$12,0)</f>
        <v/>
      </c>
      <c r="FK111" s="9">
        <f>FI111/(FH111-FG111*FK110)</f>
        <v/>
      </c>
      <c r="FL111" s="9">
        <f>(FJ111-FG111*FL110)/(FH111-FG111*FK110)</f>
        <v/>
      </c>
      <c r="FM111" s="16">
        <f>FL111-FK111*FM112</f>
        <v/>
      </c>
      <c r="FN111" s="9">
        <f>IF(21&gt;$B$6+$B$7,$G$28*$B$11^$H$28,$E$28*$B$9^$F$28)</f>
        <v/>
      </c>
      <c r="FO111" s="9">
        <f>IF(21=1,0,$B$14)</f>
        <v/>
      </c>
      <c r="FP111" s="9">
        <f>-($B$14+(IF(21&lt;=$B$6,$B$13*$B$15+$B$12,IF(21&lt;=$B$6+$B$7,$B$13*$B$15,$B$13)))/FN111)</f>
        <v/>
      </c>
      <c r="FQ111" s="9">
        <f>IF(21=$B$6+$B$7,0,IF(21&gt;$B$6+$B$7,$B$13/FN112,IF(21&gt;=$B$6,$B$13*$B$15/FN112,($B$13*$B$15+$B$12)/FN112)))</f>
        <v/>
      </c>
      <c r="FR111" s="9">
        <f>IF(21=$B$6,-$K$28*$B$12,0)</f>
        <v/>
      </c>
      <c r="FS111" s="9">
        <f>FQ111/(FP111-FO111*FS110)</f>
        <v/>
      </c>
      <c r="FT111" s="9">
        <f>(FR111-FO111*FT110)/(FP111-FO111*FS110)</f>
        <v/>
      </c>
      <c r="FU111" s="16">
        <f>FT111-FS111*FU112</f>
        <v/>
      </c>
      <c r="FV111" s="9">
        <f>IF(21&gt;$B$6+$B$7,$G$29*$B$11^$H$29,$E$29*$B$9^$F$29)</f>
        <v/>
      </c>
      <c r="FW111" s="9">
        <f>IF(21=1,0,$B$14)</f>
        <v/>
      </c>
      <c r="FX111" s="9">
        <f>-($B$14+(IF(21&lt;=$B$6,$B$13*$B$15+$B$12,IF(21&lt;=$B$6+$B$7,$B$13*$B$15,$B$13)))/FV111)</f>
        <v/>
      </c>
      <c r="FY111" s="9">
        <f>IF(21=$B$6+$B$7,0,IF(21&gt;$B$6+$B$7,$B$13/FV112,IF(21&gt;=$B$6,$B$13*$B$15/FV112,($B$13*$B$15+$B$12)/FV112)))</f>
        <v/>
      </c>
      <c r="FZ111" s="9">
        <f>IF(21=$B$6,-$K$29*$B$12,0)</f>
        <v/>
      </c>
      <c r="GA111" s="9">
        <f>FY111/(FX111-FW111*GA110)</f>
        <v/>
      </c>
      <c r="GB111" s="9">
        <f>(FZ111-FW111*GB110)/(FX111-FW111*GA110)</f>
        <v/>
      </c>
      <c r="GC111" s="16">
        <f>GB111-GA111*GC112</f>
        <v/>
      </c>
      <c r="GD111" s="9">
        <f>IF(21&gt;$B$6+$B$7,$G$30*$B$11^$H$30,$E$30*$B$9^$F$30)</f>
        <v/>
      </c>
      <c r="GE111" s="9">
        <f>IF(21=1,0,$B$14)</f>
        <v/>
      </c>
      <c r="GF111" s="9">
        <f>-($B$14+(IF(21&lt;=$B$6,$B$13*$B$15+$B$12,IF(21&lt;=$B$6+$B$7,$B$13*$B$15,$B$13)))/GD111)</f>
        <v/>
      </c>
      <c r="GG111" s="9">
        <f>IF(21=$B$6+$B$7,0,IF(21&gt;$B$6+$B$7,$B$13/GD112,IF(21&gt;=$B$6,$B$13*$B$15/GD112,($B$13*$B$15+$B$12)/GD112)))</f>
        <v/>
      </c>
      <c r="GH111" s="9">
        <f>IF(21=$B$6,-$K$30*$B$12,0)</f>
        <v/>
      </c>
      <c r="GI111" s="9">
        <f>GG111/(GF111-GE111*GI110)</f>
        <v/>
      </c>
      <c r="GJ111" s="9">
        <f>(GH111-GE111*GJ110)/(GF111-GE111*GI110)</f>
        <v/>
      </c>
      <c r="GK111" s="16">
        <f>GJ111-GI111*GK112</f>
        <v/>
      </c>
      <c r="GL111" s="9">
        <f>IF(21&gt;$B$6+$B$7,$G$31*$B$11^$H$31,$E$31*$B$9^$F$31)</f>
        <v/>
      </c>
      <c r="GM111" s="9">
        <f>IF(21=1,0,$B$14)</f>
        <v/>
      </c>
      <c r="GN111" s="9">
        <f>-($B$14+(IF(21&lt;=$B$6,$B$13*$B$15+$B$12,IF(21&lt;=$B$6+$B$7,$B$13*$B$15,$B$13)))/GL111)</f>
        <v/>
      </c>
      <c r="GO111" s="9">
        <f>IF(21=$B$6+$B$7,0,IF(21&gt;$B$6+$B$7,$B$13/GL112,IF(21&gt;=$B$6,$B$13*$B$15/GL112,($B$13*$B$15+$B$12)/GL112)))</f>
        <v/>
      </c>
      <c r="GP111" s="9">
        <f>IF(21=$B$6,-$K$31*$B$12,0)</f>
        <v/>
      </c>
      <c r="GQ111" s="9">
        <f>GO111/(GN111-GM111*GQ110)</f>
        <v/>
      </c>
      <c r="GR111" s="9">
        <f>(GP111-GM111*GR110)/(GN111-GM111*GQ110)</f>
        <v/>
      </c>
      <c r="GS111" s="16">
        <f>GR111-GQ111*GS112</f>
        <v/>
      </c>
      <c r="GT111" s="9">
        <f>IF(21&gt;$B$6+$B$7,$G$32*$B$11^$H$32,$E$32*$B$9^$F$32)</f>
        <v/>
      </c>
      <c r="GU111" s="9">
        <f>IF(21=1,0,$B$14)</f>
        <v/>
      </c>
      <c r="GV111" s="9">
        <f>-($B$14+(IF(21&lt;=$B$6,$B$13*$B$15+$B$12,IF(21&lt;=$B$6+$B$7,$B$13*$B$15,$B$13)))/GT111)</f>
        <v/>
      </c>
      <c r="GW111" s="9">
        <f>IF(21=$B$6+$B$7,0,IF(21&gt;$B$6+$B$7,$B$13/GT112,IF(21&gt;=$B$6,$B$13*$B$15/GT112,($B$13*$B$15+$B$12)/GT112)))</f>
        <v/>
      </c>
      <c r="GX111" s="9">
        <f>IF(21=$B$6,-$K$32*$B$12,0)</f>
        <v/>
      </c>
      <c r="GY111" s="9">
        <f>GW111/(GV111-GU111*GY110)</f>
        <v/>
      </c>
      <c r="GZ111" s="9">
        <f>(GX111-GU111*GZ110)/(GV111-GU111*GY110)</f>
        <v/>
      </c>
      <c r="HA111" s="16">
        <f>GZ111-GY111*HA112</f>
        <v/>
      </c>
      <c r="HB111" s="12">
        <f>IFERROR(I111/B111,0)</f>
        <v/>
      </c>
      <c r="HC111" s="12">
        <f>IFERROR(Q111/J111,0)</f>
        <v/>
      </c>
      <c r="HD111" s="12">
        <f>IFERROR(Y111/R111,0)</f>
        <v/>
      </c>
      <c r="HE111" s="12">
        <f>IFERROR(AG111/Z111,0)</f>
        <v/>
      </c>
      <c r="HF111" s="12">
        <f>IFERROR(AO111/AH111,0)</f>
        <v/>
      </c>
      <c r="HG111" s="12">
        <f>IFERROR(AW111/AP111,0)</f>
        <v/>
      </c>
      <c r="HH111" s="12">
        <f>IFERROR(BE111/AX111,0)</f>
        <v/>
      </c>
      <c r="HI111" s="12">
        <f>IFERROR(BM111/BF111,0)</f>
        <v/>
      </c>
      <c r="HJ111" s="12">
        <f>IFERROR(BU111/BN111,0)</f>
        <v/>
      </c>
      <c r="HK111" s="12">
        <f>IFERROR(CC111/BV111,0)</f>
        <v/>
      </c>
      <c r="HL111" s="12">
        <f>IFERROR(CK111/CD111,0)</f>
        <v/>
      </c>
      <c r="HM111" s="12">
        <f>IFERROR(CS111/CL111,0)</f>
        <v/>
      </c>
      <c r="HN111" s="12">
        <f>IFERROR(DA111/CT111,0)</f>
        <v/>
      </c>
      <c r="HO111" s="12">
        <f>IFERROR(DI111/DB111,0)</f>
        <v/>
      </c>
      <c r="HP111" s="12">
        <f>IFERROR(DQ111/DJ111,0)</f>
        <v/>
      </c>
      <c r="HQ111" s="12">
        <f>IFERROR(DY111/DR111,0)</f>
        <v/>
      </c>
      <c r="HR111" s="12">
        <f>IFERROR(EG111/DZ111,0)</f>
        <v/>
      </c>
      <c r="HS111" s="12">
        <f>IFERROR(EO111/EH111,0)</f>
        <v/>
      </c>
      <c r="HT111" s="12">
        <f>IFERROR(EW111/EP111,0)</f>
        <v/>
      </c>
      <c r="HU111" s="12">
        <f>IFERROR(FE111/EX111,0)</f>
        <v/>
      </c>
      <c r="HV111" s="12">
        <f>IFERROR(FM111/FF111,0)</f>
        <v/>
      </c>
      <c r="HW111" s="12">
        <f>IFERROR(FU111/FN111,0)</f>
        <v/>
      </c>
      <c r="HX111" s="12">
        <f>IFERROR(GC111/FV111,0)</f>
        <v/>
      </c>
      <c r="HY111" s="12">
        <f>IFERROR(GK111/GD111,0)</f>
        <v/>
      </c>
      <c r="HZ111" s="12">
        <f>IFERROR(GS111/GL111,0)</f>
        <v/>
      </c>
      <c r="IA111" s="12">
        <f>IFERROR(HA111/GT111,0)</f>
        <v/>
      </c>
      <c r="IB111" s="12">
        <f>I111+Q111+Y111+AG111+AO111+AW111+BE111+BM111+BU111+CC111+CK111+CS111+DA111+DI111+DQ111+DY111+EG111+EO111+EW111+FE111+FM111+FU111+GC111+GK111+GS111+HA111</f>
        <v/>
      </c>
      <c r="IC111" s="12">
        <f>HB111+HC111+HD111+HE111+HF111+HG111+HH111+HI111+HJ111+HK111+HL111+HM111+HN111+HO111+HP111+HQ111+HR111+HS111+HT111+HU111+HV111+HW111+HX111+HY111+HZ111+IA111</f>
        <v/>
      </c>
    </row>
    <row r="112" ht="14" customHeight="1">
      <c r="A112" s="29" t="n">
        <v>22</v>
      </c>
      <c r="B112" s="9">
        <f>IF(22&gt;$B$6+$B$7,$G$7*$B$11^$H$7,$E$7*$B$9^$F$7)</f>
        <v/>
      </c>
      <c r="C112" s="9">
        <f>IF(22=1,0,$B$14)</f>
        <v/>
      </c>
      <c r="D112" s="9">
        <f>-($B$14+(IF(22&lt;=$B$6,$B$13*$B$15+$B$12,IF(22&lt;=$B$6+$B$7,$B$13*$B$15,$B$13)))/B112)</f>
        <v/>
      </c>
      <c r="E112" s="9">
        <f>IF(22=$B$6+$B$7,0,IF(22&gt;$B$6+$B$7,$B$13/B113,IF(22&gt;=$B$6,$B$13*$B$15/B113,($B$13*$B$15+$B$12)/B113)))</f>
        <v/>
      </c>
      <c r="F112" s="9">
        <f>IF(22=$B$6,-$K$7*$B$12,0)</f>
        <v/>
      </c>
      <c r="G112" s="9">
        <f>E112/(D112-C112*G111)</f>
        <v/>
      </c>
      <c r="H112" s="9">
        <f>(F112-C112*H111)/(D112-C112*G111)</f>
        <v/>
      </c>
      <c r="I112" s="16">
        <f>H112-G112*I113</f>
        <v/>
      </c>
      <c r="J112" s="9">
        <f>IF(22&gt;$B$6+$B$7,$G$8*$B$11^$H$8,$E$8*$B$9^$F$8)</f>
        <v/>
      </c>
      <c r="K112" s="9">
        <f>IF(22=1,0,$B$14)</f>
        <v/>
      </c>
      <c r="L112" s="9">
        <f>-($B$14+(IF(22&lt;=$B$6,$B$13*$B$15+$B$12,IF(22&lt;=$B$6+$B$7,$B$13*$B$15,$B$13)))/J112)</f>
        <v/>
      </c>
      <c r="M112" s="9">
        <f>IF(22=$B$6+$B$7,0,IF(22&gt;$B$6+$B$7,$B$13/J113,IF(22&gt;=$B$6,$B$13*$B$15/J113,($B$13*$B$15+$B$12)/J113)))</f>
        <v/>
      </c>
      <c r="N112" s="9">
        <f>IF(22=$B$6,-$K$8*$B$12,0)</f>
        <v/>
      </c>
      <c r="O112" s="9">
        <f>M112/(L112-K112*O111)</f>
        <v/>
      </c>
      <c r="P112" s="9">
        <f>(N112-K112*P111)/(L112-K112*O111)</f>
        <v/>
      </c>
      <c r="Q112" s="16">
        <f>P112-O112*Q113</f>
        <v/>
      </c>
      <c r="R112" s="9">
        <f>IF(22&gt;$B$6+$B$7,$G$9*$B$11^$H$9,$E$9*$B$9^$F$9)</f>
        <v/>
      </c>
      <c r="S112" s="9">
        <f>IF(22=1,0,$B$14)</f>
        <v/>
      </c>
      <c r="T112" s="9">
        <f>-($B$14+(IF(22&lt;=$B$6,$B$13*$B$15+$B$12,IF(22&lt;=$B$6+$B$7,$B$13*$B$15,$B$13)))/R112)</f>
        <v/>
      </c>
      <c r="U112" s="9">
        <f>IF(22=$B$6+$B$7,0,IF(22&gt;$B$6+$B$7,$B$13/R113,IF(22&gt;=$B$6,$B$13*$B$15/R113,($B$13*$B$15+$B$12)/R113)))</f>
        <v/>
      </c>
      <c r="V112" s="9">
        <f>IF(22=$B$6,-$K$9*$B$12,0)</f>
        <v/>
      </c>
      <c r="W112" s="9">
        <f>U112/(T112-S112*W111)</f>
        <v/>
      </c>
      <c r="X112" s="9">
        <f>(V112-S112*X111)/(T112-S112*W111)</f>
        <v/>
      </c>
      <c r="Y112" s="16">
        <f>X112-W112*Y113</f>
        <v/>
      </c>
      <c r="Z112" s="9">
        <f>IF(22&gt;$B$6+$B$7,$G$10*$B$11^$H$10,$E$10*$B$9^$F$10)</f>
        <v/>
      </c>
      <c r="AA112" s="9">
        <f>IF(22=1,0,$B$14)</f>
        <v/>
      </c>
      <c r="AB112" s="9">
        <f>-($B$14+(IF(22&lt;=$B$6,$B$13*$B$15+$B$12,IF(22&lt;=$B$6+$B$7,$B$13*$B$15,$B$13)))/Z112)</f>
        <v/>
      </c>
      <c r="AC112" s="9">
        <f>IF(22=$B$6+$B$7,0,IF(22&gt;$B$6+$B$7,$B$13/Z113,IF(22&gt;=$B$6,$B$13*$B$15/Z113,($B$13*$B$15+$B$12)/Z113)))</f>
        <v/>
      </c>
      <c r="AD112" s="9">
        <f>IF(22=$B$6,-$K$10*$B$12,0)</f>
        <v/>
      </c>
      <c r="AE112" s="9">
        <f>AC112/(AB112-AA112*AE111)</f>
        <v/>
      </c>
      <c r="AF112" s="9">
        <f>(AD112-AA112*AF111)/(AB112-AA112*AE111)</f>
        <v/>
      </c>
      <c r="AG112" s="16">
        <f>AF112-AE112*AG113</f>
        <v/>
      </c>
      <c r="AH112" s="9">
        <f>IF(22&gt;$B$6+$B$7,$G$11*$B$11^$H$11,$E$11*$B$9^$F$11)</f>
        <v/>
      </c>
      <c r="AI112" s="9">
        <f>IF(22=1,0,$B$14)</f>
        <v/>
      </c>
      <c r="AJ112" s="9">
        <f>-($B$14+(IF(22&lt;=$B$6,$B$13*$B$15+$B$12,IF(22&lt;=$B$6+$B$7,$B$13*$B$15,$B$13)))/AH112)</f>
        <v/>
      </c>
      <c r="AK112" s="9">
        <f>IF(22=$B$6+$B$7,0,IF(22&gt;$B$6+$B$7,$B$13/AH113,IF(22&gt;=$B$6,$B$13*$B$15/AH113,($B$13*$B$15+$B$12)/AH113)))</f>
        <v/>
      </c>
      <c r="AL112" s="9">
        <f>IF(22=$B$6,-$K$11*$B$12,0)</f>
        <v/>
      </c>
      <c r="AM112" s="9">
        <f>AK112/(AJ112-AI112*AM111)</f>
        <v/>
      </c>
      <c r="AN112" s="9">
        <f>(AL112-AI112*AN111)/(AJ112-AI112*AM111)</f>
        <v/>
      </c>
      <c r="AO112" s="16">
        <f>AN112-AM112*AO113</f>
        <v/>
      </c>
      <c r="AP112" s="9">
        <f>IF(22&gt;$B$6+$B$7,$G$12*$B$11^$H$12,$E$12*$B$9^$F$12)</f>
        <v/>
      </c>
      <c r="AQ112" s="9">
        <f>IF(22=1,0,$B$14)</f>
        <v/>
      </c>
      <c r="AR112" s="9">
        <f>-($B$14+(IF(22&lt;=$B$6,$B$13*$B$15+$B$12,IF(22&lt;=$B$6+$B$7,$B$13*$B$15,$B$13)))/AP112)</f>
        <v/>
      </c>
      <c r="AS112" s="9">
        <f>IF(22=$B$6+$B$7,0,IF(22&gt;$B$6+$B$7,$B$13/AP113,IF(22&gt;=$B$6,$B$13*$B$15/AP113,($B$13*$B$15+$B$12)/AP113)))</f>
        <v/>
      </c>
      <c r="AT112" s="9">
        <f>IF(22=$B$6,-$K$12*$B$12,0)</f>
        <v/>
      </c>
      <c r="AU112" s="9">
        <f>AS112/(AR112-AQ112*AU111)</f>
        <v/>
      </c>
      <c r="AV112" s="9">
        <f>(AT112-AQ112*AV111)/(AR112-AQ112*AU111)</f>
        <v/>
      </c>
      <c r="AW112" s="16">
        <f>AV112-AU112*AW113</f>
        <v/>
      </c>
      <c r="AX112" s="9">
        <f>IF(22&gt;$B$6+$B$7,$G$13*$B$11^$H$13,$E$13*$B$9^$F$13)</f>
        <v/>
      </c>
      <c r="AY112" s="9">
        <f>IF(22=1,0,$B$14)</f>
        <v/>
      </c>
      <c r="AZ112" s="9">
        <f>-($B$14+(IF(22&lt;=$B$6,$B$13*$B$15+$B$12,IF(22&lt;=$B$6+$B$7,$B$13*$B$15,$B$13)))/AX112)</f>
        <v/>
      </c>
      <c r="BA112" s="9">
        <f>IF(22=$B$6+$B$7,0,IF(22&gt;$B$6+$B$7,$B$13/AX113,IF(22&gt;=$B$6,$B$13*$B$15/AX113,($B$13*$B$15+$B$12)/AX113)))</f>
        <v/>
      </c>
      <c r="BB112" s="9">
        <f>IF(22=$B$6,-$K$13*$B$12,0)</f>
        <v/>
      </c>
      <c r="BC112" s="9">
        <f>BA112/(AZ112-AY112*BC111)</f>
        <v/>
      </c>
      <c r="BD112" s="9">
        <f>(BB112-AY112*BD111)/(AZ112-AY112*BC111)</f>
        <v/>
      </c>
      <c r="BE112" s="16">
        <f>BD112-BC112*BE113</f>
        <v/>
      </c>
      <c r="BF112" s="9">
        <f>IF(22&gt;$B$6+$B$7,$G$14*$B$11^$H$14,$E$14*$B$9^$F$14)</f>
        <v/>
      </c>
      <c r="BG112" s="9">
        <f>IF(22=1,0,$B$14)</f>
        <v/>
      </c>
      <c r="BH112" s="9">
        <f>-($B$14+(IF(22&lt;=$B$6,$B$13*$B$15+$B$12,IF(22&lt;=$B$6+$B$7,$B$13*$B$15,$B$13)))/BF112)</f>
        <v/>
      </c>
      <c r="BI112" s="9">
        <f>IF(22=$B$6+$B$7,0,IF(22&gt;$B$6+$B$7,$B$13/BF113,IF(22&gt;=$B$6,$B$13*$B$15/BF113,($B$13*$B$15+$B$12)/BF113)))</f>
        <v/>
      </c>
      <c r="BJ112" s="9">
        <f>IF(22=$B$6,-$K$14*$B$12,0)</f>
        <v/>
      </c>
      <c r="BK112" s="9">
        <f>BI112/(BH112-BG112*BK111)</f>
        <v/>
      </c>
      <c r="BL112" s="9">
        <f>(BJ112-BG112*BL111)/(BH112-BG112*BK111)</f>
        <v/>
      </c>
      <c r="BM112" s="16">
        <f>BL112-BK112*BM113</f>
        <v/>
      </c>
      <c r="BN112" s="9">
        <f>IF(22&gt;$B$6+$B$7,$G$15*$B$11^$H$15,$E$15*$B$9^$F$15)</f>
        <v/>
      </c>
      <c r="BO112" s="9">
        <f>IF(22=1,0,$B$14)</f>
        <v/>
      </c>
      <c r="BP112" s="9">
        <f>-($B$14+(IF(22&lt;=$B$6,$B$13*$B$15+$B$12,IF(22&lt;=$B$6+$B$7,$B$13*$B$15,$B$13)))/BN112)</f>
        <v/>
      </c>
      <c r="BQ112" s="9">
        <f>IF(22=$B$6+$B$7,0,IF(22&gt;$B$6+$B$7,$B$13/BN113,IF(22&gt;=$B$6,$B$13*$B$15/BN113,($B$13*$B$15+$B$12)/BN113)))</f>
        <v/>
      </c>
      <c r="BR112" s="9">
        <f>IF(22=$B$6,-$K$15*$B$12,0)</f>
        <v/>
      </c>
      <c r="BS112" s="9">
        <f>BQ112/(BP112-BO112*BS111)</f>
        <v/>
      </c>
      <c r="BT112" s="9">
        <f>(BR112-BO112*BT111)/(BP112-BO112*BS111)</f>
        <v/>
      </c>
      <c r="BU112" s="16">
        <f>BT112-BS112*BU113</f>
        <v/>
      </c>
      <c r="BV112" s="9">
        <f>IF(22&gt;$B$6+$B$7,$G$16*$B$11^$H$16,$E$16*$B$9^$F$16)</f>
        <v/>
      </c>
      <c r="BW112" s="9">
        <f>IF(22=1,0,$B$14)</f>
        <v/>
      </c>
      <c r="BX112" s="9">
        <f>-($B$14+(IF(22&lt;=$B$6,$B$13*$B$15+$B$12,IF(22&lt;=$B$6+$B$7,$B$13*$B$15,$B$13)))/BV112)</f>
        <v/>
      </c>
      <c r="BY112" s="9">
        <f>IF(22=$B$6+$B$7,0,IF(22&gt;$B$6+$B$7,$B$13/BV113,IF(22&gt;=$B$6,$B$13*$B$15/BV113,($B$13*$B$15+$B$12)/BV113)))</f>
        <v/>
      </c>
      <c r="BZ112" s="9">
        <f>IF(22=$B$6,-$K$16*$B$12,0)</f>
        <v/>
      </c>
      <c r="CA112" s="9">
        <f>BY112/(BX112-BW112*CA111)</f>
        <v/>
      </c>
      <c r="CB112" s="9">
        <f>(BZ112-BW112*CB111)/(BX112-BW112*CA111)</f>
        <v/>
      </c>
      <c r="CC112" s="16">
        <f>CB112-CA112*CC113</f>
        <v/>
      </c>
      <c r="CD112" s="9">
        <f>IF(22&gt;$B$6+$B$7,$G$17*$B$11^$H$17,$E$17*$B$9^$F$17)</f>
        <v/>
      </c>
      <c r="CE112" s="9">
        <f>IF(22=1,0,$B$14)</f>
        <v/>
      </c>
      <c r="CF112" s="9">
        <f>-($B$14+(IF(22&lt;=$B$6,$B$13*$B$15+$B$12,IF(22&lt;=$B$6+$B$7,$B$13*$B$15,$B$13)))/CD112)</f>
        <v/>
      </c>
      <c r="CG112" s="9">
        <f>IF(22=$B$6+$B$7,0,IF(22&gt;$B$6+$B$7,$B$13/CD113,IF(22&gt;=$B$6,$B$13*$B$15/CD113,($B$13*$B$15+$B$12)/CD113)))</f>
        <v/>
      </c>
      <c r="CH112" s="9">
        <f>IF(22=$B$6,-$K$17*$B$12,0)</f>
        <v/>
      </c>
      <c r="CI112" s="9">
        <f>CG112/(CF112-CE112*CI111)</f>
        <v/>
      </c>
      <c r="CJ112" s="9">
        <f>(CH112-CE112*CJ111)/(CF112-CE112*CI111)</f>
        <v/>
      </c>
      <c r="CK112" s="16">
        <f>CJ112-CI112*CK113</f>
        <v/>
      </c>
      <c r="CL112" s="9">
        <f>IF(22&gt;$B$6+$B$7,$G$18*$B$11^$H$18,$E$18*$B$9^$F$18)</f>
        <v/>
      </c>
      <c r="CM112" s="9">
        <f>IF(22=1,0,$B$14)</f>
        <v/>
      </c>
      <c r="CN112" s="9">
        <f>-($B$14+(IF(22&lt;=$B$6,$B$13*$B$15+$B$12,IF(22&lt;=$B$6+$B$7,$B$13*$B$15,$B$13)))/CL112)</f>
        <v/>
      </c>
      <c r="CO112" s="9">
        <f>IF(22=$B$6+$B$7,0,IF(22&gt;$B$6+$B$7,$B$13/CL113,IF(22&gt;=$B$6,$B$13*$B$15/CL113,($B$13*$B$15+$B$12)/CL113)))</f>
        <v/>
      </c>
      <c r="CP112" s="9">
        <f>IF(22=$B$6,-$K$18*$B$12,0)</f>
        <v/>
      </c>
      <c r="CQ112" s="9">
        <f>CO112/(CN112-CM112*CQ111)</f>
        <v/>
      </c>
      <c r="CR112" s="9">
        <f>(CP112-CM112*CR111)/(CN112-CM112*CQ111)</f>
        <v/>
      </c>
      <c r="CS112" s="16">
        <f>CR112-CQ112*CS113</f>
        <v/>
      </c>
      <c r="CT112" s="9">
        <f>IF(22&gt;$B$6+$B$7,$G$19*$B$11^$H$19,$E$19*$B$9^$F$19)</f>
        <v/>
      </c>
      <c r="CU112" s="9">
        <f>IF(22=1,0,$B$14)</f>
        <v/>
      </c>
      <c r="CV112" s="9">
        <f>-($B$14+(IF(22&lt;=$B$6,$B$13*$B$15+$B$12,IF(22&lt;=$B$6+$B$7,$B$13*$B$15,$B$13)))/CT112)</f>
        <v/>
      </c>
      <c r="CW112" s="9">
        <f>IF(22=$B$6+$B$7,0,IF(22&gt;$B$6+$B$7,$B$13/CT113,IF(22&gt;=$B$6,$B$13*$B$15/CT113,($B$13*$B$15+$B$12)/CT113)))</f>
        <v/>
      </c>
      <c r="CX112" s="9">
        <f>IF(22=$B$6,-$K$19*$B$12,0)</f>
        <v/>
      </c>
      <c r="CY112" s="9">
        <f>CW112/(CV112-CU112*CY111)</f>
        <v/>
      </c>
      <c r="CZ112" s="9">
        <f>(CX112-CU112*CZ111)/(CV112-CU112*CY111)</f>
        <v/>
      </c>
      <c r="DA112" s="16">
        <f>CZ112-CY112*DA113</f>
        <v/>
      </c>
      <c r="DB112" s="9">
        <f>IF(22&gt;$B$6+$B$7,$G$20*$B$11^$H$20,$E$20*$B$9^$F$20)</f>
        <v/>
      </c>
      <c r="DC112" s="9">
        <f>IF(22=1,0,$B$14)</f>
        <v/>
      </c>
      <c r="DD112" s="9">
        <f>-($B$14+(IF(22&lt;=$B$6,$B$13*$B$15+$B$12,IF(22&lt;=$B$6+$B$7,$B$13*$B$15,$B$13)))/DB112)</f>
        <v/>
      </c>
      <c r="DE112" s="9">
        <f>IF(22=$B$6+$B$7,0,IF(22&gt;$B$6+$B$7,$B$13/DB113,IF(22&gt;=$B$6,$B$13*$B$15/DB113,($B$13*$B$15+$B$12)/DB113)))</f>
        <v/>
      </c>
      <c r="DF112" s="9">
        <f>IF(22=$B$6,-$K$20*$B$12,0)</f>
        <v/>
      </c>
      <c r="DG112" s="9">
        <f>DE112/(DD112-DC112*DG111)</f>
        <v/>
      </c>
      <c r="DH112" s="9">
        <f>(DF112-DC112*DH111)/(DD112-DC112*DG111)</f>
        <v/>
      </c>
      <c r="DI112" s="16">
        <f>DH112-DG112*DI113</f>
        <v/>
      </c>
      <c r="DJ112" s="9">
        <f>IF(22&gt;$B$6+$B$7,$G$21*$B$11^$H$21,$E$21*$B$9^$F$21)</f>
        <v/>
      </c>
      <c r="DK112" s="9">
        <f>IF(22=1,0,$B$14)</f>
        <v/>
      </c>
      <c r="DL112" s="9">
        <f>-($B$14+(IF(22&lt;=$B$6,$B$13*$B$15+$B$12,IF(22&lt;=$B$6+$B$7,$B$13*$B$15,$B$13)))/DJ112)</f>
        <v/>
      </c>
      <c r="DM112" s="9">
        <f>IF(22=$B$6+$B$7,0,IF(22&gt;$B$6+$B$7,$B$13/DJ113,IF(22&gt;=$B$6,$B$13*$B$15/DJ113,($B$13*$B$15+$B$12)/DJ113)))</f>
        <v/>
      </c>
      <c r="DN112" s="9">
        <f>IF(22=$B$6,-$K$21*$B$12,0)</f>
        <v/>
      </c>
      <c r="DO112" s="9">
        <f>DM112/(DL112-DK112*DO111)</f>
        <v/>
      </c>
      <c r="DP112" s="9">
        <f>(DN112-DK112*DP111)/(DL112-DK112*DO111)</f>
        <v/>
      </c>
      <c r="DQ112" s="16">
        <f>DP112-DO112*DQ113</f>
        <v/>
      </c>
      <c r="DR112" s="9">
        <f>IF(22&gt;$B$6+$B$7,$G$22*$B$11^$H$22,$E$22*$B$9^$F$22)</f>
        <v/>
      </c>
      <c r="DS112" s="9">
        <f>IF(22=1,0,$B$14)</f>
        <v/>
      </c>
      <c r="DT112" s="9">
        <f>-($B$14+(IF(22&lt;=$B$6,$B$13*$B$15+$B$12,IF(22&lt;=$B$6+$B$7,$B$13*$B$15,$B$13)))/DR112)</f>
        <v/>
      </c>
      <c r="DU112" s="9">
        <f>IF(22=$B$6+$B$7,0,IF(22&gt;$B$6+$B$7,$B$13/DR113,IF(22&gt;=$B$6,$B$13*$B$15/DR113,($B$13*$B$15+$B$12)/DR113)))</f>
        <v/>
      </c>
      <c r="DV112" s="9">
        <f>IF(22=$B$6,-$K$22*$B$12,0)</f>
        <v/>
      </c>
      <c r="DW112" s="9">
        <f>DU112/(DT112-DS112*DW111)</f>
        <v/>
      </c>
      <c r="DX112" s="9">
        <f>(DV112-DS112*DX111)/(DT112-DS112*DW111)</f>
        <v/>
      </c>
      <c r="DY112" s="16">
        <f>DX112-DW112*DY113</f>
        <v/>
      </c>
      <c r="DZ112" s="9">
        <f>IF(22&gt;$B$6+$B$7,$G$23*$B$11^$H$23,$E$23*$B$9^$F$23)</f>
        <v/>
      </c>
      <c r="EA112" s="9">
        <f>IF(22=1,0,$B$14)</f>
        <v/>
      </c>
      <c r="EB112" s="9">
        <f>-($B$14+(IF(22&lt;=$B$6,$B$13*$B$15+$B$12,IF(22&lt;=$B$6+$B$7,$B$13*$B$15,$B$13)))/DZ112)</f>
        <v/>
      </c>
      <c r="EC112" s="9">
        <f>IF(22=$B$6+$B$7,0,IF(22&gt;$B$6+$B$7,$B$13/DZ113,IF(22&gt;=$B$6,$B$13*$B$15/DZ113,($B$13*$B$15+$B$12)/DZ113)))</f>
        <v/>
      </c>
      <c r="ED112" s="9">
        <f>IF(22=$B$6,-$K$23*$B$12,0)</f>
        <v/>
      </c>
      <c r="EE112" s="9">
        <f>EC112/(EB112-EA112*EE111)</f>
        <v/>
      </c>
      <c r="EF112" s="9">
        <f>(ED112-EA112*EF111)/(EB112-EA112*EE111)</f>
        <v/>
      </c>
      <c r="EG112" s="16">
        <f>EF112-EE112*EG113</f>
        <v/>
      </c>
      <c r="EH112" s="9">
        <f>IF(22&gt;$B$6+$B$7,$G$24*$B$11^$H$24,$E$24*$B$9^$F$24)</f>
        <v/>
      </c>
      <c r="EI112" s="9">
        <f>IF(22=1,0,$B$14)</f>
        <v/>
      </c>
      <c r="EJ112" s="9">
        <f>-($B$14+(IF(22&lt;=$B$6,$B$13*$B$15+$B$12,IF(22&lt;=$B$6+$B$7,$B$13*$B$15,$B$13)))/EH112)</f>
        <v/>
      </c>
      <c r="EK112" s="9">
        <f>IF(22=$B$6+$B$7,0,IF(22&gt;$B$6+$B$7,$B$13/EH113,IF(22&gt;=$B$6,$B$13*$B$15/EH113,($B$13*$B$15+$B$12)/EH113)))</f>
        <v/>
      </c>
      <c r="EL112" s="9">
        <f>IF(22=$B$6,-$K$24*$B$12,0)</f>
        <v/>
      </c>
      <c r="EM112" s="9">
        <f>EK112/(EJ112-EI112*EM111)</f>
        <v/>
      </c>
      <c r="EN112" s="9">
        <f>(EL112-EI112*EN111)/(EJ112-EI112*EM111)</f>
        <v/>
      </c>
      <c r="EO112" s="16">
        <f>EN112-EM112*EO113</f>
        <v/>
      </c>
      <c r="EP112" s="9">
        <f>IF(22&gt;$B$6+$B$7,$G$25*$B$11^$H$25,$E$25*$B$9^$F$25)</f>
        <v/>
      </c>
      <c r="EQ112" s="9">
        <f>IF(22=1,0,$B$14)</f>
        <v/>
      </c>
      <c r="ER112" s="9">
        <f>-($B$14+(IF(22&lt;=$B$6,$B$13*$B$15+$B$12,IF(22&lt;=$B$6+$B$7,$B$13*$B$15,$B$13)))/EP112)</f>
        <v/>
      </c>
      <c r="ES112" s="9">
        <f>IF(22=$B$6+$B$7,0,IF(22&gt;$B$6+$B$7,$B$13/EP113,IF(22&gt;=$B$6,$B$13*$B$15/EP113,($B$13*$B$15+$B$12)/EP113)))</f>
        <v/>
      </c>
      <c r="ET112" s="9">
        <f>IF(22=$B$6,-$K$25*$B$12,0)</f>
        <v/>
      </c>
      <c r="EU112" s="9">
        <f>ES112/(ER112-EQ112*EU111)</f>
        <v/>
      </c>
      <c r="EV112" s="9">
        <f>(ET112-EQ112*EV111)/(ER112-EQ112*EU111)</f>
        <v/>
      </c>
      <c r="EW112" s="16">
        <f>EV112-EU112*EW113</f>
        <v/>
      </c>
      <c r="EX112" s="9">
        <f>IF(22&gt;$B$6+$B$7,$G$26*$B$11^$H$26,$E$26*$B$9^$F$26)</f>
        <v/>
      </c>
      <c r="EY112" s="9">
        <f>IF(22=1,0,$B$14)</f>
        <v/>
      </c>
      <c r="EZ112" s="9">
        <f>-($B$14+(IF(22&lt;=$B$6,$B$13*$B$15+$B$12,IF(22&lt;=$B$6+$B$7,$B$13*$B$15,$B$13)))/EX112)</f>
        <v/>
      </c>
      <c r="FA112" s="9">
        <f>IF(22=$B$6+$B$7,0,IF(22&gt;$B$6+$B$7,$B$13/EX113,IF(22&gt;=$B$6,$B$13*$B$15/EX113,($B$13*$B$15+$B$12)/EX113)))</f>
        <v/>
      </c>
      <c r="FB112" s="9">
        <f>IF(22=$B$6,-$K$26*$B$12,0)</f>
        <v/>
      </c>
      <c r="FC112" s="9">
        <f>FA112/(EZ112-EY112*FC111)</f>
        <v/>
      </c>
      <c r="FD112" s="9">
        <f>(FB112-EY112*FD111)/(EZ112-EY112*FC111)</f>
        <v/>
      </c>
      <c r="FE112" s="16">
        <f>FD112-FC112*FE113</f>
        <v/>
      </c>
      <c r="FF112" s="9">
        <f>IF(22&gt;$B$6+$B$7,$G$27*$B$11^$H$27,$E$27*$B$9^$F$27)</f>
        <v/>
      </c>
      <c r="FG112" s="9">
        <f>IF(22=1,0,$B$14)</f>
        <v/>
      </c>
      <c r="FH112" s="9">
        <f>-($B$14+(IF(22&lt;=$B$6,$B$13*$B$15+$B$12,IF(22&lt;=$B$6+$B$7,$B$13*$B$15,$B$13)))/FF112)</f>
        <v/>
      </c>
      <c r="FI112" s="9">
        <f>IF(22=$B$6+$B$7,0,IF(22&gt;$B$6+$B$7,$B$13/FF113,IF(22&gt;=$B$6,$B$13*$B$15/FF113,($B$13*$B$15+$B$12)/FF113)))</f>
        <v/>
      </c>
      <c r="FJ112" s="9">
        <f>IF(22=$B$6,-$K$27*$B$12,0)</f>
        <v/>
      </c>
      <c r="FK112" s="9">
        <f>FI112/(FH112-FG112*FK111)</f>
        <v/>
      </c>
      <c r="FL112" s="9">
        <f>(FJ112-FG112*FL111)/(FH112-FG112*FK111)</f>
        <v/>
      </c>
      <c r="FM112" s="16">
        <f>FL112-FK112*FM113</f>
        <v/>
      </c>
      <c r="FN112" s="9">
        <f>IF(22&gt;$B$6+$B$7,$G$28*$B$11^$H$28,$E$28*$B$9^$F$28)</f>
        <v/>
      </c>
      <c r="FO112" s="9">
        <f>IF(22=1,0,$B$14)</f>
        <v/>
      </c>
      <c r="FP112" s="9">
        <f>-($B$14+(IF(22&lt;=$B$6,$B$13*$B$15+$B$12,IF(22&lt;=$B$6+$B$7,$B$13*$B$15,$B$13)))/FN112)</f>
        <v/>
      </c>
      <c r="FQ112" s="9">
        <f>IF(22=$B$6+$B$7,0,IF(22&gt;$B$6+$B$7,$B$13/FN113,IF(22&gt;=$B$6,$B$13*$B$15/FN113,($B$13*$B$15+$B$12)/FN113)))</f>
        <v/>
      </c>
      <c r="FR112" s="9">
        <f>IF(22=$B$6,-$K$28*$B$12,0)</f>
        <v/>
      </c>
      <c r="FS112" s="9">
        <f>FQ112/(FP112-FO112*FS111)</f>
        <v/>
      </c>
      <c r="FT112" s="9">
        <f>(FR112-FO112*FT111)/(FP112-FO112*FS111)</f>
        <v/>
      </c>
      <c r="FU112" s="16">
        <f>FT112-FS112*FU113</f>
        <v/>
      </c>
      <c r="FV112" s="9">
        <f>IF(22&gt;$B$6+$B$7,$G$29*$B$11^$H$29,$E$29*$B$9^$F$29)</f>
        <v/>
      </c>
      <c r="FW112" s="9">
        <f>IF(22=1,0,$B$14)</f>
        <v/>
      </c>
      <c r="FX112" s="9">
        <f>-($B$14+(IF(22&lt;=$B$6,$B$13*$B$15+$B$12,IF(22&lt;=$B$6+$B$7,$B$13*$B$15,$B$13)))/FV112)</f>
        <v/>
      </c>
      <c r="FY112" s="9">
        <f>IF(22=$B$6+$B$7,0,IF(22&gt;$B$6+$B$7,$B$13/FV113,IF(22&gt;=$B$6,$B$13*$B$15/FV113,($B$13*$B$15+$B$12)/FV113)))</f>
        <v/>
      </c>
      <c r="FZ112" s="9">
        <f>IF(22=$B$6,-$K$29*$B$12,0)</f>
        <v/>
      </c>
      <c r="GA112" s="9">
        <f>FY112/(FX112-FW112*GA111)</f>
        <v/>
      </c>
      <c r="GB112" s="9">
        <f>(FZ112-FW112*GB111)/(FX112-FW112*GA111)</f>
        <v/>
      </c>
      <c r="GC112" s="16">
        <f>GB112-GA112*GC113</f>
        <v/>
      </c>
      <c r="GD112" s="9">
        <f>IF(22&gt;$B$6+$B$7,$G$30*$B$11^$H$30,$E$30*$B$9^$F$30)</f>
        <v/>
      </c>
      <c r="GE112" s="9">
        <f>IF(22=1,0,$B$14)</f>
        <v/>
      </c>
      <c r="GF112" s="9">
        <f>-($B$14+(IF(22&lt;=$B$6,$B$13*$B$15+$B$12,IF(22&lt;=$B$6+$B$7,$B$13*$B$15,$B$13)))/GD112)</f>
        <v/>
      </c>
      <c r="GG112" s="9">
        <f>IF(22=$B$6+$B$7,0,IF(22&gt;$B$6+$B$7,$B$13/GD113,IF(22&gt;=$B$6,$B$13*$B$15/GD113,($B$13*$B$15+$B$12)/GD113)))</f>
        <v/>
      </c>
      <c r="GH112" s="9">
        <f>IF(22=$B$6,-$K$30*$B$12,0)</f>
        <v/>
      </c>
      <c r="GI112" s="9">
        <f>GG112/(GF112-GE112*GI111)</f>
        <v/>
      </c>
      <c r="GJ112" s="9">
        <f>(GH112-GE112*GJ111)/(GF112-GE112*GI111)</f>
        <v/>
      </c>
      <c r="GK112" s="16">
        <f>GJ112-GI112*GK113</f>
        <v/>
      </c>
      <c r="GL112" s="9">
        <f>IF(22&gt;$B$6+$B$7,$G$31*$B$11^$H$31,$E$31*$B$9^$F$31)</f>
        <v/>
      </c>
      <c r="GM112" s="9">
        <f>IF(22=1,0,$B$14)</f>
        <v/>
      </c>
      <c r="GN112" s="9">
        <f>-($B$14+(IF(22&lt;=$B$6,$B$13*$B$15+$B$12,IF(22&lt;=$B$6+$B$7,$B$13*$B$15,$B$13)))/GL112)</f>
        <v/>
      </c>
      <c r="GO112" s="9">
        <f>IF(22=$B$6+$B$7,0,IF(22&gt;$B$6+$B$7,$B$13/GL113,IF(22&gt;=$B$6,$B$13*$B$15/GL113,($B$13*$B$15+$B$12)/GL113)))</f>
        <v/>
      </c>
      <c r="GP112" s="9">
        <f>IF(22=$B$6,-$K$31*$B$12,0)</f>
        <v/>
      </c>
      <c r="GQ112" s="9">
        <f>GO112/(GN112-GM112*GQ111)</f>
        <v/>
      </c>
      <c r="GR112" s="9">
        <f>(GP112-GM112*GR111)/(GN112-GM112*GQ111)</f>
        <v/>
      </c>
      <c r="GS112" s="16">
        <f>GR112-GQ112*GS113</f>
        <v/>
      </c>
      <c r="GT112" s="9">
        <f>IF(22&gt;$B$6+$B$7,$G$32*$B$11^$H$32,$E$32*$B$9^$F$32)</f>
        <v/>
      </c>
      <c r="GU112" s="9">
        <f>IF(22=1,0,$B$14)</f>
        <v/>
      </c>
      <c r="GV112" s="9">
        <f>-($B$14+(IF(22&lt;=$B$6,$B$13*$B$15+$B$12,IF(22&lt;=$B$6+$B$7,$B$13*$B$15,$B$13)))/GT112)</f>
        <v/>
      </c>
      <c r="GW112" s="9">
        <f>IF(22=$B$6+$B$7,0,IF(22&gt;$B$6+$B$7,$B$13/GT113,IF(22&gt;=$B$6,$B$13*$B$15/GT113,($B$13*$B$15+$B$12)/GT113)))</f>
        <v/>
      </c>
      <c r="GX112" s="9">
        <f>IF(22=$B$6,-$K$32*$B$12,0)</f>
        <v/>
      </c>
      <c r="GY112" s="9">
        <f>GW112/(GV112-GU112*GY111)</f>
        <v/>
      </c>
      <c r="GZ112" s="9">
        <f>(GX112-GU112*GZ111)/(GV112-GU112*GY111)</f>
        <v/>
      </c>
      <c r="HA112" s="16">
        <f>GZ112-GY112*HA113</f>
        <v/>
      </c>
      <c r="HB112" s="12">
        <f>IFERROR(I112/B112,0)</f>
        <v/>
      </c>
      <c r="HC112" s="12">
        <f>IFERROR(Q112/J112,0)</f>
        <v/>
      </c>
      <c r="HD112" s="12">
        <f>IFERROR(Y112/R112,0)</f>
        <v/>
      </c>
      <c r="HE112" s="12">
        <f>IFERROR(AG112/Z112,0)</f>
        <v/>
      </c>
      <c r="HF112" s="12">
        <f>IFERROR(AO112/AH112,0)</f>
        <v/>
      </c>
      <c r="HG112" s="12">
        <f>IFERROR(AW112/AP112,0)</f>
        <v/>
      </c>
      <c r="HH112" s="12">
        <f>IFERROR(BE112/AX112,0)</f>
        <v/>
      </c>
      <c r="HI112" s="12">
        <f>IFERROR(BM112/BF112,0)</f>
        <v/>
      </c>
      <c r="HJ112" s="12">
        <f>IFERROR(BU112/BN112,0)</f>
        <v/>
      </c>
      <c r="HK112" s="12">
        <f>IFERROR(CC112/BV112,0)</f>
        <v/>
      </c>
      <c r="HL112" s="12">
        <f>IFERROR(CK112/CD112,0)</f>
        <v/>
      </c>
      <c r="HM112" s="12">
        <f>IFERROR(CS112/CL112,0)</f>
        <v/>
      </c>
      <c r="HN112" s="12">
        <f>IFERROR(DA112/CT112,0)</f>
        <v/>
      </c>
      <c r="HO112" s="12">
        <f>IFERROR(DI112/DB112,0)</f>
        <v/>
      </c>
      <c r="HP112" s="12">
        <f>IFERROR(DQ112/DJ112,0)</f>
        <v/>
      </c>
      <c r="HQ112" s="12">
        <f>IFERROR(DY112/DR112,0)</f>
        <v/>
      </c>
      <c r="HR112" s="12">
        <f>IFERROR(EG112/DZ112,0)</f>
        <v/>
      </c>
      <c r="HS112" s="12">
        <f>IFERROR(EO112/EH112,0)</f>
        <v/>
      </c>
      <c r="HT112" s="12">
        <f>IFERROR(EW112/EP112,0)</f>
        <v/>
      </c>
      <c r="HU112" s="12">
        <f>IFERROR(FE112/EX112,0)</f>
        <v/>
      </c>
      <c r="HV112" s="12">
        <f>IFERROR(FM112/FF112,0)</f>
        <v/>
      </c>
      <c r="HW112" s="12">
        <f>IFERROR(FU112/FN112,0)</f>
        <v/>
      </c>
      <c r="HX112" s="12">
        <f>IFERROR(GC112/FV112,0)</f>
        <v/>
      </c>
      <c r="HY112" s="12">
        <f>IFERROR(GK112/GD112,0)</f>
        <v/>
      </c>
      <c r="HZ112" s="12">
        <f>IFERROR(GS112/GL112,0)</f>
        <v/>
      </c>
      <c r="IA112" s="12">
        <f>IFERROR(HA112/GT112,0)</f>
        <v/>
      </c>
      <c r="IB112" s="12">
        <f>I112+Q112+Y112+AG112+AO112+AW112+BE112+BM112+BU112+CC112+CK112+CS112+DA112+DI112+DQ112+DY112+EG112+EO112+EW112+FE112+FM112+FU112+GC112+GK112+GS112+HA112</f>
        <v/>
      </c>
      <c r="IC112" s="12">
        <f>HB112+HC112+HD112+HE112+HF112+HG112+HH112+HI112+HJ112+HK112+HL112+HM112+HN112+HO112+HP112+HQ112+HR112+HS112+HT112+HU112+HV112+HW112+HX112+HY112+HZ112+IA112</f>
        <v/>
      </c>
    </row>
    <row r="113" ht="14" customHeight="1">
      <c r="A113" s="29" t="n">
        <v>23</v>
      </c>
      <c r="B113" s="9">
        <f>IF(23&gt;$B$6+$B$7,$G$7*$B$11^$H$7,$E$7*$B$9^$F$7)</f>
        <v/>
      </c>
      <c r="C113" s="9">
        <f>IF(23=1,0,$B$14)</f>
        <v/>
      </c>
      <c r="D113" s="9">
        <f>-($B$14+(IF(23&lt;=$B$6,$B$13*$B$15+$B$12,IF(23&lt;=$B$6+$B$7,$B$13*$B$15,$B$13)))/B113)</f>
        <v/>
      </c>
      <c r="E113" s="9">
        <f>IF(23=$B$6+$B$7,0,IF(23&gt;$B$6+$B$7,$B$13/B114,IF(23&gt;=$B$6,$B$13*$B$15/B114,($B$13*$B$15+$B$12)/B114)))</f>
        <v/>
      </c>
      <c r="F113" s="9">
        <f>IF(23=$B$6,-$K$7*$B$12,0)</f>
        <v/>
      </c>
      <c r="G113" s="9">
        <f>E113/(D113-C113*G112)</f>
        <v/>
      </c>
      <c r="H113" s="9">
        <f>(F113-C113*H112)/(D113-C113*G112)</f>
        <v/>
      </c>
      <c r="I113" s="16">
        <f>H113-G113*I114</f>
        <v/>
      </c>
      <c r="J113" s="9">
        <f>IF(23&gt;$B$6+$B$7,$G$8*$B$11^$H$8,$E$8*$B$9^$F$8)</f>
        <v/>
      </c>
      <c r="K113" s="9">
        <f>IF(23=1,0,$B$14)</f>
        <v/>
      </c>
      <c r="L113" s="9">
        <f>-($B$14+(IF(23&lt;=$B$6,$B$13*$B$15+$B$12,IF(23&lt;=$B$6+$B$7,$B$13*$B$15,$B$13)))/J113)</f>
        <v/>
      </c>
      <c r="M113" s="9">
        <f>IF(23=$B$6+$B$7,0,IF(23&gt;$B$6+$B$7,$B$13/J114,IF(23&gt;=$B$6,$B$13*$B$15/J114,($B$13*$B$15+$B$12)/J114)))</f>
        <v/>
      </c>
      <c r="N113" s="9">
        <f>IF(23=$B$6,-$K$8*$B$12,0)</f>
        <v/>
      </c>
      <c r="O113" s="9">
        <f>M113/(L113-K113*O112)</f>
        <v/>
      </c>
      <c r="P113" s="9">
        <f>(N113-K113*P112)/(L113-K113*O112)</f>
        <v/>
      </c>
      <c r="Q113" s="16">
        <f>P113-O113*Q114</f>
        <v/>
      </c>
      <c r="R113" s="9">
        <f>IF(23&gt;$B$6+$B$7,$G$9*$B$11^$H$9,$E$9*$B$9^$F$9)</f>
        <v/>
      </c>
      <c r="S113" s="9">
        <f>IF(23=1,0,$B$14)</f>
        <v/>
      </c>
      <c r="T113" s="9">
        <f>-($B$14+(IF(23&lt;=$B$6,$B$13*$B$15+$B$12,IF(23&lt;=$B$6+$B$7,$B$13*$B$15,$B$13)))/R113)</f>
        <v/>
      </c>
      <c r="U113" s="9">
        <f>IF(23=$B$6+$B$7,0,IF(23&gt;$B$6+$B$7,$B$13/R114,IF(23&gt;=$B$6,$B$13*$B$15/R114,($B$13*$B$15+$B$12)/R114)))</f>
        <v/>
      </c>
      <c r="V113" s="9">
        <f>IF(23=$B$6,-$K$9*$B$12,0)</f>
        <v/>
      </c>
      <c r="W113" s="9">
        <f>U113/(T113-S113*W112)</f>
        <v/>
      </c>
      <c r="X113" s="9">
        <f>(V113-S113*X112)/(T113-S113*W112)</f>
        <v/>
      </c>
      <c r="Y113" s="16">
        <f>X113-W113*Y114</f>
        <v/>
      </c>
      <c r="Z113" s="9">
        <f>IF(23&gt;$B$6+$B$7,$G$10*$B$11^$H$10,$E$10*$B$9^$F$10)</f>
        <v/>
      </c>
      <c r="AA113" s="9">
        <f>IF(23=1,0,$B$14)</f>
        <v/>
      </c>
      <c r="AB113" s="9">
        <f>-($B$14+(IF(23&lt;=$B$6,$B$13*$B$15+$B$12,IF(23&lt;=$B$6+$B$7,$B$13*$B$15,$B$13)))/Z113)</f>
        <v/>
      </c>
      <c r="AC113" s="9">
        <f>IF(23=$B$6+$B$7,0,IF(23&gt;$B$6+$B$7,$B$13/Z114,IF(23&gt;=$B$6,$B$13*$B$15/Z114,($B$13*$B$15+$B$12)/Z114)))</f>
        <v/>
      </c>
      <c r="AD113" s="9">
        <f>IF(23=$B$6,-$K$10*$B$12,0)</f>
        <v/>
      </c>
      <c r="AE113" s="9">
        <f>AC113/(AB113-AA113*AE112)</f>
        <v/>
      </c>
      <c r="AF113" s="9">
        <f>(AD113-AA113*AF112)/(AB113-AA113*AE112)</f>
        <v/>
      </c>
      <c r="AG113" s="16">
        <f>AF113-AE113*AG114</f>
        <v/>
      </c>
      <c r="AH113" s="9">
        <f>IF(23&gt;$B$6+$B$7,$G$11*$B$11^$H$11,$E$11*$B$9^$F$11)</f>
        <v/>
      </c>
      <c r="AI113" s="9">
        <f>IF(23=1,0,$B$14)</f>
        <v/>
      </c>
      <c r="AJ113" s="9">
        <f>-($B$14+(IF(23&lt;=$B$6,$B$13*$B$15+$B$12,IF(23&lt;=$B$6+$B$7,$B$13*$B$15,$B$13)))/AH113)</f>
        <v/>
      </c>
      <c r="AK113" s="9">
        <f>IF(23=$B$6+$B$7,0,IF(23&gt;$B$6+$B$7,$B$13/AH114,IF(23&gt;=$B$6,$B$13*$B$15/AH114,($B$13*$B$15+$B$12)/AH114)))</f>
        <v/>
      </c>
      <c r="AL113" s="9">
        <f>IF(23=$B$6,-$K$11*$B$12,0)</f>
        <v/>
      </c>
      <c r="AM113" s="9">
        <f>AK113/(AJ113-AI113*AM112)</f>
        <v/>
      </c>
      <c r="AN113" s="9">
        <f>(AL113-AI113*AN112)/(AJ113-AI113*AM112)</f>
        <v/>
      </c>
      <c r="AO113" s="16">
        <f>AN113-AM113*AO114</f>
        <v/>
      </c>
      <c r="AP113" s="9">
        <f>IF(23&gt;$B$6+$B$7,$G$12*$B$11^$H$12,$E$12*$B$9^$F$12)</f>
        <v/>
      </c>
      <c r="AQ113" s="9">
        <f>IF(23=1,0,$B$14)</f>
        <v/>
      </c>
      <c r="AR113" s="9">
        <f>-($B$14+(IF(23&lt;=$B$6,$B$13*$B$15+$B$12,IF(23&lt;=$B$6+$B$7,$B$13*$B$15,$B$13)))/AP113)</f>
        <v/>
      </c>
      <c r="AS113" s="9">
        <f>IF(23=$B$6+$B$7,0,IF(23&gt;$B$6+$B$7,$B$13/AP114,IF(23&gt;=$B$6,$B$13*$B$15/AP114,($B$13*$B$15+$B$12)/AP114)))</f>
        <v/>
      </c>
      <c r="AT113" s="9">
        <f>IF(23=$B$6,-$K$12*$B$12,0)</f>
        <v/>
      </c>
      <c r="AU113" s="9">
        <f>AS113/(AR113-AQ113*AU112)</f>
        <v/>
      </c>
      <c r="AV113" s="9">
        <f>(AT113-AQ113*AV112)/(AR113-AQ113*AU112)</f>
        <v/>
      </c>
      <c r="AW113" s="16">
        <f>AV113-AU113*AW114</f>
        <v/>
      </c>
      <c r="AX113" s="9">
        <f>IF(23&gt;$B$6+$B$7,$G$13*$B$11^$H$13,$E$13*$B$9^$F$13)</f>
        <v/>
      </c>
      <c r="AY113" s="9">
        <f>IF(23=1,0,$B$14)</f>
        <v/>
      </c>
      <c r="AZ113" s="9">
        <f>-($B$14+(IF(23&lt;=$B$6,$B$13*$B$15+$B$12,IF(23&lt;=$B$6+$B$7,$B$13*$B$15,$B$13)))/AX113)</f>
        <v/>
      </c>
      <c r="BA113" s="9">
        <f>IF(23=$B$6+$B$7,0,IF(23&gt;$B$6+$B$7,$B$13/AX114,IF(23&gt;=$B$6,$B$13*$B$15/AX114,($B$13*$B$15+$B$12)/AX114)))</f>
        <v/>
      </c>
      <c r="BB113" s="9">
        <f>IF(23=$B$6,-$K$13*$B$12,0)</f>
        <v/>
      </c>
      <c r="BC113" s="9">
        <f>BA113/(AZ113-AY113*BC112)</f>
        <v/>
      </c>
      <c r="BD113" s="9">
        <f>(BB113-AY113*BD112)/(AZ113-AY113*BC112)</f>
        <v/>
      </c>
      <c r="BE113" s="16">
        <f>BD113-BC113*BE114</f>
        <v/>
      </c>
      <c r="BF113" s="9">
        <f>IF(23&gt;$B$6+$B$7,$G$14*$B$11^$H$14,$E$14*$B$9^$F$14)</f>
        <v/>
      </c>
      <c r="BG113" s="9">
        <f>IF(23=1,0,$B$14)</f>
        <v/>
      </c>
      <c r="BH113" s="9">
        <f>-($B$14+(IF(23&lt;=$B$6,$B$13*$B$15+$B$12,IF(23&lt;=$B$6+$B$7,$B$13*$B$15,$B$13)))/BF113)</f>
        <v/>
      </c>
      <c r="BI113" s="9">
        <f>IF(23=$B$6+$B$7,0,IF(23&gt;$B$6+$B$7,$B$13/BF114,IF(23&gt;=$B$6,$B$13*$B$15/BF114,($B$13*$B$15+$B$12)/BF114)))</f>
        <v/>
      </c>
      <c r="BJ113" s="9">
        <f>IF(23=$B$6,-$K$14*$B$12,0)</f>
        <v/>
      </c>
      <c r="BK113" s="9">
        <f>BI113/(BH113-BG113*BK112)</f>
        <v/>
      </c>
      <c r="BL113" s="9">
        <f>(BJ113-BG113*BL112)/(BH113-BG113*BK112)</f>
        <v/>
      </c>
      <c r="BM113" s="16">
        <f>BL113-BK113*BM114</f>
        <v/>
      </c>
      <c r="BN113" s="9">
        <f>IF(23&gt;$B$6+$B$7,$G$15*$B$11^$H$15,$E$15*$B$9^$F$15)</f>
        <v/>
      </c>
      <c r="BO113" s="9">
        <f>IF(23=1,0,$B$14)</f>
        <v/>
      </c>
      <c r="BP113" s="9">
        <f>-($B$14+(IF(23&lt;=$B$6,$B$13*$B$15+$B$12,IF(23&lt;=$B$6+$B$7,$B$13*$B$15,$B$13)))/BN113)</f>
        <v/>
      </c>
      <c r="BQ113" s="9">
        <f>IF(23=$B$6+$B$7,0,IF(23&gt;$B$6+$B$7,$B$13/BN114,IF(23&gt;=$B$6,$B$13*$B$15/BN114,($B$13*$B$15+$B$12)/BN114)))</f>
        <v/>
      </c>
      <c r="BR113" s="9">
        <f>IF(23=$B$6,-$K$15*$B$12,0)</f>
        <v/>
      </c>
      <c r="BS113" s="9">
        <f>BQ113/(BP113-BO113*BS112)</f>
        <v/>
      </c>
      <c r="BT113" s="9">
        <f>(BR113-BO113*BT112)/(BP113-BO113*BS112)</f>
        <v/>
      </c>
      <c r="BU113" s="16">
        <f>BT113-BS113*BU114</f>
        <v/>
      </c>
      <c r="BV113" s="9">
        <f>IF(23&gt;$B$6+$B$7,$G$16*$B$11^$H$16,$E$16*$B$9^$F$16)</f>
        <v/>
      </c>
      <c r="BW113" s="9">
        <f>IF(23=1,0,$B$14)</f>
        <v/>
      </c>
      <c r="BX113" s="9">
        <f>-($B$14+(IF(23&lt;=$B$6,$B$13*$B$15+$B$12,IF(23&lt;=$B$6+$B$7,$B$13*$B$15,$B$13)))/BV113)</f>
        <v/>
      </c>
      <c r="BY113" s="9">
        <f>IF(23=$B$6+$B$7,0,IF(23&gt;$B$6+$B$7,$B$13/BV114,IF(23&gt;=$B$6,$B$13*$B$15/BV114,($B$13*$B$15+$B$12)/BV114)))</f>
        <v/>
      </c>
      <c r="BZ113" s="9">
        <f>IF(23=$B$6,-$K$16*$B$12,0)</f>
        <v/>
      </c>
      <c r="CA113" s="9">
        <f>BY113/(BX113-BW113*CA112)</f>
        <v/>
      </c>
      <c r="CB113" s="9">
        <f>(BZ113-BW113*CB112)/(BX113-BW113*CA112)</f>
        <v/>
      </c>
      <c r="CC113" s="16">
        <f>CB113-CA113*CC114</f>
        <v/>
      </c>
      <c r="CD113" s="9">
        <f>IF(23&gt;$B$6+$B$7,$G$17*$B$11^$H$17,$E$17*$B$9^$F$17)</f>
        <v/>
      </c>
      <c r="CE113" s="9">
        <f>IF(23=1,0,$B$14)</f>
        <v/>
      </c>
      <c r="CF113" s="9">
        <f>-($B$14+(IF(23&lt;=$B$6,$B$13*$B$15+$B$12,IF(23&lt;=$B$6+$B$7,$B$13*$B$15,$B$13)))/CD113)</f>
        <v/>
      </c>
      <c r="CG113" s="9">
        <f>IF(23=$B$6+$B$7,0,IF(23&gt;$B$6+$B$7,$B$13/CD114,IF(23&gt;=$B$6,$B$13*$B$15/CD114,($B$13*$B$15+$B$12)/CD114)))</f>
        <v/>
      </c>
      <c r="CH113" s="9">
        <f>IF(23=$B$6,-$K$17*$B$12,0)</f>
        <v/>
      </c>
      <c r="CI113" s="9">
        <f>CG113/(CF113-CE113*CI112)</f>
        <v/>
      </c>
      <c r="CJ113" s="9">
        <f>(CH113-CE113*CJ112)/(CF113-CE113*CI112)</f>
        <v/>
      </c>
      <c r="CK113" s="16">
        <f>CJ113-CI113*CK114</f>
        <v/>
      </c>
      <c r="CL113" s="9">
        <f>IF(23&gt;$B$6+$B$7,$G$18*$B$11^$H$18,$E$18*$B$9^$F$18)</f>
        <v/>
      </c>
      <c r="CM113" s="9">
        <f>IF(23=1,0,$B$14)</f>
        <v/>
      </c>
      <c r="CN113" s="9">
        <f>-($B$14+(IF(23&lt;=$B$6,$B$13*$B$15+$B$12,IF(23&lt;=$B$6+$B$7,$B$13*$B$15,$B$13)))/CL113)</f>
        <v/>
      </c>
      <c r="CO113" s="9">
        <f>IF(23=$B$6+$B$7,0,IF(23&gt;$B$6+$B$7,$B$13/CL114,IF(23&gt;=$B$6,$B$13*$B$15/CL114,($B$13*$B$15+$B$12)/CL114)))</f>
        <v/>
      </c>
      <c r="CP113" s="9">
        <f>IF(23=$B$6,-$K$18*$B$12,0)</f>
        <v/>
      </c>
      <c r="CQ113" s="9">
        <f>CO113/(CN113-CM113*CQ112)</f>
        <v/>
      </c>
      <c r="CR113" s="9">
        <f>(CP113-CM113*CR112)/(CN113-CM113*CQ112)</f>
        <v/>
      </c>
      <c r="CS113" s="16">
        <f>CR113-CQ113*CS114</f>
        <v/>
      </c>
      <c r="CT113" s="9">
        <f>IF(23&gt;$B$6+$B$7,$G$19*$B$11^$H$19,$E$19*$B$9^$F$19)</f>
        <v/>
      </c>
      <c r="CU113" s="9">
        <f>IF(23=1,0,$B$14)</f>
        <v/>
      </c>
      <c r="CV113" s="9">
        <f>-($B$14+(IF(23&lt;=$B$6,$B$13*$B$15+$B$12,IF(23&lt;=$B$6+$B$7,$B$13*$B$15,$B$13)))/CT113)</f>
        <v/>
      </c>
      <c r="CW113" s="9">
        <f>IF(23=$B$6+$B$7,0,IF(23&gt;$B$6+$B$7,$B$13/CT114,IF(23&gt;=$B$6,$B$13*$B$15/CT114,($B$13*$B$15+$B$12)/CT114)))</f>
        <v/>
      </c>
      <c r="CX113" s="9">
        <f>IF(23=$B$6,-$K$19*$B$12,0)</f>
        <v/>
      </c>
      <c r="CY113" s="9">
        <f>CW113/(CV113-CU113*CY112)</f>
        <v/>
      </c>
      <c r="CZ113" s="9">
        <f>(CX113-CU113*CZ112)/(CV113-CU113*CY112)</f>
        <v/>
      </c>
      <c r="DA113" s="16">
        <f>CZ113-CY113*DA114</f>
        <v/>
      </c>
      <c r="DB113" s="9">
        <f>IF(23&gt;$B$6+$B$7,$G$20*$B$11^$H$20,$E$20*$B$9^$F$20)</f>
        <v/>
      </c>
      <c r="DC113" s="9">
        <f>IF(23=1,0,$B$14)</f>
        <v/>
      </c>
      <c r="DD113" s="9">
        <f>-($B$14+(IF(23&lt;=$B$6,$B$13*$B$15+$B$12,IF(23&lt;=$B$6+$B$7,$B$13*$B$15,$B$13)))/DB113)</f>
        <v/>
      </c>
      <c r="DE113" s="9">
        <f>IF(23=$B$6+$B$7,0,IF(23&gt;$B$6+$B$7,$B$13/DB114,IF(23&gt;=$B$6,$B$13*$B$15/DB114,($B$13*$B$15+$B$12)/DB114)))</f>
        <v/>
      </c>
      <c r="DF113" s="9">
        <f>IF(23=$B$6,-$K$20*$B$12,0)</f>
        <v/>
      </c>
      <c r="DG113" s="9">
        <f>DE113/(DD113-DC113*DG112)</f>
        <v/>
      </c>
      <c r="DH113" s="9">
        <f>(DF113-DC113*DH112)/(DD113-DC113*DG112)</f>
        <v/>
      </c>
      <c r="DI113" s="16">
        <f>DH113-DG113*DI114</f>
        <v/>
      </c>
      <c r="DJ113" s="9">
        <f>IF(23&gt;$B$6+$B$7,$G$21*$B$11^$H$21,$E$21*$B$9^$F$21)</f>
        <v/>
      </c>
      <c r="DK113" s="9">
        <f>IF(23=1,0,$B$14)</f>
        <v/>
      </c>
      <c r="DL113" s="9">
        <f>-($B$14+(IF(23&lt;=$B$6,$B$13*$B$15+$B$12,IF(23&lt;=$B$6+$B$7,$B$13*$B$15,$B$13)))/DJ113)</f>
        <v/>
      </c>
      <c r="DM113" s="9">
        <f>IF(23=$B$6+$B$7,0,IF(23&gt;$B$6+$B$7,$B$13/DJ114,IF(23&gt;=$B$6,$B$13*$B$15/DJ114,($B$13*$B$15+$B$12)/DJ114)))</f>
        <v/>
      </c>
      <c r="DN113" s="9">
        <f>IF(23=$B$6,-$K$21*$B$12,0)</f>
        <v/>
      </c>
      <c r="DO113" s="9">
        <f>DM113/(DL113-DK113*DO112)</f>
        <v/>
      </c>
      <c r="DP113" s="9">
        <f>(DN113-DK113*DP112)/(DL113-DK113*DO112)</f>
        <v/>
      </c>
      <c r="DQ113" s="16">
        <f>DP113-DO113*DQ114</f>
        <v/>
      </c>
      <c r="DR113" s="9">
        <f>IF(23&gt;$B$6+$B$7,$G$22*$B$11^$H$22,$E$22*$B$9^$F$22)</f>
        <v/>
      </c>
      <c r="DS113" s="9">
        <f>IF(23=1,0,$B$14)</f>
        <v/>
      </c>
      <c r="DT113" s="9">
        <f>-($B$14+(IF(23&lt;=$B$6,$B$13*$B$15+$B$12,IF(23&lt;=$B$6+$B$7,$B$13*$B$15,$B$13)))/DR113)</f>
        <v/>
      </c>
      <c r="DU113" s="9">
        <f>IF(23=$B$6+$B$7,0,IF(23&gt;$B$6+$B$7,$B$13/DR114,IF(23&gt;=$B$6,$B$13*$B$15/DR114,($B$13*$B$15+$B$12)/DR114)))</f>
        <v/>
      </c>
      <c r="DV113" s="9">
        <f>IF(23=$B$6,-$K$22*$B$12,0)</f>
        <v/>
      </c>
      <c r="DW113" s="9">
        <f>DU113/(DT113-DS113*DW112)</f>
        <v/>
      </c>
      <c r="DX113" s="9">
        <f>(DV113-DS113*DX112)/(DT113-DS113*DW112)</f>
        <v/>
      </c>
      <c r="DY113" s="16">
        <f>DX113-DW113*DY114</f>
        <v/>
      </c>
      <c r="DZ113" s="9">
        <f>IF(23&gt;$B$6+$B$7,$G$23*$B$11^$H$23,$E$23*$B$9^$F$23)</f>
        <v/>
      </c>
      <c r="EA113" s="9">
        <f>IF(23=1,0,$B$14)</f>
        <v/>
      </c>
      <c r="EB113" s="9">
        <f>-($B$14+(IF(23&lt;=$B$6,$B$13*$B$15+$B$12,IF(23&lt;=$B$6+$B$7,$B$13*$B$15,$B$13)))/DZ113)</f>
        <v/>
      </c>
      <c r="EC113" s="9">
        <f>IF(23=$B$6+$B$7,0,IF(23&gt;$B$6+$B$7,$B$13/DZ114,IF(23&gt;=$B$6,$B$13*$B$15/DZ114,($B$13*$B$15+$B$12)/DZ114)))</f>
        <v/>
      </c>
      <c r="ED113" s="9">
        <f>IF(23=$B$6,-$K$23*$B$12,0)</f>
        <v/>
      </c>
      <c r="EE113" s="9">
        <f>EC113/(EB113-EA113*EE112)</f>
        <v/>
      </c>
      <c r="EF113" s="9">
        <f>(ED113-EA113*EF112)/(EB113-EA113*EE112)</f>
        <v/>
      </c>
      <c r="EG113" s="16">
        <f>EF113-EE113*EG114</f>
        <v/>
      </c>
      <c r="EH113" s="9">
        <f>IF(23&gt;$B$6+$B$7,$G$24*$B$11^$H$24,$E$24*$B$9^$F$24)</f>
        <v/>
      </c>
      <c r="EI113" s="9">
        <f>IF(23=1,0,$B$14)</f>
        <v/>
      </c>
      <c r="EJ113" s="9">
        <f>-($B$14+(IF(23&lt;=$B$6,$B$13*$B$15+$B$12,IF(23&lt;=$B$6+$B$7,$B$13*$B$15,$B$13)))/EH113)</f>
        <v/>
      </c>
      <c r="EK113" s="9">
        <f>IF(23=$B$6+$B$7,0,IF(23&gt;$B$6+$B$7,$B$13/EH114,IF(23&gt;=$B$6,$B$13*$B$15/EH114,($B$13*$B$15+$B$12)/EH114)))</f>
        <v/>
      </c>
      <c r="EL113" s="9">
        <f>IF(23=$B$6,-$K$24*$B$12,0)</f>
        <v/>
      </c>
      <c r="EM113" s="9">
        <f>EK113/(EJ113-EI113*EM112)</f>
        <v/>
      </c>
      <c r="EN113" s="9">
        <f>(EL113-EI113*EN112)/(EJ113-EI113*EM112)</f>
        <v/>
      </c>
      <c r="EO113" s="16">
        <f>EN113-EM113*EO114</f>
        <v/>
      </c>
      <c r="EP113" s="9">
        <f>IF(23&gt;$B$6+$B$7,$G$25*$B$11^$H$25,$E$25*$B$9^$F$25)</f>
        <v/>
      </c>
      <c r="EQ113" s="9">
        <f>IF(23=1,0,$B$14)</f>
        <v/>
      </c>
      <c r="ER113" s="9">
        <f>-($B$14+(IF(23&lt;=$B$6,$B$13*$B$15+$B$12,IF(23&lt;=$B$6+$B$7,$B$13*$B$15,$B$13)))/EP113)</f>
        <v/>
      </c>
      <c r="ES113" s="9">
        <f>IF(23=$B$6+$B$7,0,IF(23&gt;$B$6+$B$7,$B$13/EP114,IF(23&gt;=$B$6,$B$13*$B$15/EP114,($B$13*$B$15+$B$12)/EP114)))</f>
        <v/>
      </c>
      <c r="ET113" s="9">
        <f>IF(23=$B$6,-$K$25*$B$12,0)</f>
        <v/>
      </c>
      <c r="EU113" s="9">
        <f>ES113/(ER113-EQ113*EU112)</f>
        <v/>
      </c>
      <c r="EV113" s="9">
        <f>(ET113-EQ113*EV112)/(ER113-EQ113*EU112)</f>
        <v/>
      </c>
      <c r="EW113" s="16">
        <f>EV113-EU113*EW114</f>
        <v/>
      </c>
      <c r="EX113" s="9">
        <f>IF(23&gt;$B$6+$B$7,$G$26*$B$11^$H$26,$E$26*$B$9^$F$26)</f>
        <v/>
      </c>
      <c r="EY113" s="9">
        <f>IF(23=1,0,$B$14)</f>
        <v/>
      </c>
      <c r="EZ113" s="9">
        <f>-($B$14+(IF(23&lt;=$B$6,$B$13*$B$15+$B$12,IF(23&lt;=$B$6+$B$7,$B$13*$B$15,$B$13)))/EX113)</f>
        <v/>
      </c>
      <c r="FA113" s="9">
        <f>IF(23=$B$6+$B$7,0,IF(23&gt;$B$6+$B$7,$B$13/EX114,IF(23&gt;=$B$6,$B$13*$B$15/EX114,($B$13*$B$15+$B$12)/EX114)))</f>
        <v/>
      </c>
      <c r="FB113" s="9">
        <f>IF(23=$B$6,-$K$26*$B$12,0)</f>
        <v/>
      </c>
      <c r="FC113" s="9">
        <f>FA113/(EZ113-EY113*FC112)</f>
        <v/>
      </c>
      <c r="FD113" s="9">
        <f>(FB113-EY113*FD112)/(EZ113-EY113*FC112)</f>
        <v/>
      </c>
      <c r="FE113" s="16">
        <f>FD113-FC113*FE114</f>
        <v/>
      </c>
      <c r="FF113" s="9">
        <f>IF(23&gt;$B$6+$B$7,$G$27*$B$11^$H$27,$E$27*$B$9^$F$27)</f>
        <v/>
      </c>
      <c r="FG113" s="9">
        <f>IF(23=1,0,$B$14)</f>
        <v/>
      </c>
      <c r="FH113" s="9">
        <f>-($B$14+(IF(23&lt;=$B$6,$B$13*$B$15+$B$12,IF(23&lt;=$B$6+$B$7,$B$13*$B$15,$B$13)))/FF113)</f>
        <v/>
      </c>
      <c r="FI113" s="9">
        <f>IF(23=$B$6+$B$7,0,IF(23&gt;$B$6+$B$7,$B$13/FF114,IF(23&gt;=$B$6,$B$13*$B$15/FF114,($B$13*$B$15+$B$12)/FF114)))</f>
        <v/>
      </c>
      <c r="FJ113" s="9">
        <f>IF(23=$B$6,-$K$27*$B$12,0)</f>
        <v/>
      </c>
      <c r="FK113" s="9">
        <f>FI113/(FH113-FG113*FK112)</f>
        <v/>
      </c>
      <c r="FL113" s="9">
        <f>(FJ113-FG113*FL112)/(FH113-FG113*FK112)</f>
        <v/>
      </c>
      <c r="FM113" s="16">
        <f>FL113-FK113*FM114</f>
        <v/>
      </c>
      <c r="FN113" s="9">
        <f>IF(23&gt;$B$6+$B$7,$G$28*$B$11^$H$28,$E$28*$B$9^$F$28)</f>
        <v/>
      </c>
      <c r="FO113" s="9">
        <f>IF(23=1,0,$B$14)</f>
        <v/>
      </c>
      <c r="FP113" s="9">
        <f>-($B$14+(IF(23&lt;=$B$6,$B$13*$B$15+$B$12,IF(23&lt;=$B$6+$B$7,$B$13*$B$15,$B$13)))/FN113)</f>
        <v/>
      </c>
      <c r="FQ113" s="9">
        <f>IF(23=$B$6+$B$7,0,IF(23&gt;$B$6+$B$7,$B$13/FN114,IF(23&gt;=$B$6,$B$13*$B$15/FN114,($B$13*$B$15+$B$12)/FN114)))</f>
        <v/>
      </c>
      <c r="FR113" s="9">
        <f>IF(23=$B$6,-$K$28*$B$12,0)</f>
        <v/>
      </c>
      <c r="FS113" s="9">
        <f>FQ113/(FP113-FO113*FS112)</f>
        <v/>
      </c>
      <c r="FT113" s="9">
        <f>(FR113-FO113*FT112)/(FP113-FO113*FS112)</f>
        <v/>
      </c>
      <c r="FU113" s="16">
        <f>FT113-FS113*FU114</f>
        <v/>
      </c>
      <c r="FV113" s="9">
        <f>IF(23&gt;$B$6+$B$7,$G$29*$B$11^$H$29,$E$29*$B$9^$F$29)</f>
        <v/>
      </c>
      <c r="FW113" s="9">
        <f>IF(23=1,0,$B$14)</f>
        <v/>
      </c>
      <c r="FX113" s="9">
        <f>-($B$14+(IF(23&lt;=$B$6,$B$13*$B$15+$B$12,IF(23&lt;=$B$6+$B$7,$B$13*$B$15,$B$13)))/FV113)</f>
        <v/>
      </c>
      <c r="FY113" s="9">
        <f>IF(23=$B$6+$B$7,0,IF(23&gt;$B$6+$B$7,$B$13/FV114,IF(23&gt;=$B$6,$B$13*$B$15/FV114,($B$13*$B$15+$B$12)/FV114)))</f>
        <v/>
      </c>
      <c r="FZ113" s="9">
        <f>IF(23=$B$6,-$K$29*$B$12,0)</f>
        <v/>
      </c>
      <c r="GA113" s="9">
        <f>FY113/(FX113-FW113*GA112)</f>
        <v/>
      </c>
      <c r="GB113" s="9">
        <f>(FZ113-FW113*GB112)/(FX113-FW113*GA112)</f>
        <v/>
      </c>
      <c r="GC113" s="16">
        <f>GB113-GA113*GC114</f>
        <v/>
      </c>
      <c r="GD113" s="9">
        <f>IF(23&gt;$B$6+$B$7,$G$30*$B$11^$H$30,$E$30*$B$9^$F$30)</f>
        <v/>
      </c>
      <c r="GE113" s="9">
        <f>IF(23=1,0,$B$14)</f>
        <v/>
      </c>
      <c r="GF113" s="9">
        <f>-($B$14+(IF(23&lt;=$B$6,$B$13*$B$15+$B$12,IF(23&lt;=$B$6+$B$7,$B$13*$B$15,$B$13)))/GD113)</f>
        <v/>
      </c>
      <c r="GG113" s="9">
        <f>IF(23=$B$6+$B$7,0,IF(23&gt;$B$6+$B$7,$B$13/GD114,IF(23&gt;=$B$6,$B$13*$B$15/GD114,($B$13*$B$15+$B$12)/GD114)))</f>
        <v/>
      </c>
      <c r="GH113" s="9">
        <f>IF(23=$B$6,-$K$30*$B$12,0)</f>
        <v/>
      </c>
      <c r="GI113" s="9">
        <f>GG113/(GF113-GE113*GI112)</f>
        <v/>
      </c>
      <c r="GJ113" s="9">
        <f>(GH113-GE113*GJ112)/(GF113-GE113*GI112)</f>
        <v/>
      </c>
      <c r="GK113" s="16">
        <f>GJ113-GI113*GK114</f>
        <v/>
      </c>
      <c r="GL113" s="9">
        <f>IF(23&gt;$B$6+$B$7,$G$31*$B$11^$H$31,$E$31*$B$9^$F$31)</f>
        <v/>
      </c>
      <c r="GM113" s="9">
        <f>IF(23=1,0,$B$14)</f>
        <v/>
      </c>
      <c r="GN113" s="9">
        <f>-($B$14+(IF(23&lt;=$B$6,$B$13*$B$15+$B$12,IF(23&lt;=$B$6+$B$7,$B$13*$B$15,$B$13)))/GL113)</f>
        <v/>
      </c>
      <c r="GO113" s="9">
        <f>IF(23=$B$6+$B$7,0,IF(23&gt;$B$6+$B$7,$B$13/GL114,IF(23&gt;=$B$6,$B$13*$B$15/GL114,($B$13*$B$15+$B$12)/GL114)))</f>
        <v/>
      </c>
      <c r="GP113" s="9">
        <f>IF(23=$B$6,-$K$31*$B$12,0)</f>
        <v/>
      </c>
      <c r="GQ113" s="9">
        <f>GO113/(GN113-GM113*GQ112)</f>
        <v/>
      </c>
      <c r="GR113" s="9">
        <f>(GP113-GM113*GR112)/(GN113-GM113*GQ112)</f>
        <v/>
      </c>
      <c r="GS113" s="16">
        <f>GR113-GQ113*GS114</f>
        <v/>
      </c>
      <c r="GT113" s="9">
        <f>IF(23&gt;$B$6+$B$7,$G$32*$B$11^$H$32,$E$32*$B$9^$F$32)</f>
        <v/>
      </c>
      <c r="GU113" s="9">
        <f>IF(23=1,0,$B$14)</f>
        <v/>
      </c>
      <c r="GV113" s="9">
        <f>-($B$14+(IF(23&lt;=$B$6,$B$13*$B$15+$B$12,IF(23&lt;=$B$6+$B$7,$B$13*$B$15,$B$13)))/GT113)</f>
        <v/>
      </c>
      <c r="GW113" s="9">
        <f>IF(23=$B$6+$B$7,0,IF(23&gt;$B$6+$B$7,$B$13/GT114,IF(23&gt;=$B$6,$B$13*$B$15/GT114,($B$13*$B$15+$B$12)/GT114)))</f>
        <v/>
      </c>
      <c r="GX113" s="9">
        <f>IF(23=$B$6,-$K$32*$B$12,0)</f>
        <v/>
      </c>
      <c r="GY113" s="9">
        <f>GW113/(GV113-GU113*GY112)</f>
        <v/>
      </c>
      <c r="GZ113" s="9">
        <f>(GX113-GU113*GZ112)/(GV113-GU113*GY112)</f>
        <v/>
      </c>
      <c r="HA113" s="16">
        <f>GZ113-GY113*HA114</f>
        <v/>
      </c>
      <c r="HB113" s="12">
        <f>IFERROR(I113/B113,0)</f>
        <v/>
      </c>
      <c r="HC113" s="12">
        <f>IFERROR(Q113/J113,0)</f>
        <v/>
      </c>
      <c r="HD113" s="12">
        <f>IFERROR(Y113/R113,0)</f>
        <v/>
      </c>
      <c r="HE113" s="12">
        <f>IFERROR(AG113/Z113,0)</f>
        <v/>
      </c>
      <c r="HF113" s="12">
        <f>IFERROR(AO113/AH113,0)</f>
        <v/>
      </c>
      <c r="HG113" s="12">
        <f>IFERROR(AW113/AP113,0)</f>
        <v/>
      </c>
      <c r="HH113" s="12">
        <f>IFERROR(BE113/AX113,0)</f>
        <v/>
      </c>
      <c r="HI113" s="12">
        <f>IFERROR(BM113/BF113,0)</f>
        <v/>
      </c>
      <c r="HJ113" s="12">
        <f>IFERROR(BU113/BN113,0)</f>
        <v/>
      </c>
      <c r="HK113" s="12">
        <f>IFERROR(CC113/BV113,0)</f>
        <v/>
      </c>
      <c r="HL113" s="12">
        <f>IFERROR(CK113/CD113,0)</f>
        <v/>
      </c>
      <c r="HM113" s="12">
        <f>IFERROR(CS113/CL113,0)</f>
        <v/>
      </c>
      <c r="HN113" s="12">
        <f>IFERROR(DA113/CT113,0)</f>
        <v/>
      </c>
      <c r="HO113" s="12">
        <f>IFERROR(DI113/DB113,0)</f>
        <v/>
      </c>
      <c r="HP113" s="12">
        <f>IFERROR(DQ113/DJ113,0)</f>
        <v/>
      </c>
      <c r="HQ113" s="12">
        <f>IFERROR(DY113/DR113,0)</f>
        <v/>
      </c>
      <c r="HR113" s="12">
        <f>IFERROR(EG113/DZ113,0)</f>
        <v/>
      </c>
      <c r="HS113" s="12">
        <f>IFERROR(EO113/EH113,0)</f>
        <v/>
      </c>
      <c r="HT113" s="12">
        <f>IFERROR(EW113/EP113,0)</f>
        <v/>
      </c>
      <c r="HU113" s="12">
        <f>IFERROR(FE113/EX113,0)</f>
        <v/>
      </c>
      <c r="HV113" s="12">
        <f>IFERROR(FM113/FF113,0)</f>
        <v/>
      </c>
      <c r="HW113" s="12">
        <f>IFERROR(FU113/FN113,0)</f>
        <v/>
      </c>
      <c r="HX113" s="12">
        <f>IFERROR(GC113/FV113,0)</f>
        <v/>
      </c>
      <c r="HY113" s="12">
        <f>IFERROR(GK113/GD113,0)</f>
        <v/>
      </c>
      <c r="HZ113" s="12">
        <f>IFERROR(GS113/GL113,0)</f>
        <v/>
      </c>
      <c r="IA113" s="12">
        <f>IFERROR(HA113/GT113,0)</f>
        <v/>
      </c>
      <c r="IB113" s="12">
        <f>I113+Q113+Y113+AG113+AO113+AW113+BE113+BM113+BU113+CC113+CK113+CS113+DA113+DI113+DQ113+DY113+EG113+EO113+EW113+FE113+FM113+FU113+GC113+GK113+GS113+HA113</f>
        <v/>
      </c>
      <c r="IC113" s="12">
        <f>HB113+HC113+HD113+HE113+HF113+HG113+HH113+HI113+HJ113+HK113+HL113+HM113+HN113+HO113+HP113+HQ113+HR113+HS113+HT113+HU113+HV113+HW113+HX113+HY113+HZ113+IA113</f>
        <v/>
      </c>
    </row>
    <row r="114" ht="14" customHeight="1">
      <c r="A114" s="29" t="n">
        <v>24</v>
      </c>
      <c r="B114" s="9">
        <f>IF(24&gt;$B$6+$B$7,$G$7*$B$11^$H$7,$E$7*$B$9^$F$7)</f>
        <v/>
      </c>
      <c r="C114" s="9">
        <f>IF(24=1,0,$B$14)</f>
        <v/>
      </c>
      <c r="D114" s="9">
        <f>-($B$14+(IF(24&lt;=$B$6,$B$13*$B$15+$B$12,IF(24&lt;=$B$6+$B$7,$B$13*$B$15,$B$13)))/B114)</f>
        <v/>
      </c>
      <c r="E114" s="9">
        <f>IF(24=$B$6+$B$7,0,IF(24&gt;$B$6+$B$7,$B$13/B115,IF(24&gt;=$B$6,$B$13*$B$15/B115,($B$13*$B$15+$B$12)/B115)))</f>
        <v/>
      </c>
      <c r="F114" s="9">
        <f>IF(24=$B$6,-$K$7*$B$12,0)</f>
        <v/>
      </c>
      <c r="G114" s="9">
        <f>E114/(D114-C114*G113)</f>
        <v/>
      </c>
      <c r="H114" s="9">
        <f>(F114-C114*H113)/(D114-C114*G113)</f>
        <v/>
      </c>
      <c r="I114" s="16">
        <f>H114-G114*I115</f>
        <v/>
      </c>
      <c r="J114" s="9">
        <f>IF(24&gt;$B$6+$B$7,$G$8*$B$11^$H$8,$E$8*$B$9^$F$8)</f>
        <v/>
      </c>
      <c r="K114" s="9">
        <f>IF(24=1,0,$B$14)</f>
        <v/>
      </c>
      <c r="L114" s="9">
        <f>-($B$14+(IF(24&lt;=$B$6,$B$13*$B$15+$B$12,IF(24&lt;=$B$6+$B$7,$B$13*$B$15,$B$13)))/J114)</f>
        <v/>
      </c>
      <c r="M114" s="9">
        <f>IF(24=$B$6+$B$7,0,IF(24&gt;$B$6+$B$7,$B$13/J115,IF(24&gt;=$B$6,$B$13*$B$15/J115,($B$13*$B$15+$B$12)/J115)))</f>
        <v/>
      </c>
      <c r="N114" s="9">
        <f>IF(24=$B$6,-$K$8*$B$12,0)</f>
        <v/>
      </c>
      <c r="O114" s="9">
        <f>M114/(L114-K114*O113)</f>
        <v/>
      </c>
      <c r="P114" s="9">
        <f>(N114-K114*P113)/(L114-K114*O113)</f>
        <v/>
      </c>
      <c r="Q114" s="16">
        <f>P114-O114*Q115</f>
        <v/>
      </c>
      <c r="R114" s="9">
        <f>IF(24&gt;$B$6+$B$7,$G$9*$B$11^$H$9,$E$9*$B$9^$F$9)</f>
        <v/>
      </c>
      <c r="S114" s="9">
        <f>IF(24=1,0,$B$14)</f>
        <v/>
      </c>
      <c r="T114" s="9">
        <f>-($B$14+(IF(24&lt;=$B$6,$B$13*$B$15+$B$12,IF(24&lt;=$B$6+$B$7,$B$13*$B$15,$B$13)))/R114)</f>
        <v/>
      </c>
      <c r="U114" s="9">
        <f>IF(24=$B$6+$B$7,0,IF(24&gt;$B$6+$B$7,$B$13/R115,IF(24&gt;=$B$6,$B$13*$B$15/R115,($B$13*$B$15+$B$12)/R115)))</f>
        <v/>
      </c>
      <c r="V114" s="9">
        <f>IF(24=$B$6,-$K$9*$B$12,0)</f>
        <v/>
      </c>
      <c r="W114" s="9">
        <f>U114/(T114-S114*W113)</f>
        <v/>
      </c>
      <c r="X114" s="9">
        <f>(V114-S114*X113)/(T114-S114*W113)</f>
        <v/>
      </c>
      <c r="Y114" s="16">
        <f>X114-W114*Y115</f>
        <v/>
      </c>
      <c r="Z114" s="9">
        <f>IF(24&gt;$B$6+$B$7,$G$10*$B$11^$H$10,$E$10*$B$9^$F$10)</f>
        <v/>
      </c>
      <c r="AA114" s="9">
        <f>IF(24=1,0,$B$14)</f>
        <v/>
      </c>
      <c r="AB114" s="9">
        <f>-($B$14+(IF(24&lt;=$B$6,$B$13*$B$15+$B$12,IF(24&lt;=$B$6+$B$7,$B$13*$B$15,$B$13)))/Z114)</f>
        <v/>
      </c>
      <c r="AC114" s="9">
        <f>IF(24=$B$6+$B$7,0,IF(24&gt;$B$6+$B$7,$B$13/Z115,IF(24&gt;=$B$6,$B$13*$B$15/Z115,($B$13*$B$15+$B$12)/Z115)))</f>
        <v/>
      </c>
      <c r="AD114" s="9">
        <f>IF(24=$B$6,-$K$10*$B$12,0)</f>
        <v/>
      </c>
      <c r="AE114" s="9">
        <f>AC114/(AB114-AA114*AE113)</f>
        <v/>
      </c>
      <c r="AF114" s="9">
        <f>(AD114-AA114*AF113)/(AB114-AA114*AE113)</f>
        <v/>
      </c>
      <c r="AG114" s="16">
        <f>AF114-AE114*AG115</f>
        <v/>
      </c>
      <c r="AH114" s="9">
        <f>IF(24&gt;$B$6+$B$7,$G$11*$B$11^$H$11,$E$11*$B$9^$F$11)</f>
        <v/>
      </c>
      <c r="AI114" s="9">
        <f>IF(24=1,0,$B$14)</f>
        <v/>
      </c>
      <c r="AJ114" s="9">
        <f>-($B$14+(IF(24&lt;=$B$6,$B$13*$B$15+$B$12,IF(24&lt;=$B$6+$B$7,$B$13*$B$15,$B$13)))/AH114)</f>
        <v/>
      </c>
      <c r="AK114" s="9">
        <f>IF(24=$B$6+$B$7,0,IF(24&gt;$B$6+$B$7,$B$13/AH115,IF(24&gt;=$B$6,$B$13*$B$15/AH115,($B$13*$B$15+$B$12)/AH115)))</f>
        <v/>
      </c>
      <c r="AL114" s="9">
        <f>IF(24=$B$6,-$K$11*$B$12,0)</f>
        <v/>
      </c>
      <c r="AM114" s="9">
        <f>AK114/(AJ114-AI114*AM113)</f>
        <v/>
      </c>
      <c r="AN114" s="9">
        <f>(AL114-AI114*AN113)/(AJ114-AI114*AM113)</f>
        <v/>
      </c>
      <c r="AO114" s="16">
        <f>AN114-AM114*AO115</f>
        <v/>
      </c>
      <c r="AP114" s="9">
        <f>IF(24&gt;$B$6+$B$7,$G$12*$B$11^$H$12,$E$12*$B$9^$F$12)</f>
        <v/>
      </c>
      <c r="AQ114" s="9">
        <f>IF(24=1,0,$B$14)</f>
        <v/>
      </c>
      <c r="AR114" s="9">
        <f>-($B$14+(IF(24&lt;=$B$6,$B$13*$B$15+$B$12,IF(24&lt;=$B$6+$B$7,$B$13*$B$15,$B$13)))/AP114)</f>
        <v/>
      </c>
      <c r="AS114" s="9">
        <f>IF(24=$B$6+$B$7,0,IF(24&gt;$B$6+$B$7,$B$13/AP115,IF(24&gt;=$B$6,$B$13*$B$15/AP115,($B$13*$B$15+$B$12)/AP115)))</f>
        <v/>
      </c>
      <c r="AT114" s="9">
        <f>IF(24=$B$6,-$K$12*$B$12,0)</f>
        <v/>
      </c>
      <c r="AU114" s="9">
        <f>AS114/(AR114-AQ114*AU113)</f>
        <v/>
      </c>
      <c r="AV114" s="9">
        <f>(AT114-AQ114*AV113)/(AR114-AQ114*AU113)</f>
        <v/>
      </c>
      <c r="AW114" s="16">
        <f>AV114-AU114*AW115</f>
        <v/>
      </c>
      <c r="AX114" s="9">
        <f>IF(24&gt;$B$6+$B$7,$G$13*$B$11^$H$13,$E$13*$B$9^$F$13)</f>
        <v/>
      </c>
      <c r="AY114" s="9">
        <f>IF(24=1,0,$B$14)</f>
        <v/>
      </c>
      <c r="AZ114" s="9">
        <f>-($B$14+(IF(24&lt;=$B$6,$B$13*$B$15+$B$12,IF(24&lt;=$B$6+$B$7,$B$13*$B$15,$B$13)))/AX114)</f>
        <v/>
      </c>
      <c r="BA114" s="9">
        <f>IF(24=$B$6+$B$7,0,IF(24&gt;$B$6+$B$7,$B$13/AX115,IF(24&gt;=$B$6,$B$13*$B$15/AX115,($B$13*$B$15+$B$12)/AX115)))</f>
        <v/>
      </c>
      <c r="BB114" s="9">
        <f>IF(24=$B$6,-$K$13*$B$12,0)</f>
        <v/>
      </c>
      <c r="BC114" s="9">
        <f>BA114/(AZ114-AY114*BC113)</f>
        <v/>
      </c>
      <c r="BD114" s="9">
        <f>(BB114-AY114*BD113)/(AZ114-AY114*BC113)</f>
        <v/>
      </c>
      <c r="BE114" s="16">
        <f>BD114-BC114*BE115</f>
        <v/>
      </c>
      <c r="BF114" s="9">
        <f>IF(24&gt;$B$6+$B$7,$G$14*$B$11^$H$14,$E$14*$B$9^$F$14)</f>
        <v/>
      </c>
      <c r="BG114" s="9">
        <f>IF(24=1,0,$B$14)</f>
        <v/>
      </c>
      <c r="BH114" s="9">
        <f>-($B$14+(IF(24&lt;=$B$6,$B$13*$B$15+$B$12,IF(24&lt;=$B$6+$B$7,$B$13*$B$15,$B$13)))/BF114)</f>
        <v/>
      </c>
      <c r="BI114" s="9">
        <f>IF(24=$B$6+$B$7,0,IF(24&gt;$B$6+$B$7,$B$13/BF115,IF(24&gt;=$B$6,$B$13*$B$15/BF115,($B$13*$B$15+$B$12)/BF115)))</f>
        <v/>
      </c>
      <c r="BJ114" s="9">
        <f>IF(24=$B$6,-$K$14*$B$12,0)</f>
        <v/>
      </c>
      <c r="BK114" s="9">
        <f>BI114/(BH114-BG114*BK113)</f>
        <v/>
      </c>
      <c r="BL114" s="9">
        <f>(BJ114-BG114*BL113)/(BH114-BG114*BK113)</f>
        <v/>
      </c>
      <c r="BM114" s="16">
        <f>BL114-BK114*BM115</f>
        <v/>
      </c>
      <c r="BN114" s="9">
        <f>IF(24&gt;$B$6+$B$7,$G$15*$B$11^$H$15,$E$15*$B$9^$F$15)</f>
        <v/>
      </c>
      <c r="BO114" s="9">
        <f>IF(24=1,0,$B$14)</f>
        <v/>
      </c>
      <c r="BP114" s="9">
        <f>-($B$14+(IF(24&lt;=$B$6,$B$13*$B$15+$B$12,IF(24&lt;=$B$6+$B$7,$B$13*$B$15,$B$13)))/BN114)</f>
        <v/>
      </c>
      <c r="BQ114" s="9">
        <f>IF(24=$B$6+$B$7,0,IF(24&gt;$B$6+$B$7,$B$13/BN115,IF(24&gt;=$B$6,$B$13*$B$15/BN115,($B$13*$B$15+$B$12)/BN115)))</f>
        <v/>
      </c>
      <c r="BR114" s="9">
        <f>IF(24=$B$6,-$K$15*$B$12,0)</f>
        <v/>
      </c>
      <c r="BS114" s="9">
        <f>BQ114/(BP114-BO114*BS113)</f>
        <v/>
      </c>
      <c r="BT114" s="9">
        <f>(BR114-BO114*BT113)/(BP114-BO114*BS113)</f>
        <v/>
      </c>
      <c r="BU114" s="16">
        <f>BT114-BS114*BU115</f>
        <v/>
      </c>
      <c r="BV114" s="9">
        <f>IF(24&gt;$B$6+$B$7,$G$16*$B$11^$H$16,$E$16*$B$9^$F$16)</f>
        <v/>
      </c>
      <c r="BW114" s="9">
        <f>IF(24=1,0,$B$14)</f>
        <v/>
      </c>
      <c r="BX114" s="9">
        <f>-($B$14+(IF(24&lt;=$B$6,$B$13*$B$15+$B$12,IF(24&lt;=$B$6+$B$7,$B$13*$B$15,$B$13)))/BV114)</f>
        <v/>
      </c>
      <c r="BY114" s="9">
        <f>IF(24=$B$6+$B$7,0,IF(24&gt;$B$6+$B$7,$B$13/BV115,IF(24&gt;=$B$6,$B$13*$B$15/BV115,($B$13*$B$15+$B$12)/BV115)))</f>
        <v/>
      </c>
      <c r="BZ114" s="9">
        <f>IF(24=$B$6,-$K$16*$B$12,0)</f>
        <v/>
      </c>
      <c r="CA114" s="9">
        <f>BY114/(BX114-BW114*CA113)</f>
        <v/>
      </c>
      <c r="CB114" s="9">
        <f>(BZ114-BW114*CB113)/(BX114-BW114*CA113)</f>
        <v/>
      </c>
      <c r="CC114" s="16">
        <f>CB114-CA114*CC115</f>
        <v/>
      </c>
      <c r="CD114" s="9">
        <f>IF(24&gt;$B$6+$B$7,$G$17*$B$11^$H$17,$E$17*$B$9^$F$17)</f>
        <v/>
      </c>
      <c r="CE114" s="9">
        <f>IF(24=1,0,$B$14)</f>
        <v/>
      </c>
      <c r="CF114" s="9">
        <f>-($B$14+(IF(24&lt;=$B$6,$B$13*$B$15+$B$12,IF(24&lt;=$B$6+$B$7,$B$13*$B$15,$B$13)))/CD114)</f>
        <v/>
      </c>
      <c r="CG114" s="9">
        <f>IF(24=$B$6+$B$7,0,IF(24&gt;$B$6+$B$7,$B$13/CD115,IF(24&gt;=$B$6,$B$13*$B$15/CD115,($B$13*$B$15+$B$12)/CD115)))</f>
        <v/>
      </c>
      <c r="CH114" s="9">
        <f>IF(24=$B$6,-$K$17*$B$12,0)</f>
        <v/>
      </c>
      <c r="CI114" s="9">
        <f>CG114/(CF114-CE114*CI113)</f>
        <v/>
      </c>
      <c r="CJ114" s="9">
        <f>(CH114-CE114*CJ113)/(CF114-CE114*CI113)</f>
        <v/>
      </c>
      <c r="CK114" s="16">
        <f>CJ114-CI114*CK115</f>
        <v/>
      </c>
      <c r="CL114" s="9">
        <f>IF(24&gt;$B$6+$B$7,$G$18*$B$11^$H$18,$E$18*$B$9^$F$18)</f>
        <v/>
      </c>
      <c r="CM114" s="9">
        <f>IF(24=1,0,$B$14)</f>
        <v/>
      </c>
      <c r="CN114" s="9">
        <f>-($B$14+(IF(24&lt;=$B$6,$B$13*$B$15+$B$12,IF(24&lt;=$B$6+$B$7,$B$13*$B$15,$B$13)))/CL114)</f>
        <v/>
      </c>
      <c r="CO114" s="9">
        <f>IF(24=$B$6+$B$7,0,IF(24&gt;$B$6+$B$7,$B$13/CL115,IF(24&gt;=$B$6,$B$13*$B$15/CL115,($B$13*$B$15+$B$12)/CL115)))</f>
        <v/>
      </c>
      <c r="CP114" s="9">
        <f>IF(24=$B$6,-$K$18*$B$12,0)</f>
        <v/>
      </c>
      <c r="CQ114" s="9">
        <f>CO114/(CN114-CM114*CQ113)</f>
        <v/>
      </c>
      <c r="CR114" s="9">
        <f>(CP114-CM114*CR113)/(CN114-CM114*CQ113)</f>
        <v/>
      </c>
      <c r="CS114" s="16">
        <f>CR114-CQ114*CS115</f>
        <v/>
      </c>
      <c r="CT114" s="9">
        <f>IF(24&gt;$B$6+$B$7,$G$19*$B$11^$H$19,$E$19*$B$9^$F$19)</f>
        <v/>
      </c>
      <c r="CU114" s="9">
        <f>IF(24=1,0,$B$14)</f>
        <v/>
      </c>
      <c r="CV114" s="9">
        <f>-($B$14+(IF(24&lt;=$B$6,$B$13*$B$15+$B$12,IF(24&lt;=$B$6+$B$7,$B$13*$B$15,$B$13)))/CT114)</f>
        <v/>
      </c>
      <c r="CW114" s="9">
        <f>IF(24=$B$6+$B$7,0,IF(24&gt;$B$6+$B$7,$B$13/CT115,IF(24&gt;=$B$6,$B$13*$B$15/CT115,($B$13*$B$15+$B$12)/CT115)))</f>
        <v/>
      </c>
      <c r="CX114" s="9">
        <f>IF(24=$B$6,-$K$19*$B$12,0)</f>
        <v/>
      </c>
      <c r="CY114" s="9">
        <f>CW114/(CV114-CU114*CY113)</f>
        <v/>
      </c>
      <c r="CZ114" s="9">
        <f>(CX114-CU114*CZ113)/(CV114-CU114*CY113)</f>
        <v/>
      </c>
      <c r="DA114" s="16">
        <f>CZ114-CY114*DA115</f>
        <v/>
      </c>
      <c r="DB114" s="9">
        <f>IF(24&gt;$B$6+$B$7,$G$20*$B$11^$H$20,$E$20*$B$9^$F$20)</f>
        <v/>
      </c>
      <c r="DC114" s="9">
        <f>IF(24=1,0,$B$14)</f>
        <v/>
      </c>
      <c r="DD114" s="9">
        <f>-($B$14+(IF(24&lt;=$B$6,$B$13*$B$15+$B$12,IF(24&lt;=$B$6+$B$7,$B$13*$B$15,$B$13)))/DB114)</f>
        <v/>
      </c>
      <c r="DE114" s="9">
        <f>IF(24=$B$6+$B$7,0,IF(24&gt;$B$6+$B$7,$B$13/DB115,IF(24&gt;=$B$6,$B$13*$B$15/DB115,($B$13*$B$15+$B$12)/DB115)))</f>
        <v/>
      </c>
      <c r="DF114" s="9">
        <f>IF(24=$B$6,-$K$20*$B$12,0)</f>
        <v/>
      </c>
      <c r="DG114" s="9">
        <f>DE114/(DD114-DC114*DG113)</f>
        <v/>
      </c>
      <c r="DH114" s="9">
        <f>(DF114-DC114*DH113)/(DD114-DC114*DG113)</f>
        <v/>
      </c>
      <c r="DI114" s="16">
        <f>DH114-DG114*DI115</f>
        <v/>
      </c>
      <c r="DJ114" s="9">
        <f>IF(24&gt;$B$6+$B$7,$G$21*$B$11^$H$21,$E$21*$B$9^$F$21)</f>
        <v/>
      </c>
      <c r="DK114" s="9">
        <f>IF(24=1,0,$B$14)</f>
        <v/>
      </c>
      <c r="DL114" s="9">
        <f>-($B$14+(IF(24&lt;=$B$6,$B$13*$B$15+$B$12,IF(24&lt;=$B$6+$B$7,$B$13*$B$15,$B$13)))/DJ114)</f>
        <v/>
      </c>
      <c r="DM114" s="9">
        <f>IF(24=$B$6+$B$7,0,IF(24&gt;$B$6+$B$7,$B$13/DJ115,IF(24&gt;=$B$6,$B$13*$B$15/DJ115,($B$13*$B$15+$B$12)/DJ115)))</f>
        <v/>
      </c>
      <c r="DN114" s="9">
        <f>IF(24=$B$6,-$K$21*$B$12,0)</f>
        <v/>
      </c>
      <c r="DO114" s="9">
        <f>DM114/(DL114-DK114*DO113)</f>
        <v/>
      </c>
      <c r="DP114" s="9">
        <f>(DN114-DK114*DP113)/(DL114-DK114*DO113)</f>
        <v/>
      </c>
      <c r="DQ114" s="16">
        <f>DP114-DO114*DQ115</f>
        <v/>
      </c>
      <c r="DR114" s="9">
        <f>IF(24&gt;$B$6+$B$7,$G$22*$B$11^$H$22,$E$22*$B$9^$F$22)</f>
        <v/>
      </c>
      <c r="DS114" s="9">
        <f>IF(24=1,0,$B$14)</f>
        <v/>
      </c>
      <c r="DT114" s="9">
        <f>-($B$14+(IF(24&lt;=$B$6,$B$13*$B$15+$B$12,IF(24&lt;=$B$6+$B$7,$B$13*$B$15,$B$13)))/DR114)</f>
        <v/>
      </c>
      <c r="DU114" s="9">
        <f>IF(24=$B$6+$B$7,0,IF(24&gt;$B$6+$B$7,$B$13/DR115,IF(24&gt;=$B$6,$B$13*$B$15/DR115,($B$13*$B$15+$B$12)/DR115)))</f>
        <v/>
      </c>
      <c r="DV114" s="9">
        <f>IF(24=$B$6,-$K$22*$B$12,0)</f>
        <v/>
      </c>
      <c r="DW114" s="9">
        <f>DU114/(DT114-DS114*DW113)</f>
        <v/>
      </c>
      <c r="DX114" s="9">
        <f>(DV114-DS114*DX113)/(DT114-DS114*DW113)</f>
        <v/>
      </c>
      <c r="DY114" s="16">
        <f>DX114-DW114*DY115</f>
        <v/>
      </c>
      <c r="DZ114" s="9">
        <f>IF(24&gt;$B$6+$B$7,$G$23*$B$11^$H$23,$E$23*$B$9^$F$23)</f>
        <v/>
      </c>
      <c r="EA114" s="9">
        <f>IF(24=1,0,$B$14)</f>
        <v/>
      </c>
      <c r="EB114" s="9">
        <f>-($B$14+(IF(24&lt;=$B$6,$B$13*$B$15+$B$12,IF(24&lt;=$B$6+$B$7,$B$13*$B$15,$B$13)))/DZ114)</f>
        <v/>
      </c>
      <c r="EC114" s="9">
        <f>IF(24=$B$6+$B$7,0,IF(24&gt;$B$6+$B$7,$B$13/DZ115,IF(24&gt;=$B$6,$B$13*$B$15/DZ115,($B$13*$B$15+$B$12)/DZ115)))</f>
        <v/>
      </c>
      <c r="ED114" s="9">
        <f>IF(24=$B$6,-$K$23*$B$12,0)</f>
        <v/>
      </c>
      <c r="EE114" s="9">
        <f>EC114/(EB114-EA114*EE113)</f>
        <v/>
      </c>
      <c r="EF114" s="9">
        <f>(ED114-EA114*EF113)/(EB114-EA114*EE113)</f>
        <v/>
      </c>
      <c r="EG114" s="16">
        <f>EF114-EE114*EG115</f>
        <v/>
      </c>
      <c r="EH114" s="9">
        <f>IF(24&gt;$B$6+$B$7,$G$24*$B$11^$H$24,$E$24*$B$9^$F$24)</f>
        <v/>
      </c>
      <c r="EI114" s="9">
        <f>IF(24=1,0,$B$14)</f>
        <v/>
      </c>
      <c r="EJ114" s="9">
        <f>-($B$14+(IF(24&lt;=$B$6,$B$13*$B$15+$B$12,IF(24&lt;=$B$6+$B$7,$B$13*$B$15,$B$13)))/EH114)</f>
        <v/>
      </c>
      <c r="EK114" s="9">
        <f>IF(24=$B$6+$B$7,0,IF(24&gt;$B$6+$B$7,$B$13/EH115,IF(24&gt;=$B$6,$B$13*$B$15/EH115,($B$13*$B$15+$B$12)/EH115)))</f>
        <v/>
      </c>
      <c r="EL114" s="9">
        <f>IF(24=$B$6,-$K$24*$B$12,0)</f>
        <v/>
      </c>
      <c r="EM114" s="9">
        <f>EK114/(EJ114-EI114*EM113)</f>
        <v/>
      </c>
      <c r="EN114" s="9">
        <f>(EL114-EI114*EN113)/(EJ114-EI114*EM113)</f>
        <v/>
      </c>
      <c r="EO114" s="16">
        <f>EN114-EM114*EO115</f>
        <v/>
      </c>
      <c r="EP114" s="9">
        <f>IF(24&gt;$B$6+$B$7,$G$25*$B$11^$H$25,$E$25*$B$9^$F$25)</f>
        <v/>
      </c>
      <c r="EQ114" s="9">
        <f>IF(24=1,0,$B$14)</f>
        <v/>
      </c>
      <c r="ER114" s="9">
        <f>-($B$14+(IF(24&lt;=$B$6,$B$13*$B$15+$B$12,IF(24&lt;=$B$6+$B$7,$B$13*$B$15,$B$13)))/EP114)</f>
        <v/>
      </c>
      <c r="ES114" s="9">
        <f>IF(24=$B$6+$B$7,0,IF(24&gt;$B$6+$B$7,$B$13/EP115,IF(24&gt;=$B$6,$B$13*$B$15/EP115,($B$13*$B$15+$B$12)/EP115)))</f>
        <v/>
      </c>
      <c r="ET114" s="9">
        <f>IF(24=$B$6,-$K$25*$B$12,0)</f>
        <v/>
      </c>
      <c r="EU114" s="9">
        <f>ES114/(ER114-EQ114*EU113)</f>
        <v/>
      </c>
      <c r="EV114" s="9">
        <f>(ET114-EQ114*EV113)/(ER114-EQ114*EU113)</f>
        <v/>
      </c>
      <c r="EW114" s="16">
        <f>EV114-EU114*EW115</f>
        <v/>
      </c>
      <c r="EX114" s="9">
        <f>IF(24&gt;$B$6+$B$7,$G$26*$B$11^$H$26,$E$26*$B$9^$F$26)</f>
        <v/>
      </c>
      <c r="EY114" s="9">
        <f>IF(24=1,0,$B$14)</f>
        <v/>
      </c>
      <c r="EZ114" s="9">
        <f>-($B$14+(IF(24&lt;=$B$6,$B$13*$B$15+$B$12,IF(24&lt;=$B$6+$B$7,$B$13*$B$15,$B$13)))/EX114)</f>
        <v/>
      </c>
      <c r="FA114" s="9">
        <f>IF(24=$B$6+$B$7,0,IF(24&gt;$B$6+$B$7,$B$13/EX115,IF(24&gt;=$B$6,$B$13*$B$15/EX115,($B$13*$B$15+$B$12)/EX115)))</f>
        <v/>
      </c>
      <c r="FB114" s="9">
        <f>IF(24=$B$6,-$K$26*$B$12,0)</f>
        <v/>
      </c>
      <c r="FC114" s="9">
        <f>FA114/(EZ114-EY114*FC113)</f>
        <v/>
      </c>
      <c r="FD114" s="9">
        <f>(FB114-EY114*FD113)/(EZ114-EY114*FC113)</f>
        <v/>
      </c>
      <c r="FE114" s="16">
        <f>FD114-FC114*FE115</f>
        <v/>
      </c>
      <c r="FF114" s="9">
        <f>IF(24&gt;$B$6+$B$7,$G$27*$B$11^$H$27,$E$27*$B$9^$F$27)</f>
        <v/>
      </c>
      <c r="FG114" s="9">
        <f>IF(24=1,0,$B$14)</f>
        <v/>
      </c>
      <c r="FH114" s="9">
        <f>-($B$14+(IF(24&lt;=$B$6,$B$13*$B$15+$B$12,IF(24&lt;=$B$6+$B$7,$B$13*$B$15,$B$13)))/FF114)</f>
        <v/>
      </c>
      <c r="FI114" s="9">
        <f>IF(24=$B$6+$B$7,0,IF(24&gt;$B$6+$B$7,$B$13/FF115,IF(24&gt;=$B$6,$B$13*$B$15/FF115,($B$13*$B$15+$B$12)/FF115)))</f>
        <v/>
      </c>
      <c r="FJ114" s="9">
        <f>IF(24=$B$6,-$K$27*$B$12,0)</f>
        <v/>
      </c>
      <c r="FK114" s="9">
        <f>FI114/(FH114-FG114*FK113)</f>
        <v/>
      </c>
      <c r="FL114" s="9">
        <f>(FJ114-FG114*FL113)/(FH114-FG114*FK113)</f>
        <v/>
      </c>
      <c r="FM114" s="16">
        <f>FL114-FK114*FM115</f>
        <v/>
      </c>
      <c r="FN114" s="9">
        <f>IF(24&gt;$B$6+$B$7,$G$28*$B$11^$H$28,$E$28*$B$9^$F$28)</f>
        <v/>
      </c>
      <c r="FO114" s="9">
        <f>IF(24=1,0,$B$14)</f>
        <v/>
      </c>
      <c r="FP114" s="9">
        <f>-($B$14+(IF(24&lt;=$B$6,$B$13*$B$15+$B$12,IF(24&lt;=$B$6+$B$7,$B$13*$B$15,$B$13)))/FN114)</f>
        <v/>
      </c>
      <c r="FQ114" s="9">
        <f>IF(24=$B$6+$B$7,0,IF(24&gt;$B$6+$B$7,$B$13/FN115,IF(24&gt;=$B$6,$B$13*$B$15/FN115,($B$13*$B$15+$B$12)/FN115)))</f>
        <v/>
      </c>
      <c r="FR114" s="9">
        <f>IF(24=$B$6,-$K$28*$B$12,0)</f>
        <v/>
      </c>
      <c r="FS114" s="9">
        <f>FQ114/(FP114-FO114*FS113)</f>
        <v/>
      </c>
      <c r="FT114" s="9">
        <f>(FR114-FO114*FT113)/(FP114-FO114*FS113)</f>
        <v/>
      </c>
      <c r="FU114" s="16">
        <f>FT114-FS114*FU115</f>
        <v/>
      </c>
      <c r="FV114" s="9">
        <f>IF(24&gt;$B$6+$B$7,$G$29*$B$11^$H$29,$E$29*$B$9^$F$29)</f>
        <v/>
      </c>
      <c r="FW114" s="9">
        <f>IF(24=1,0,$B$14)</f>
        <v/>
      </c>
      <c r="FX114" s="9">
        <f>-($B$14+(IF(24&lt;=$B$6,$B$13*$B$15+$B$12,IF(24&lt;=$B$6+$B$7,$B$13*$B$15,$B$13)))/FV114)</f>
        <v/>
      </c>
      <c r="FY114" s="9">
        <f>IF(24=$B$6+$B$7,0,IF(24&gt;$B$6+$B$7,$B$13/FV115,IF(24&gt;=$B$6,$B$13*$B$15/FV115,($B$13*$B$15+$B$12)/FV115)))</f>
        <v/>
      </c>
      <c r="FZ114" s="9">
        <f>IF(24=$B$6,-$K$29*$B$12,0)</f>
        <v/>
      </c>
      <c r="GA114" s="9">
        <f>FY114/(FX114-FW114*GA113)</f>
        <v/>
      </c>
      <c r="GB114" s="9">
        <f>(FZ114-FW114*GB113)/(FX114-FW114*GA113)</f>
        <v/>
      </c>
      <c r="GC114" s="16">
        <f>GB114-GA114*GC115</f>
        <v/>
      </c>
      <c r="GD114" s="9">
        <f>IF(24&gt;$B$6+$B$7,$G$30*$B$11^$H$30,$E$30*$B$9^$F$30)</f>
        <v/>
      </c>
      <c r="GE114" s="9">
        <f>IF(24=1,0,$B$14)</f>
        <v/>
      </c>
      <c r="GF114" s="9">
        <f>-($B$14+(IF(24&lt;=$B$6,$B$13*$B$15+$B$12,IF(24&lt;=$B$6+$B$7,$B$13*$B$15,$B$13)))/GD114)</f>
        <v/>
      </c>
      <c r="GG114" s="9">
        <f>IF(24=$B$6+$B$7,0,IF(24&gt;$B$6+$B$7,$B$13/GD115,IF(24&gt;=$B$6,$B$13*$B$15/GD115,($B$13*$B$15+$B$12)/GD115)))</f>
        <v/>
      </c>
      <c r="GH114" s="9">
        <f>IF(24=$B$6,-$K$30*$B$12,0)</f>
        <v/>
      </c>
      <c r="GI114" s="9">
        <f>GG114/(GF114-GE114*GI113)</f>
        <v/>
      </c>
      <c r="GJ114" s="9">
        <f>(GH114-GE114*GJ113)/(GF114-GE114*GI113)</f>
        <v/>
      </c>
      <c r="GK114" s="16">
        <f>GJ114-GI114*GK115</f>
        <v/>
      </c>
      <c r="GL114" s="9">
        <f>IF(24&gt;$B$6+$B$7,$G$31*$B$11^$H$31,$E$31*$B$9^$F$31)</f>
        <v/>
      </c>
      <c r="GM114" s="9">
        <f>IF(24=1,0,$B$14)</f>
        <v/>
      </c>
      <c r="GN114" s="9">
        <f>-($B$14+(IF(24&lt;=$B$6,$B$13*$B$15+$B$12,IF(24&lt;=$B$6+$B$7,$B$13*$B$15,$B$13)))/GL114)</f>
        <v/>
      </c>
      <c r="GO114" s="9">
        <f>IF(24=$B$6+$B$7,0,IF(24&gt;$B$6+$B$7,$B$13/GL115,IF(24&gt;=$B$6,$B$13*$B$15/GL115,($B$13*$B$15+$B$12)/GL115)))</f>
        <v/>
      </c>
      <c r="GP114" s="9">
        <f>IF(24=$B$6,-$K$31*$B$12,0)</f>
        <v/>
      </c>
      <c r="GQ114" s="9">
        <f>GO114/(GN114-GM114*GQ113)</f>
        <v/>
      </c>
      <c r="GR114" s="9">
        <f>(GP114-GM114*GR113)/(GN114-GM114*GQ113)</f>
        <v/>
      </c>
      <c r="GS114" s="16">
        <f>GR114-GQ114*GS115</f>
        <v/>
      </c>
      <c r="GT114" s="9">
        <f>IF(24&gt;$B$6+$B$7,$G$32*$B$11^$H$32,$E$32*$B$9^$F$32)</f>
        <v/>
      </c>
      <c r="GU114" s="9">
        <f>IF(24=1,0,$B$14)</f>
        <v/>
      </c>
      <c r="GV114" s="9">
        <f>-($B$14+(IF(24&lt;=$B$6,$B$13*$B$15+$B$12,IF(24&lt;=$B$6+$B$7,$B$13*$B$15,$B$13)))/GT114)</f>
        <v/>
      </c>
      <c r="GW114" s="9">
        <f>IF(24=$B$6+$B$7,0,IF(24&gt;$B$6+$B$7,$B$13/GT115,IF(24&gt;=$B$6,$B$13*$B$15/GT115,($B$13*$B$15+$B$12)/GT115)))</f>
        <v/>
      </c>
      <c r="GX114" s="9">
        <f>IF(24=$B$6,-$K$32*$B$12,0)</f>
        <v/>
      </c>
      <c r="GY114" s="9">
        <f>GW114/(GV114-GU114*GY113)</f>
        <v/>
      </c>
      <c r="GZ114" s="9">
        <f>(GX114-GU114*GZ113)/(GV114-GU114*GY113)</f>
        <v/>
      </c>
      <c r="HA114" s="16">
        <f>GZ114-GY114*HA115</f>
        <v/>
      </c>
      <c r="HB114" s="12">
        <f>IFERROR(I114/B114,0)</f>
        <v/>
      </c>
      <c r="HC114" s="12">
        <f>IFERROR(Q114/J114,0)</f>
        <v/>
      </c>
      <c r="HD114" s="12">
        <f>IFERROR(Y114/R114,0)</f>
        <v/>
      </c>
      <c r="HE114" s="12">
        <f>IFERROR(AG114/Z114,0)</f>
        <v/>
      </c>
      <c r="HF114" s="12">
        <f>IFERROR(AO114/AH114,0)</f>
        <v/>
      </c>
      <c r="HG114" s="12">
        <f>IFERROR(AW114/AP114,0)</f>
        <v/>
      </c>
      <c r="HH114" s="12">
        <f>IFERROR(BE114/AX114,0)</f>
        <v/>
      </c>
      <c r="HI114" s="12">
        <f>IFERROR(BM114/BF114,0)</f>
        <v/>
      </c>
      <c r="HJ114" s="12">
        <f>IFERROR(BU114/BN114,0)</f>
        <v/>
      </c>
      <c r="HK114" s="12">
        <f>IFERROR(CC114/BV114,0)</f>
        <v/>
      </c>
      <c r="HL114" s="12">
        <f>IFERROR(CK114/CD114,0)</f>
        <v/>
      </c>
      <c r="HM114" s="12">
        <f>IFERROR(CS114/CL114,0)</f>
        <v/>
      </c>
      <c r="HN114" s="12">
        <f>IFERROR(DA114/CT114,0)</f>
        <v/>
      </c>
      <c r="HO114" s="12">
        <f>IFERROR(DI114/DB114,0)</f>
        <v/>
      </c>
      <c r="HP114" s="12">
        <f>IFERROR(DQ114/DJ114,0)</f>
        <v/>
      </c>
      <c r="HQ114" s="12">
        <f>IFERROR(DY114/DR114,0)</f>
        <v/>
      </c>
      <c r="HR114" s="12">
        <f>IFERROR(EG114/DZ114,0)</f>
        <v/>
      </c>
      <c r="HS114" s="12">
        <f>IFERROR(EO114/EH114,0)</f>
        <v/>
      </c>
      <c r="HT114" s="12">
        <f>IFERROR(EW114/EP114,0)</f>
        <v/>
      </c>
      <c r="HU114" s="12">
        <f>IFERROR(FE114/EX114,0)</f>
        <v/>
      </c>
      <c r="HV114" s="12">
        <f>IFERROR(FM114/FF114,0)</f>
        <v/>
      </c>
      <c r="HW114" s="12">
        <f>IFERROR(FU114/FN114,0)</f>
        <v/>
      </c>
      <c r="HX114" s="12">
        <f>IFERROR(GC114/FV114,0)</f>
        <v/>
      </c>
      <c r="HY114" s="12">
        <f>IFERROR(GK114/GD114,0)</f>
        <v/>
      </c>
      <c r="HZ114" s="12">
        <f>IFERROR(GS114/GL114,0)</f>
        <v/>
      </c>
      <c r="IA114" s="12">
        <f>IFERROR(HA114/GT114,0)</f>
        <v/>
      </c>
      <c r="IB114" s="12">
        <f>I114+Q114+Y114+AG114+AO114+AW114+BE114+BM114+BU114+CC114+CK114+CS114+DA114+DI114+DQ114+DY114+EG114+EO114+EW114+FE114+FM114+FU114+GC114+GK114+GS114+HA114</f>
        <v/>
      </c>
      <c r="IC114" s="12">
        <f>HB114+HC114+HD114+HE114+HF114+HG114+HH114+HI114+HJ114+HK114+HL114+HM114+HN114+HO114+HP114+HQ114+HR114+HS114+HT114+HU114+HV114+HW114+HX114+HY114+HZ114+IA114</f>
        <v/>
      </c>
    </row>
    <row r="115" ht="14" customHeight="1">
      <c r="A115" s="29" t="n">
        <v>25</v>
      </c>
      <c r="B115" s="9">
        <f>IF(25&gt;$B$6+$B$7,$G$7*$B$11^$H$7,$E$7*$B$9^$F$7)</f>
        <v/>
      </c>
      <c r="C115" s="9">
        <f>IF(25=1,0,$B$14)</f>
        <v/>
      </c>
      <c r="D115" s="9">
        <f>-($B$14+(IF(25&lt;=$B$6,$B$13*$B$15+$B$12,IF(25&lt;=$B$6+$B$7,$B$13*$B$15,$B$13)))/B115)</f>
        <v/>
      </c>
      <c r="E115" s="9">
        <f>0</f>
        <v/>
      </c>
      <c r="F115" s="9">
        <f>IF(25=$B$6,-$K$7*$B$12,0)</f>
        <v/>
      </c>
      <c r="G115" s="9">
        <f>E115/(D115-C115*G114)</f>
        <v/>
      </c>
      <c r="H115" s="9">
        <f>(F115-C115*H114)/(D115-C115*G114)</f>
        <v/>
      </c>
      <c r="I115" s="16">
        <f>H115</f>
        <v/>
      </c>
      <c r="J115" s="9">
        <f>IF(25&gt;$B$6+$B$7,$G$8*$B$11^$H$8,$E$8*$B$9^$F$8)</f>
        <v/>
      </c>
      <c r="K115" s="9">
        <f>IF(25=1,0,$B$14)</f>
        <v/>
      </c>
      <c r="L115" s="9">
        <f>-($B$14+(IF(25&lt;=$B$6,$B$13*$B$15+$B$12,IF(25&lt;=$B$6+$B$7,$B$13*$B$15,$B$13)))/J115)</f>
        <v/>
      </c>
      <c r="M115" s="9">
        <f>0</f>
        <v/>
      </c>
      <c r="N115" s="9">
        <f>IF(25=$B$6,-$K$8*$B$12,0)</f>
        <v/>
      </c>
      <c r="O115" s="9">
        <f>M115/(L115-K115*O114)</f>
        <v/>
      </c>
      <c r="P115" s="9">
        <f>(N115-K115*P114)/(L115-K115*O114)</f>
        <v/>
      </c>
      <c r="Q115" s="16">
        <f>P115</f>
        <v/>
      </c>
      <c r="R115" s="9">
        <f>IF(25&gt;$B$6+$B$7,$G$9*$B$11^$H$9,$E$9*$B$9^$F$9)</f>
        <v/>
      </c>
      <c r="S115" s="9">
        <f>IF(25=1,0,$B$14)</f>
        <v/>
      </c>
      <c r="T115" s="9">
        <f>-($B$14+(IF(25&lt;=$B$6,$B$13*$B$15+$B$12,IF(25&lt;=$B$6+$B$7,$B$13*$B$15,$B$13)))/R115)</f>
        <v/>
      </c>
      <c r="U115" s="9">
        <f>0</f>
        <v/>
      </c>
      <c r="V115" s="9">
        <f>IF(25=$B$6,-$K$9*$B$12,0)</f>
        <v/>
      </c>
      <c r="W115" s="9">
        <f>U115/(T115-S115*W114)</f>
        <v/>
      </c>
      <c r="X115" s="9">
        <f>(V115-S115*X114)/(T115-S115*W114)</f>
        <v/>
      </c>
      <c r="Y115" s="16">
        <f>X115</f>
        <v/>
      </c>
      <c r="Z115" s="9">
        <f>IF(25&gt;$B$6+$B$7,$G$10*$B$11^$H$10,$E$10*$B$9^$F$10)</f>
        <v/>
      </c>
      <c r="AA115" s="9">
        <f>IF(25=1,0,$B$14)</f>
        <v/>
      </c>
      <c r="AB115" s="9">
        <f>-($B$14+(IF(25&lt;=$B$6,$B$13*$B$15+$B$12,IF(25&lt;=$B$6+$B$7,$B$13*$B$15,$B$13)))/Z115)</f>
        <v/>
      </c>
      <c r="AC115" s="9">
        <f>0</f>
        <v/>
      </c>
      <c r="AD115" s="9">
        <f>IF(25=$B$6,-$K$10*$B$12,0)</f>
        <v/>
      </c>
      <c r="AE115" s="9">
        <f>AC115/(AB115-AA115*AE114)</f>
        <v/>
      </c>
      <c r="AF115" s="9">
        <f>(AD115-AA115*AF114)/(AB115-AA115*AE114)</f>
        <v/>
      </c>
      <c r="AG115" s="16">
        <f>AF115</f>
        <v/>
      </c>
      <c r="AH115" s="9">
        <f>IF(25&gt;$B$6+$B$7,$G$11*$B$11^$H$11,$E$11*$B$9^$F$11)</f>
        <v/>
      </c>
      <c r="AI115" s="9">
        <f>IF(25=1,0,$B$14)</f>
        <v/>
      </c>
      <c r="AJ115" s="9">
        <f>-($B$14+(IF(25&lt;=$B$6,$B$13*$B$15+$B$12,IF(25&lt;=$B$6+$B$7,$B$13*$B$15,$B$13)))/AH115)</f>
        <v/>
      </c>
      <c r="AK115" s="9">
        <f>0</f>
        <v/>
      </c>
      <c r="AL115" s="9">
        <f>IF(25=$B$6,-$K$11*$B$12,0)</f>
        <v/>
      </c>
      <c r="AM115" s="9">
        <f>AK115/(AJ115-AI115*AM114)</f>
        <v/>
      </c>
      <c r="AN115" s="9">
        <f>(AL115-AI115*AN114)/(AJ115-AI115*AM114)</f>
        <v/>
      </c>
      <c r="AO115" s="16">
        <f>AN115</f>
        <v/>
      </c>
      <c r="AP115" s="9">
        <f>IF(25&gt;$B$6+$B$7,$G$12*$B$11^$H$12,$E$12*$B$9^$F$12)</f>
        <v/>
      </c>
      <c r="AQ115" s="9">
        <f>IF(25=1,0,$B$14)</f>
        <v/>
      </c>
      <c r="AR115" s="9">
        <f>-($B$14+(IF(25&lt;=$B$6,$B$13*$B$15+$B$12,IF(25&lt;=$B$6+$B$7,$B$13*$B$15,$B$13)))/AP115)</f>
        <v/>
      </c>
      <c r="AS115" s="9">
        <f>0</f>
        <v/>
      </c>
      <c r="AT115" s="9">
        <f>IF(25=$B$6,-$K$12*$B$12,0)</f>
        <v/>
      </c>
      <c r="AU115" s="9">
        <f>AS115/(AR115-AQ115*AU114)</f>
        <v/>
      </c>
      <c r="AV115" s="9">
        <f>(AT115-AQ115*AV114)/(AR115-AQ115*AU114)</f>
        <v/>
      </c>
      <c r="AW115" s="16">
        <f>AV115</f>
        <v/>
      </c>
      <c r="AX115" s="9">
        <f>IF(25&gt;$B$6+$B$7,$G$13*$B$11^$H$13,$E$13*$B$9^$F$13)</f>
        <v/>
      </c>
      <c r="AY115" s="9">
        <f>IF(25=1,0,$B$14)</f>
        <v/>
      </c>
      <c r="AZ115" s="9">
        <f>-($B$14+(IF(25&lt;=$B$6,$B$13*$B$15+$B$12,IF(25&lt;=$B$6+$B$7,$B$13*$B$15,$B$13)))/AX115)</f>
        <v/>
      </c>
      <c r="BA115" s="9">
        <f>0</f>
        <v/>
      </c>
      <c r="BB115" s="9">
        <f>IF(25=$B$6,-$K$13*$B$12,0)</f>
        <v/>
      </c>
      <c r="BC115" s="9">
        <f>BA115/(AZ115-AY115*BC114)</f>
        <v/>
      </c>
      <c r="BD115" s="9">
        <f>(BB115-AY115*BD114)/(AZ115-AY115*BC114)</f>
        <v/>
      </c>
      <c r="BE115" s="16">
        <f>BD115</f>
        <v/>
      </c>
      <c r="BF115" s="9">
        <f>IF(25&gt;$B$6+$B$7,$G$14*$B$11^$H$14,$E$14*$B$9^$F$14)</f>
        <v/>
      </c>
      <c r="BG115" s="9">
        <f>IF(25=1,0,$B$14)</f>
        <v/>
      </c>
      <c r="BH115" s="9">
        <f>-($B$14+(IF(25&lt;=$B$6,$B$13*$B$15+$B$12,IF(25&lt;=$B$6+$B$7,$B$13*$B$15,$B$13)))/BF115)</f>
        <v/>
      </c>
      <c r="BI115" s="9">
        <f>0</f>
        <v/>
      </c>
      <c r="BJ115" s="9">
        <f>IF(25=$B$6,-$K$14*$B$12,0)</f>
        <v/>
      </c>
      <c r="BK115" s="9">
        <f>BI115/(BH115-BG115*BK114)</f>
        <v/>
      </c>
      <c r="BL115" s="9">
        <f>(BJ115-BG115*BL114)/(BH115-BG115*BK114)</f>
        <v/>
      </c>
      <c r="BM115" s="16">
        <f>BL115</f>
        <v/>
      </c>
      <c r="BN115" s="9">
        <f>IF(25&gt;$B$6+$B$7,$G$15*$B$11^$H$15,$E$15*$B$9^$F$15)</f>
        <v/>
      </c>
      <c r="BO115" s="9">
        <f>IF(25=1,0,$B$14)</f>
        <v/>
      </c>
      <c r="BP115" s="9">
        <f>-($B$14+(IF(25&lt;=$B$6,$B$13*$B$15+$B$12,IF(25&lt;=$B$6+$B$7,$B$13*$B$15,$B$13)))/BN115)</f>
        <v/>
      </c>
      <c r="BQ115" s="9">
        <f>0</f>
        <v/>
      </c>
      <c r="BR115" s="9">
        <f>IF(25=$B$6,-$K$15*$B$12,0)</f>
        <v/>
      </c>
      <c r="BS115" s="9">
        <f>BQ115/(BP115-BO115*BS114)</f>
        <v/>
      </c>
      <c r="BT115" s="9">
        <f>(BR115-BO115*BT114)/(BP115-BO115*BS114)</f>
        <v/>
      </c>
      <c r="BU115" s="16">
        <f>BT115</f>
        <v/>
      </c>
      <c r="BV115" s="9">
        <f>IF(25&gt;$B$6+$B$7,$G$16*$B$11^$H$16,$E$16*$B$9^$F$16)</f>
        <v/>
      </c>
      <c r="BW115" s="9">
        <f>IF(25=1,0,$B$14)</f>
        <v/>
      </c>
      <c r="BX115" s="9">
        <f>-($B$14+(IF(25&lt;=$B$6,$B$13*$B$15+$B$12,IF(25&lt;=$B$6+$B$7,$B$13*$B$15,$B$13)))/BV115)</f>
        <v/>
      </c>
      <c r="BY115" s="9">
        <f>0</f>
        <v/>
      </c>
      <c r="BZ115" s="9">
        <f>IF(25=$B$6,-$K$16*$B$12,0)</f>
        <v/>
      </c>
      <c r="CA115" s="9">
        <f>BY115/(BX115-BW115*CA114)</f>
        <v/>
      </c>
      <c r="CB115" s="9">
        <f>(BZ115-BW115*CB114)/(BX115-BW115*CA114)</f>
        <v/>
      </c>
      <c r="CC115" s="16">
        <f>CB115</f>
        <v/>
      </c>
      <c r="CD115" s="9">
        <f>IF(25&gt;$B$6+$B$7,$G$17*$B$11^$H$17,$E$17*$B$9^$F$17)</f>
        <v/>
      </c>
      <c r="CE115" s="9">
        <f>IF(25=1,0,$B$14)</f>
        <v/>
      </c>
      <c r="CF115" s="9">
        <f>-($B$14+(IF(25&lt;=$B$6,$B$13*$B$15+$B$12,IF(25&lt;=$B$6+$B$7,$B$13*$B$15,$B$13)))/CD115)</f>
        <v/>
      </c>
      <c r="CG115" s="9">
        <f>0</f>
        <v/>
      </c>
      <c r="CH115" s="9">
        <f>IF(25=$B$6,-$K$17*$B$12,0)</f>
        <v/>
      </c>
      <c r="CI115" s="9">
        <f>CG115/(CF115-CE115*CI114)</f>
        <v/>
      </c>
      <c r="CJ115" s="9">
        <f>(CH115-CE115*CJ114)/(CF115-CE115*CI114)</f>
        <v/>
      </c>
      <c r="CK115" s="16">
        <f>CJ115</f>
        <v/>
      </c>
      <c r="CL115" s="9">
        <f>IF(25&gt;$B$6+$B$7,$G$18*$B$11^$H$18,$E$18*$B$9^$F$18)</f>
        <v/>
      </c>
      <c r="CM115" s="9">
        <f>IF(25=1,0,$B$14)</f>
        <v/>
      </c>
      <c r="CN115" s="9">
        <f>-($B$14+(IF(25&lt;=$B$6,$B$13*$B$15+$B$12,IF(25&lt;=$B$6+$B$7,$B$13*$B$15,$B$13)))/CL115)</f>
        <v/>
      </c>
      <c r="CO115" s="9">
        <f>0</f>
        <v/>
      </c>
      <c r="CP115" s="9">
        <f>IF(25=$B$6,-$K$18*$B$12,0)</f>
        <v/>
      </c>
      <c r="CQ115" s="9">
        <f>CO115/(CN115-CM115*CQ114)</f>
        <v/>
      </c>
      <c r="CR115" s="9">
        <f>(CP115-CM115*CR114)/(CN115-CM115*CQ114)</f>
        <v/>
      </c>
      <c r="CS115" s="16">
        <f>CR115</f>
        <v/>
      </c>
      <c r="CT115" s="9">
        <f>IF(25&gt;$B$6+$B$7,$G$19*$B$11^$H$19,$E$19*$B$9^$F$19)</f>
        <v/>
      </c>
      <c r="CU115" s="9">
        <f>IF(25=1,0,$B$14)</f>
        <v/>
      </c>
      <c r="CV115" s="9">
        <f>-($B$14+(IF(25&lt;=$B$6,$B$13*$B$15+$B$12,IF(25&lt;=$B$6+$B$7,$B$13*$B$15,$B$13)))/CT115)</f>
        <v/>
      </c>
      <c r="CW115" s="9">
        <f>0</f>
        <v/>
      </c>
      <c r="CX115" s="9">
        <f>IF(25=$B$6,-$K$19*$B$12,0)</f>
        <v/>
      </c>
      <c r="CY115" s="9">
        <f>CW115/(CV115-CU115*CY114)</f>
        <v/>
      </c>
      <c r="CZ115" s="9">
        <f>(CX115-CU115*CZ114)/(CV115-CU115*CY114)</f>
        <v/>
      </c>
      <c r="DA115" s="16">
        <f>CZ115</f>
        <v/>
      </c>
      <c r="DB115" s="9">
        <f>IF(25&gt;$B$6+$B$7,$G$20*$B$11^$H$20,$E$20*$B$9^$F$20)</f>
        <v/>
      </c>
      <c r="DC115" s="9">
        <f>IF(25=1,0,$B$14)</f>
        <v/>
      </c>
      <c r="DD115" s="9">
        <f>-($B$14+(IF(25&lt;=$B$6,$B$13*$B$15+$B$12,IF(25&lt;=$B$6+$B$7,$B$13*$B$15,$B$13)))/DB115)</f>
        <v/>
      </c>
      <c r="DE115" s="9">
        <f>0</f>
        <v/>
      </c>
      <c r="DF115" s="9">
        <f>IF(25=$B$6,-$K$20*$B$12,0)</f>
        <v/>
      </c>
      <c r="DG115" s="9">
        <f>DE115/(DD115-DC115*DG114)</f>
        <v/>
      </c>
      <c r="DH115" s="9">
        <f>(DF115-DC115*DH114)/(DD115-DC115*DG114)</f>
        <v/>
      </c>
      <c r="DI115" s="16">
        <f>DH115</f>
        <v/>
      </c>
      <c r="DJ115" s="9">
        <f>IF(25&gt;$B$6+$B$7,$G$21*$B$11^$H$21,$E$21*$B$9^$F$21)</f>
        <v/>
      </c>
      <c r="DK115" s="9">
        <f>IF(25=1,0,$B$14)</f>
        <v/>
      </c>
      <c r="DL115" s="9">
        <f>-($B$14+(IF(25&lt;=$B$6,$B$13*$B$15+$B$12,IF(25&lt;=$B$6+$B$7,$B$13*$B$15,$B$13)))/DJ115)</f>
        <v/>
      </c>
      <c r="DM115" s="9">
        <f>0</f>
        <v/>
      </c>
      <c r="DN115" s="9">
        <f>IF(25=$B$6,-$K$21*$B$12,0)</f>
        <v/>
      </c>
      <c r="DO115" s="9">
        <f>DM115/(DL115-DK115*DO114)</f>
        <v/>
      </c>
      <c r="DP115" s="9">
        <f>(DN115-DK115*DP114)/(DL115-DK115*DO114)</f>
        <v/>
      </c>
      <c r="DQ115" s="16">
        <f>DP115</f>
        <v/>
      </c>
      <c r="DR115" s="9">
        <f>IF(25&gt;$B$6+$B$7,$G$22*$B$11^$H$22,$E$22*$B$9^$F$22)</f>
        <v/>
      </c>
      <c r="DS115" s="9">
        <f>IF(25=1,0,$B$14)</f>
        <v/>
      </c>
      <c r="DT115" s="9">
        <f>-($B$14+(IF(25&lt;=$B$6,$B$13*$B$15+$B$12,IF(25&lt;=$B$6+$B$7,$B$13*$B$15,$B$13)))/DR115)</f>
        <v/>
      </c>
      <c r="DU115" s="9">
        <f>0</f>
        <v/>
      </c>
      <c r="DV115" s="9">
        <f>IF(25=$B$6,-$K$22*$B$12,0)</f>
        <v/>
      </c>
      <c r="DW115" s="9">
        <f>DU115/(DT115-DS115*DW114)</f>
        <v/>
      </c>
      <c r="DX115" s="9">
        <f>(DV115-DS115*DX114)/(DT115-DS115*DW114)</f>
        <v/>
      </c>
      <c r="DY115" s="16">
        <f>DX115</f>
        <v/>
      </c>
      <c r="DZ115" s="9">
        <f>IF(25&gt;$B$6+$B$7,$G$23*$B$11^$H$23,$E$23*$B$9^$F$23)</f>
        <v/>
      </c>
      <c r="EA115" s="9">
        <f>IF(25=1,0,$B$14)</f>
        <v/>
      </c>
      <c r="EB115" s="9">
        <f>-($B$14+(IF(25&lt;=$B$6,$B$13*$B$15+$B$12,IF(25&lt;=$B$6+$B$7,$B$13*$B$15,$B$13)))/DZ115)</f>
        <v/>
      </c>
      <c r="EC115" s="9">
        <f>0</f>
        <v/>
      </c>
      <c r="ED115" s="9">
        <f>IF(25=$B$6,-$K$23*$B$12,0)</f>
        <v/>
      </c>
      <c r="EE115" s="9">
        <f>EC115/(EB115-EA115*EE114)</f>
        <v/>
      </c>
      <c r="EF115" s="9">
        <f>(ED115-EA115*EF114)/(EB115-EA115*EE114)</f>
        <v/>
      </c>
      <c r="EG115" s="16">
        <f>EF115</f>
        <v/>
      </c>
      <c r="EH115" s="9">
        <f>IF(25&gt;$B$6+$B$7,$G$24*$B$11^$H$24,$E$24*$B$9^$F$24)</f>
        <v/>
      </c>
      <c r="EI115" s="9">
        <f>IF(25=1,0,$B$14)</f>
        <v/>
      </c>
      <c r="EJ115" s="9">
        <f>-($B$14+(IF(25&lt;=$B$6,$B$13*$B$15+$B$12,IF(25&lt;=$B$6+$B$7,$B$13*$B$15,$B$13)))/EH115)</f>
        <v/>
      </c>
      <c r="EK115" s="9">
        <f>0</f>
        <v/>
      </c>
      <c r="EL115" s="9">
        <f>IF(25=$B$6,-$K$24*$B$12,0)</f>
        <v/>
      </c>
      <c r="EM115" s="9">
        <f>EK115/(EJ115-EI115*EM114)</f>
        <v/>
      </c>
      <c r="EN115" s="9">
        <f>(EL115-EI115*EN114)/(EJ115-EI115*EM114)</f>
        <v/>
      </c>
      <c r="EO115" s="16">
        <f>EN115</f>
        <v/>
      </c>
      <c r="EP115" s="9">
        <f>IF(25&gt;$B$6+$B$7,$G$25*$B$11^$H$25,$E$25*$B$9^$F$25)</f>
        <v/>
      </c>
      <c r="EQ115" s="9">
        <f>IF(25=1,0,$B$14)</f>
        <v/>
      </c>
      <c r="ER115" s="9">
        <f>-($B$14+(IF(25&lt;=$B$6,$B$13*$B$15+$B$12,IF(25&lt;=$B$6+$B$7,$B$13*$B$15,$B$13)))/EP115)</f>
        <v/>
      </c>
      <c r="ES115" s="9">
        <f>0</f>
        <v/>
      </c>
      <c r="ET115" s="9">
        <f>IF(25=$B$6,-$K$25*$B$12,0)</f>
        <v/>
      </c>
      <c r="EU115" s="9">
        <f>ES115/(ER115-EQ115*EU114)</f>
        <v/>
      </c>
      <c r="EV115" s="9">
        <f>(ET115-EQ115*EV114)/(ER115-EQ115*EU114)</f>
        <v/>
      </c>
      <c r="EW115" s="16">
        <f>EV115</f>
        <v/>
      </c>
      <c r="EX115" s="9">
        <f>IF(25&gt;$B$6+$B$7,$G$26*$B$11^$H$26,$E$26*$B$9^$F$26)</f>
        <v/>
      </c>
      <c r="EY115" s="9">
        <f>IF(25=1,0,$B$14)</f>
        <v/>
      </c>
      <c r="EZ115" s="9">
        <f>-($B$14+(IF(25&lt;=$B$6,$B$13*$B$15+$B$12,IF(25&lt;=$B$6+$B$7,$B$13*$B$15,$B$13)))/EX115)</f>
        <v/>
      </c>
      <c r="FA115" s="9">
        <f>0</f>
        <v/>
      </c>
      <c r="FB115" s="9">
        <f>IF(25=$B$6,-$K$26*$B$12,0)</f>
        <v/>
      </c>
      <c r="FC115" s="9">
        <f>FA115/(EZ115-EY115*FC114)</f>
        <v/>
      </c>
      <c r="FD115" s="9">
        <f>(FB115-EY115*FD114)/(EZ115-EY115*FC114)</f>
        <v/>
      </c>
      <c r="FE115" s="16">
        <f>FD115</f>
        <v/>
      </c>
      <c r="FF115" s="9">
        <f>IF(25&gt;$B$6+$B$7,$G$27*$B$11^$H$27,$E$27*$B$9^$F$27)</f>
        <v/>
      </c>
      <c r="FG115" s="9">
        <f>IF(25=1,0,$B$14)</f>
        <v/>
      </c>
      <c r="FH115" s="9">
        <f>-($B$14+(IF(25&lt;=$B$6,$B$13*$B$15+$B$12,IF(25&lt;=$B$6+$B$7,$B$13*$B$15,$B$13)))/FF115)</f>
        <v/>
      </c>
      <c r="FI115" s="9">
        <f>0</f>
        <v/>
      </c>
      <c r="FJ115" s="9">
        <f>IF(25=$B$6,-$K$27*$B$12,0)</f>
        <v/>
      </c>
      <c r="FK115" s="9">
        <f>FI115/(FH115-FG115*FK114)</f>
        <v/>
      </c>
      <c r="FL115" s="9">
        <f>(FJ115-FG115*FL114)/(FH115-FG115*FK114)</f>
        <v/>
      </c>
      <c r="FM115" s="16">
        <f>FL115</f>
        <v/>
      </c>
      <c r="FN115" s="9">
        <f>IF(25&gt;$B$6+$B$7,$G$28*$B$11^$H$28,$E$28*$B$9^$F$28)</f>
        <v/>
      </c>
      <c r="FO115" s="9">
        <f>IF(25=1,0,$B$14)</f>
        <v/>
      </c>
      <c r="FP115" s="9">
        <f>-($B$14+(IF(25&lt;=$B$6,$B$13*$B$15+$B$12,IF(25&lt;=$B$6+$B$7,$B$13*$B$15,$B$13)))/FN115)</f>
        <v/>
      </c>
      <c r="FQ115" s="9">
        <f>0</f>
        <v/>
      </c>
      <c r="FR115" s="9">
        <f>IF(25=$B$6,-$K$28*$B$12,0)</f>
        <v/>
      </c>
      <c r="FS115" s="9">
        <f>FQ115/(FP115-FO115*FS114)</f>
        <v/>
      </c>
      <c r="FT115" s="9">
        <f>(FR115-FO115*FT114)/(FP115-FO115*FS114)</f>
        <v/>
      </c>
      <c r="FU115" s="16">
        <f>FT115</f>
        <v/>
      </c>
      <c r="FV115" s="9">
        <f>IF(25&gt;$B$6+$B$7,$G$29*$B$11^$H$29,$E$29*$B$9^$F$29)</f>
        <v/>
      </c>
      <c r="FW115" s="9">
        <f>IF(25=1,0,$B$14)</f>
        <v/>
      </c>
      <c r="FX115" s="9">
        <f>-($B$14+(IF(25&lt;=$B$6,$B$13*$B$15+$B$12,IF(25&lt;=$B$6+$B$7,$B$13*$B$15,$B$13)))/FV115)</f>
        <v/>
      </c>
      <c r="FY115" s="9">
        <f>0</f>
        <v/>
      </c>
      <c r="FZ115" s="9">
        <f>IF(25=$B$6,-$K$29*$B$12,0)</f>
        <v/>
      </c>
      <c r="GA115" s="9">
        <f>FY115/(FX115-FW115*GA114)</f>
        <v/>
      </c>
      <c r="GB115" s="9">
        <f>(FZ115-FW115*GB114)/(FX115-FW115*GA114)</f>
        <v/>
      </c>
      <c r="GC115" s="16">
        <f>GB115</f>
        <v/>
      </c>
      <c r="GD115" s="9">
        <f>IF(25&gt;$B$6+$B$7,$G$30*$B$11^$H$30,$E$30*$B$9^$F$30)</f>
        <v/>
      </c>
      <c r="GE115" s="9">
        <f>IF(25=1,0,$B$14)</f>
        <v/>
      </c>
      <c r="GF115" s="9">
        <f>-($B$14+(IF(25&lt;=$B$6,$B$13*$B$15+$B$12,IF(25&lt;=$B$6+$B$7,$B$13*$B$15,$B$13)))/GD115)</f>
        <v/>
      </c>
      <c r="GG115" s="9">
        <f>0</f>
        <v/>
      </c>
      <c r="GH115" s="9">
        <f>IF(25=$B$6,-$K$30*$B$12,0)</f>
        <v/>
      </c>
      <c r="GI115" s="9">
        <f>GG115/(GF115-GE115*GI114)</f>
        <v/>
      </c>
      <c r="GJ115" s="9">
        <f>(GH115-GE115*GJ114)/(GF115-GE115*GI114)</f>
        <v/>
      </c>
      <c r="GK115" s="16">
        <f>GJ115</f>
        <v/>
      </c>
      <c r="GL115" s="9">
        <f>IF(25&gt;$B$6+$B$7,$G$31*$B$11^$H$31,$E$31*$B$9^$F$31)</f>
        <v/>
      </c>
      <c r="GM115" s="9">
        <f>IF(25=1,0,$B$14)</f>
        <v/>
      </c>
      <c r="GN115" s="9">
        <f>-($B$14+(IF(25&lt;=$B$6,$B$13*$B$15+$B$12,IF(25&lt;=$B$6+$B$7,$B$13*$B$15,$B$13)))/GL115)</f>
        <v/>
      </c>
      <c r="GO115" s="9">
        <f>0</f>
        <v/>
      </c>
      <c r="GP115" s="9">
        <f>IF(25=$B$6,-$K$31*$B$12,0)</f>
        <v/>
      </c>
      <c r="GQ115" s="9">
        <f>GO115/(GN115-GM115*GQ114)</f>
        <v/>
      </c>
      <c r="GR115" s="9">
        <f>(GP115-GM115*GR114)/(GN115-GM115*GQ114)</f>
        <v/>
      </c>
      <c r="GS115" s="16">
        <f>GR115</f>
        <v/>
      </c>
      <c r="GT115" s="9">
        <f>IF(25&gt;$B$6+$B$7,$G$32*$B$11^$H$32,$E$32*$B$9^$F$32)</f>
        <v/>
      </c>
      <c r="GU115" s="9">
        <f>IF(25=1,0,$B$14)</f>
        <v/>
      </c>
      <c r="GV115" s="9">
        <f>-($B$14+(IF(25&lt;=$B$6,$B$13*$B$15+$B$12,IF(25&lt;=$B$6+$B$7,$B$13*$B$15,$B$13)))/GT115)</f>
        <v/>
      </c>
      <c r="GW115" s="9">
        <f>0</f>
        <v/>
      </c>
      <c r="GX115" s="9">
        <f>IF(25=$B$6,-$K$32*$B$12,0)</f>
        <v/>
      </c>
      <c r="GY115" s="9">
        <f>GW115/(GV115-GU115*GY114)</f>
        <v/>
      </c>
      <c r="GZ115" s="9">
        <f>(GX115-GU115*GZ114)/(GV115-GU115*GY114)</f>
        <v/>
      </c>
      <c r="HA115" s="16">
        <f>GZ115</f>
        <v/>
      </c>
      <c r="HB115" s="12">
        <f>IFERROR(I115/B115,0)</f>
        <v/>
      </c>
      <c r="HC115" s="12">
        <f>IFERROR(Q115/J115,0)</f>
        <v/>
      </c>
      <c r="HD115" s="12">
        <f>IFERROR(Y115/R115,0)</f>
        <v/>
      </c>
      <c r="HE115" s="12">
        <f>IFERROR(AG115/Z115,0)</f>
        <v/>
      </c>
      <c r="HF115" s="12">
        <f>IFERROR(AO115/AH115,0)</f>
        <v/>
      </c>
      <c r="HG115" s="12">
        <f>IFERROR(AW115/AP115,0)</f>
        <v/>
      </c>
      <c r="HH115" s="12">
        <f>IFERROR(BE115/AX115,0)</f>
        <v/>
      </c>
      <c r="HI115" s="12">
        <f>IFERROR(BM115/BF115,0)</f>
        <v/>
      </c>
      <c r="HJ115" s="12">
        <f>IFERROR(BU115/BN115,0)</f>
        <v/>
      </c>
      <c r="HK115" s="12">
        <f>IFERROR(CC115/BV115,0)</f>
        <v/>
      </c>
      <c r="HL115" s="12">
        <f>IFERROR(CK115/CD115,0)</f>
        <v/>
      </c>
      <c r="HM115" s="12">
        <f>IFERROR(CS115/CL115,0)</f>
        <v/>
      </c>
      <c r="HN115" s="12">
        <f>IFERROR(DA115/CT115,0)</f>
        <v/>
      </c>
      <c r="HO115" s="12">
        <f>IFERROR(DI115/DB115,0)</f>
        <v/>
      </c>
      <c r="HP115" s="12">
        <f>IFERROR(DQ115/DJ115,0)</f>
        <v/>
      </c>
      <c r="HQ115" s="12">
        <f>IFERROR(DY115/DR115,0)</f>
        <v/>
      </c>
      <c r="HR115" s="12">
        <f>IFERROR(EG115/DZ115,0)</f>
        <v/>
      </c>
      <c r="HS115" s="12">
        <f>IFERROR(EO115/EH115,0)</f>
        <v/>
      </c>
      <c r="HT115" s="12">
        <f>IFERROR(EW115/EP115,0)</f>
        <v/>
      </c>
      <c r="HU115" s="12">
        <f>IFERROR(FE115/EX115,0)</f>
        <v/>
      </c>
      <c r="HV115" s="12">
        <f>IFERROR(FM115/FF115,0)</f>
        <v/>
      </c>
      <c r="HW115" s="12">
        <f>IFERROR(FU115/FN115,0)</f>
        <v/>
      </c>
      <c r="HX115" s="12">
        <f>IFERROR(GC115/FV115,0)</f>
        <v/>
      </c>
      <c r="HY115" s="12">
        <f>IFERROR(GK115/GD115,0)</f>
        <v/>
      </c>
      <c r="HZ115" s="12">
        <f>IFERROR(GS115/GL115,0)</f>
        <v/>
      </c>
      <c r="IA115" s="12">
        <f>IFERROR(HA115/GT115,0)</f>
        <v/>
      </c>
      <c r="IB115" s="12">
        <f>I115+Q115+Y115+AG115+AO115+AW115+BE115+BM115+BU115+CC115+CK115+CS115+DA115+DI115+DQ115+DY115+EG115+EO115+EW115+FE115+FM115+FU115+GC115+GK115+GS115+HA115</f>
        <v/>
      </c>
      <c r="IC115" s="12">
        <f>HB115+HC115+HD115+HE115+HF115+HG115+HH115+HI115+HJ115+HK115+HL115+HM115+HN115+HO115+HP115+HQ115+HR115+HS115+HT115+HU115+HV115+HW115+HX115+HY115+HZ115+IA115</f>
        <v/>
      </c>
    </row>
    <row r="119" ht="18" customHeight="1">
      <c r="A119" s="22" t="inlineStr">
        <is>
          <t>STAGE AQUEOUS PROFILES  (g/L)</t>
        </is>
      </c>
    </row>
    <row r="120" ht="16" customHeight="1">
      <c r="A120" s="7" t="inlineStr">
        <is>
          <t>Stage</t>
        </is>
      </c>
      <c r="B120" s="8" t="inlineStr">
        <is>
          <t>x_aq Al</t>
        </is>
      </c>
      <c r="C120" s="8" t="inlineStr">
        <is>
          <t>x_aq Sc</t>
        </is>
      </c>
      <c r="D120" s="8" t="inlineStr">
        <is>
          <t>x_aq Fe</t>
        </is>
      </c>
      <c r="E120" s="8" t="inlineStr">
        <is>
          <t>x_aq Co</t>
        </is>
      </c>
      <c r="F120" s="8" t="inlineStr">
        <is>
          <t>x_aq Zn</t>
        </is>
      </c>
      <c r="G120" s="8" t="inlineStr">
        <is>
          <t>x_aq Ga</t>
        </is>
      </c>
      <c r="H120" s="8" t="inlineStr">
        <is>
          <t>x_aq Rb</t>
        </is>
      </c>
      <c r="I120" s="8" t="inlineStr">
        <is>
          <t>x_aq Y</t>
        </is>
      </c>
      <c r="J120" s="8" t="inlineStr">
        <is>
          <t>x_aq Zr</t>
        </is>
      </c>
      <c r="K120" s="8" t="inlineStr">
        <is>
          <t>x_aq La</t>
        </is>
      </c>
      <c r="L120" s="8" t="inlineStr">
        <is>
          <t>x_aq Ce</t>
        </is>
      </c>
      <c r="M120" s="8" t="inlineStr">
        <is>
          <t>x_aq Pr</t>
        </is>
      </c>
      <c r="N120" s="8" t="inlineStr">
        <is>
          <t>x_aq Nd</t>
        </is>
      </c>
      <c r="O120" s="8" t="inlineStr">
        <is>
          <t>x_aq Sm</t>
        </is>
      </c>
      <c r="P120" s="8" t="inlineStr">
        <is>
          <t>x_aq Eu</t>
        </is>
      </c>
      <c r="Q120" s="8" t="inlineStr">
        <is>
          <t>x_aq Gd</t>
        </is>
      </c>
      <c r="R120" s="8" t="inlineStr">
        <is>
          <t>x_aq Tb</t>
        </is>
      </c>
      <c r="S120" s="8" t="inlineStr">
        <is>
          <t>x_aq Dy</t>
        </is>
      </c>
      <c r="T120" s="8" t="inlineStr">
        <is>
          <t>x_aq Ho</t>
        </is>
      </c>
      <c r="U120" s="8" t="inlineStr">
        <is>
          <t>x_aq Er</t>
        </is>
      </c>
      <c r="V120" s="8" t="inlineStr">
        <is>
          <t>x_aq Tm</t>
        </is>
      </c>
      <c r="W120" s="8" t="inlineStr">
        <is>
          <t>x_aq Yb</t>
        </is>
      </c>
      <c r="X120" s="8" t="inlineStr">
        <is>
          <t>x_aq Lu</t>
        </is>
      </c>
      <c r="Y120" s="8" t="inlineStr">
        <is>
          <t>x_aq Hf</t>
        </is>
      </c>
      <c r="Z120" s="8" t="inlineStr">
        <is>
          <t>x_aq Th</t>
        </is>
      </c>
      <c r="AA120" s="8" t="inlineStr">
        <is>
          <t>x_aq U</t>
        </is>
      </c>
    </row>
    <row r="121" ht="13" customHeight="1">
      <c r="A121" s="9" t="n">
        <v>1</v>
      </c>
      <c r="B121" s="12">
        <f>HB91</f>
        <v/>
      </c>
      <c r="C121" s="12">
        <f>HC91</f>
        <v/>
      </c>
      <c r="D121" s="12">
        <f>HD91</f>
        <v/>
      </c>
      <c r="E121" s="12">
        <f>HE91</f>
        <v/>
      </c>
      <c r="F121" s="12">
        <f>HF91</f>
        <v/>
      </c>
      <c r="G121" s="12">
        <f>HG91</f>
        <v/>
      </c>
      <c r="H121" s="12">
        <f>HH91</f>
        <v/>
      </c>
      <c r="I121" s="12">
        <f>HI91</f>
        <v/>
      </c>
      <c r="J121" s="12">
        <f>HJ91</f>
        <v/>
      </c>
      <c r="K121" s="12">
        <f>HK91</f>
        <v/>
      </c>
      <c r="L121" s="12">
        <f>HL91</f>
        <v/>
      </c>
      <c r="M121" s="12">
        <f>HM91</f>
        <v/>
      </c>
      <c r="N121" s="12">
        <f>HN91</f>
        <v/>
      </c>
      <c r="O121" s="12">
        <f>HO91</f>
        <v/>
      </c>
      <c r="P121" s="12">
        <f>HP91</f>
        <v/>
      </c>
      <c r="Q121" s="12">
        <f>HQ91</f>
        <v/>
      </c>
      <c r="R121" s="12">
        <f>HR91</f>
        <v/>
      </c>
      <c r="S121" s="12">
        <f>HS91</f>
        <v/>
      </c>
      <c r="T121" s="12">
        <f>HT91</f>
        <v/>
      </c>
      <c r="U121" s="12">
        <f>HU91</f>
        <v/>
      </c>
      <c r="V121" s="12">
        <f>HV91</f>
        <v/>
      </c>
      <c r="W121" s="12">
        <f>HW91</f>
        <v/>
      </c>
      <c r="X121" s="12">
        <f>HX91</f>
        <v/>
      </c>
      <c r="Y121" s="12">
        <f>HY91</f>
        <v/>
      </c>
      <c r="Z121" s="12">
        <f>HZ91</f>
        <v/>
      </c>
      <c r="AA121" s="12">
        <f>IA91</f>
        <v/>
      </c>
    </row>
    <row r="122" ht="13" customHeight="1">
      <c r="A122" s="9" t="n">
        <v>2</v>
      </c>
      <c r="B122" s="12">
        <f>HB92</f>
        <v/>
      </c>
      <c r="C122" s="12">
        <f>HC92</f>
        <v/>
      </c>
      <c r="D122" s="12">
        <f>HD92</f>
        <v/>
      </c>
      <c r="E122" s="12">
        <f>HE92</f>
        <v/>
      </c>
      <c r="F122" s="12">
        <f>HF92</f>
        <v/>
      </c>
      <c r="G122" s="12">
        <f>HG92</f>
        <v/>
      </c>
      <c r="H122" s="12">
        <f>HH92</f>
        <v/>
      </c>
      <c r="I122" s="12">
        <f>HI92</f>
        <v/>
      </c>
      <c r="J122" s="12">
        <f>HJ92</f>
        <v/>
      </c>
      <c r="K122" s="12">
        <f>HK92</f>
        <v/>
      </c>
      <c r="L122" s="12">
        <f>HL92</f>
        <v/>
      </c>
      <c r="M122" s="12">
        <f>HM92</f>
        <v/>
      </c>
      <c r="N122" s="12">
        <f>HN92</f>
        <v/>
      </c>
      <c r="O122" s="12">
        <f>HO92</f>
        <v/>
      </c>
      <c r="P122" s="12">
        <f>HP92</f>
        <v/>
      </c>
      <c r="Q122" s="12">
        <f>HQ92</f>
        <v/>
      </c>
      <c r="R122" s="12">
        <f>HR92</f>
        <v/>
      </c>
      <c r="S122" s="12">
        <f>HS92</f>
        <v/>
      </c>
      <c r="T122" s="12">
        <f>HT92</f>
        <v/>
      </c>
      <c r="U122" s="12">
        <f>HU92</f>
        <v/>
      </c>
      <c r="V122" s="12">
        <f>HV92</f>
        <v/>
      </c>
      <c r="W122" s="12">
        <f>HW92</f>
        <v/>
      </c>
      <c r="X122" s="12">
        <f>HX92</f>
        <v/>
      </c>
      <c r="Y122" s="12">
        <f>HY92</f>
        <v/>
      </c>
      <c r="Z122" s="12">
        <f>HZ92</f>
        <v/>
      </c>
      <c r="AA122" s="12">
        <f>IA92</f>
        <v/>
      </c>
    </row>
    <row r="123" ht="13" customHeight="1">
      <c r="A123" s="9" t="n">
        <v>3</v>
      </c>
      <c r="B123" s="12">
        <f>HB93</f>
        <v/>
      </c>
      <c r="C123" s="12">
        <f>HC93</f>
        <v/>
      </c>
      <c r="D123" s="12">
        <f>HD93</f>
        <v/>
      </c>
      <c r="E123" s="12">
        <f>HE93</f>
        <v/>
      </c>
      <c r="F123" s="12">
        <f>HF93</f>
        <v/>
      </c>
      <c r="G123" s="12">
        <f>HG93</f>
        <v/>
      </c>
      <c r="H123" s="12">
        <f>HH93</f>
        <v/>
      </c>
      <c r="I123" s="12">
        <f>HI93</f>
        <v/>
      </c>
      <c r="J123" s="12">
        <f>HJ93</f>
        <v/>
      </c>
      <c r="K123" s="12">
        <f>HK93</f>
        <v/>
      </c>
      <c r="L123" s="12">
        <f>HL93</f>
        <v/>
      </c>
      <c r="M123" s="12">
        <f>HM93</f>
        <v/>
      </c>
      <c r="N123" s="12">
        <f>HN93</f>
        <v/>
      </c>
      <c r="O123" s="12">
        <f>HO93</f>
        <v/>
      </c>
      <c r="P123" s="12">
        <f>HP93</f>
        <v/>
      </c>
      <c r="Q123" s="12">
        <f>HQ93</f>
        <v/>
      </c>
      <c r="R123" s="12">
        <f>HR93</f>
        <v/>
      </c>
      <c r="S123" s="12">
        <f>HS93</f>
        <v/>
      </c>
      <c r="T123" s="12">
        <f>HT93</f>
        <v/>
      </c>
      <c r="U123" s="12">
        <f>HU93</f>
        <v/>
      </c>
      <c r="V123" s="12">
        <f>HV93</f>
        <v/>
      </c>
      <c r="W123" s="12">
        <f>HW93</f>
        <v/>
      </c>
      <c r="X123" s="12">
        <f>HX93</f>
        <v/>
      </c>
      <c r="Y123" s="12">
        <f>HY93</f>
        <v/>
      </c>
      <c r="Z123" s="12">
        <f>HZ93</f>
        <v/>
      </c>
      <c r="AA123" s="12">
        <f>IA93</f>
        <v/>
      </c>
    </row>
    <row r="124" ht="13" customHeight="1">
      <c r="A124" s="9" t="n">
        <v>4</v>
      </c>
      <c r="B124" s="12">
        <f>HB94</f>
        <v/>
      </c>
      <c r="C124" s="12">
        <f>HC94</f>
        <v/>
      </c>
      <c r="D124" s="12">
        <f>HD94</f>
        <v/>
      </c>
      <c r="E124" s="12">
        <f>HE94</f>
        <v/>
      </c>
      <c r="F124" s="12">
        <f>HF94</f>
        <v/>
      </c>
      <c r="G124" s="12">
        <f>HG94</f>
        <v/>
      </c>
      <c r="H124" s="12">
        <f>HH94</f>
        <v/>
      </c>
      <c r="I124" s="12">
        <f>HI94</f>
        <v/>
      </c>
      <c r="J124" s="12">
        <f>HJ94</f>
        <v/>
      </c>
      <c r="K124" s="12">
        <f>HK94</f>
        <v/>
      </c>
      <c r="L124" s="12">
        <f>HL94</f>
        <v/>
      </c>
      <c r="M124" s="12">
        <f>HM94</f>
        <v/>
      </c>
      <c r="N124" s="12">
        <f>HN94</f>
        <v/>
      </c>
      <c r="O124" s="12">
        <f>HO94</f>
        <v/>
      </c>
      <c r="P124" s="12">
        <f>HP94</f>
        <v/>
      </c>
      <c r="Q124" s="12">
        <f>HQ94</f>
        <v/>
      </c>
      <c r="R124" s="12">
        <f>HR94</f>
        <v/>
      </c>
      <c r="S124" s="12">
        <f>HS94</f>
        <v/>
      </c>
      <c r="T124" s="12">
        <f>HT94</f>
        <v/>
      </c>
      <c r="U124" s="12">
        <f>HU94</f>
        <v/>
      </c>
      <c r="V124" s="12">
        <f>HV94</f>
        <v/>
      </c>
      <c r="W124" s="12">
        <f>HW94</f>
        <v/>
      </c>
      <c r="X124" s="12">
        <f>HX94</f>
        <v/>
      </c>
      <c r="Y124" s="12">
        <f>HY94</f>
        <v/>
      </c>
      <c r="Z124" s="12">
        <f>HZ94</f>
        <v/>
      </c>
      <c r="AA124" s="12">
        <f>IA94</f>
        <v/>
      </c>
    </row>
    <row r="125" ht="13" customHeight="1">
      <c r="A125" s="9" t="n">
        <v>5</v>
      </c>
      <c r="B125" s="12">
        <f>HB95</f>
        <v/>
      </c>
      <c r="C125" s="12">
        <f>HC95</f>
        <v/>
      </c>
      <c r="D125" s="12">
        <f>HD95</f>
        <v/>
      </c>
      <c r="E125" s="12">
        <f>HE95</f>
        <v/>
      </c>
      <c r="F125" s="12">
        <f>HF95</f>
        <v/>
      </c>
      <c r="G125" s="12">
        <f>HG95</f>
        <v/>
      </c>
      <c r="H125" s="12">
        <f>HH95</f>
        <v/>
      </c>
      <c r="I125" s="12">
        <f>HI95</f>
        <v/>
      </c>
      <c r="J125" s="12">
        <f>HJ95</f>
        <v/>
      </c>
      <c r="K125" s="12">
        <f>HK95</f>
        <v/>
      </c>
      <c r="L125" s="12">
        <f>HL95</f>
        <v/>
      </c>
      <c r="M125" s="12">
        <f>HM95</f>
        <v/>
      </c>
      <c r="N125" s="12">
        <f>HN95</f>
        <v/>
      </c>
      <c r="O125" s="12">
        <f>HO95</f>
        <v/>
      </c>
      <c r="P125" s="12">
        <f>HP95</f>
        <v/>
      </c>
      <c r="Q125" s="12">
        <f>HQ95</f>
        <v/>
      </c>
      <c r="R125" s="12">
        <f>HR95</f>
        <v/>
      </c>
      <c r="S125" s="12">
        <f>HS95</f>
        <v/>
      </c>
      <c r="T125" s="12">
        <f>HT95</f>
        <v/>
      </c>
      <c r="U125" s="12">
        <f>HU95</f>
        <v/>
      </c>
      <c r="V125" s="12">
        <f>HV95</f>
        <v/>
      </c>
      <c r="W125" s="12">
        <f>HW95</f>
        <v/>
      </c>
      <c r="X125" s="12">
        <f>HX95</f>
        <v/>
      </c>
      <c r="Y125" s="12">
        <f>HY95</f>
        <v/>
      </c>
      <c r="Z125" s="12">
        <f>HZ95</f>
        <v/>
      </c>
      <c r="AA125" s="12">
        <f>IA95</f>
        <v/>
      </c>
    </row>
    <row r="126" ht="13" customHeight="1">
      <c r="A126" s="9" t="n">
        <v>6</v>
      </c>
      <c r="B126" s="12">
        <f>HB96</f>
        <v/>
      </c>
      <c r="C126" s="12">
        <f>HC96</f>
        <v/>
      </c>
      <c r="D126" s="12">
        <f>HD96</f>
        <v/>
      </c>
      <c r="E126" s="12">
        <f>HE96</f>
        <v/>
      </c>
      <c r="F126" s="12">
        <f>HF96</f>
        <v/>
      </c>
      <c r="G126" s="12">
        <f>HG96</f>
        <v/>
      </c>
      <c r="H126" s="12">
        <f>HH96</f>
        <v/>
      </c>
      <c r="I126" s="12">
        <f>HI96</f>
        <v/>
      </c>
      <c r="J126" s="12">
        <f>HJ96</f>
        <v/>
      </c>
      <c r="K126" s="12">
        <f>HK96</f>
        <v/>
      </c>
      <c r="L126" s="12">
        <f>HL96</f>
        <v/>
      </c>
      <c r="M126" s="12">
        <f>HM96</f>
        <v/>
      </c>
      <c r="N126" s="12">
        <f>HN96</f>
        <v/>
      </c>
      <c r="O126" s="12">
        <f>HO96</f>
        <v/>
      </c>
      <c r="P126" s="12">
        <f>HP96</f>
        <v/>
      </c>
      <c r="Q126" s="12">
        <f>HQ96</f>
        <v/>
      </c>
      <c r="R126" s="12">
        <f>HR96</f>
        <v/>
      </c>
      <c r="S126" s="12">
        <f>HS96</f>
        <v/>
      </c>
      <c r="T126" s="12">
        <f>HT96</f>
        <v/>
      </c>
      <c r="U126" s="12">
        <f>HU96</f>
        <v/>
      </c>
      <c r="V126" s="12">
        <f>HV96</f>
        <v/>
      </c>
      <c r="W126" s="12">
        <f>HW96</f>
        <v/>
      </c>
      <c r="X126" s="12">
        <f>HX96</f>
        <v/>
      </c>
      <c r="Y126" s="12">
        <f>HY96</f>
        <v/>
      </c>
      <c r="Z126" s="12">
        <f>HZ96</f>
        <v/>
      </c>
      <c r="AA126" s="12">
        <f>IA96</f>
        <v/>
      </c>
    </row>
    <row r="127" ht="13" customHeight="1">
      <c r="A127" s="9" t="n">
        <v>7</v>
      </c>
      <c r="B127" s="12">
        <f>HB97</f>
        <v/>
      </c>
      <c r="C127" s="12">
        <f>HC97</f>
        <v/>
      </c>
      <c r="D127" s="12">
        <f>HD97</f>
        <v/>
      </c>
      <c r="E127" s="12">
        <f>HE97</f>
        <v/>
      </c>
      <c r="F127" s="12">
        <f>HF97</f>
        <v/>
      </c>
      <c r="G127" s="12">
        <f>HG97</f>
        <v/>
      </c>
      <c r="H127" s="12">
        <f>HH97</f>
        <v/>
      </c>
      <c r="I127" s="12">
        <f>HI97</f>
        <v/>
      </c>
      <c r="J127" s="12">
        <f>HJ97</f>
        <v/>
      </c>
      <c r="K127" s="12">
        <f>HK97</f>
        <v/>
      </c>
      <c r="L127" s="12">
        <f>HL97</f>
        <v/>
      </c>
      <c r="M127" s="12">
        <f>HM97</f>
        <v/>
      </c>
      <c r="N127" s="12">
        <f>HN97</f>
        <v/>
      </c>
      <c r="O127" s="12">
        <f>HO97</f>
        <v/>
      </c>
      <c r="P127" s="12">
        <f>HP97</f>
        <v/>
      </c>
      <c r="Q127" s="12">
        <f>HQ97</f>
        <v/>
      </c>
      <c r="R127" s="12">
        <f>HR97</f>
        <v/>
      </c>
      <c r="S127" s="12">
        <f>HS97</f>
        <v/>
      </c>
      <c r="T127" s="12">
        <f>HT97</f>
        <v/>
      </c>
      <c r="U127" s="12">
        <f>HU97</f>
        <v/>
      </c>
      <c r="V127" s="12">
        <f>HV97</f>
        <v/>
      </c>
      <c r="W127" s="12">
        <f>HW97</f>
        <v/>
      </c>
      <c r="X127" s="12">
        <f>HX97</f>
        <v/>
      </c>
      <c r="Y127" s="12">
        <f>HY97</f>
        <v/>
      </c>
      <c r="Z127" s="12">
        <f>HZ97</f>
        <v/>
      </c>
      <c r="AA127" s="12">
        <f>IA97</f>
        <v/>
      </c>
    </row>
    <row r="128" ht="13" customHeight="1">
      <c r="A128" s="9" t="n">
        <v>8</v>
      </c>
      <c r="B128" s="12">
        <f>HB98</f>
        <v/>
      </c>
      <c r="C128" s="12">
        <f>HC98</f>
        <v/>
      </c>
      <c r="D128" s="12">
        <f>HD98</f>
        <v/>
      </c>
      <c r="E128" s="12">
        <f>HE98</f>
        <v/>
      </c>
      <c r="F128" s="12">
        <f>HF98</f>
        <v/>
      </c>
      <c r="G128" s="12">
        <f>HG98</f>
        <v/>
      </c>
      <c r="H128" s="12">
        <f>HH98</f>
        <v/>
      </c>
      <c r="I128" s="12">
        <f>HI98</f>
        <v/>
      </c>
      <c r="J128" s="12">
        <f>HJ98</f>
        <v/>
      </c>
      <c r="K128" s="12">
        <f>HK98</f>
        <v/>
      </c>
      <c r="L128" s="12">
        <f>HL98</f>
        <v/>
      </c>
      <c r="M128" s="12">
        <f>HM98</f>
        <v/>
      </c>
      <c r="N128" s="12">
        <f>HN98</f>
        <v/>
      </c>
      <c r="O128" s="12">
        <f>HO98</f>
        <v/>
      </c>
      <c r="P128" s="12">
        <f>HP98</f>
        <v/>
      </c>
      <c r="Q128" s="12">
        <f>HQ98</f>
        <v/>
      </c>
      <c r="R128" s="12">
        <f>HR98</f>
        <v/>
      </c>
      <c r="S128" s="12">
        <f>HS98</f>
        <v/>
      </c>
      <c r="T128" s="12">
        <f>HT98</f>
        <v/>
      </c>
      <c r="U128" s="12">
        <f>HU98</f>
        <v/>
      </c>
      <c r="V128" s="12">
        <f>HV98</f>
        <v/>
      </c>
      <c r="W128" s="12">
        <f>HW98</f>
        <v/>
      </c>
      <c r="X128" s="12">
        <f>HX98</f>
        <v/>
      </c>
      <c r="Y128" s="12">
        <f>HY98</f>
        <v/>
      </c>
      <c r="Z128" s="12">
        <f>HZ98</f>
        <v/>
      </c>
      <c r="AA128" s="12">
        <f>IA98</f>
        <v/>
      </c>
    </row>
    <row r="129" ht="13" customHeight="1">
      <c r="A129" s="9" t="n">
        <v>9</v>
      </c>
      <c r="B129" s="12">
        <f>HB99</f>
        <v/>
      </c>
      <c r="C129" s="12">
        <f>HC99</f>
        <v/>
      </c>
      <c r="D129" s="12">
        <f>HD99</f>
        <v/>
      </c>
      <c r="E129" s="12">
        <f>HE99</f>
        <v/>
      </c>
      <c r="F129" s="12">
        <f>HF99</f>
        <v/>
      </c>
      <c r="G129" s="12">
        <f>HG99</f>
        <v/>
      </c>
      <c r="H129" s="12">
        <f>HH99</f>
        <v/>
      </c>
      <c r="I129" s="12">
        <f>HI99</f>
        <v/>
      </c>
      <c r="J129" s="12">
        <f>HJ99</f>
        <v/>
      </c>
      <c r="K129" s="12">
        <f>HK99</f>
        <v/>
      </c>
      <c r="L129" s="12">
        <f>HL99</f>
        <v/>
      </c>
      <c r="M129" s="12">
        <f>HM99</f>
        <v/>
      </c>
      <c r="N129" s="12">
        <f>HN99</f>
        <v/>
      </c>
      <c r="O129" s="12">
        <f>HO99</f>
        <v/>
      </c>
      <c r="P129" s="12">
        <f>HP99</f>
        <v/>
      </c>
      <c r="Q129" s="12">
        <f>HQ99</f>
        <v/>
      </c>
      <c r="R129" s="12">
        <f>HR99</f>
        <v/>
      </c>
      <c r="S129" s="12">
        <f>HS99</f>
        <v/>
      </c>
      <c r="T129" s="12">
        <f>HT99</f>
        <v/>
      </c>
      <c r="U129" s="12">
        <f>HU99</f>
        <v/>
      </c>
      <c r="V129" s="12">
        <f>HV99</f>
        <v/>
      </c>
      <c r="W129" s="12">
        <f>HW99</f>
        <v/>
      </c>
      <c r="X129" s="12">
        <f>HX99</f>
        <v/>
      </c>
      <c r="Y129" s="12">
        <f>HY99</f>
        <v/>
      </c>
      <c r="Z129" s="12">
        <f>HZ99</f>
        <v/>
      </c>
      <c r="AA129" s="12">
        <f>IA99</f>
        <v/>
      </c>
    </row>
    <row r="130" ht="13" customHeight="1">
      <c r="A130" s="9" t="n">
        <v>10</v>
      </c>
      <c r="B130" s="12">
        <f>HB100</f>
        <v/>
      </c>
      <c r="C130" s="12">
        <f>HC100</f>
        <v/>
      </c>
      <c r="D130" s="12">
        <f>HD100</f>
        <v/>
      </c>
      <c r="E130" s="12">
        <f>HE100</f>
        <v/>
      </c>
      <c r="F130" s="12">
        <f>HF100</f>
        <v/>
      </c>
      <c r="G130" s="12">
        <f>HG100</f>
        <v/>
      </c>
      <c r="H130" s="12">
        <f>HH100</f>
        <v/>
      </c>
      <c r="I130" s="12">
        <f>HI100</f>
        <v/>
      </c>
      <c r="J130" s="12">
        <f>HJ100</f>
        <v/>
      </c>
      <c r="K130" s="12">
        <f>HK100</f>
        <v/>
      </c>
      <c r="L130" s="12">
        <f>HL100</f>
        <v/>
      </c>
      <c r="M130" s="12">
        <f>HM100</f>
        <v/>
      </c>
      <c r="N130" s="12">
        <f>HN100</f>
        <v/>
      </c>
      <c r="O130" s="12">
        <f>HO100</f>
        <v/>
      </c>
      <c r="P130" s="12">
        <f>HP100</f>
        <v/>
      </c>
      <c r="Q130" s="12">
        <f>HQ100</f>
        <v/>
      </c>
      <c r="R130" s="12">
        <f>HR100</f>
        <v/>
      </c>
      <c r="S130" s="12">
        <f>HS100</f>
        <v/>
      </c>
      <c r="T130" s="12">
        <f>HT100</f>
        <v/>
      </c>
      <c r="U130" s="12">
        <f>HU100</f>
        <v/>
      </c>
      <c r="V130" s="12">
        <f>HV100</f>
        <v/>
      </c>
      <c r="W130" s="12">
        <f>HW100</f>
        <v/>
      </c>
      <c r="X130" s="12">
        <f>HX100</f>
        <v/>
      </c>
      <c r="Y130" s="12">
        <f>HY100</f>
        <v/>
      </c>
      <c r="Z130" s="12">
        <f>HZ100</f>
        <v/>
      </c>
      <c r="AA130" s="12">
        <f>IA100</f>
        <v/>
      </c>
    </row>
    <row r="131" ht="13" customHeight="1">
      <c r="A131" s="9" t="n">
        <v>11</v>
      </c>
      <c r="B131" s="12">
        <f>HB101</f>
        <v/>
      </c>
      <c r="C131" s="12">
        <f>HC101</f>
        <v/>
      </c>
      <c r="D131" s="12">
        <f>HD101</f>
        <v/>
      </c>
      <c r="E131" s="12">
        <f>HE101</f>
        <v/>
      </c>
      <c r="F131" s="12">
        <f>HF101</f>
        <v/>
      </c>
      <c r="G131" s="12">
        <f>HG101</f>
        <v/>
      </c>
      <c r="H131" s="12">
        <f>HH101</f>
        <v/>
      </c>
      <c r="I131" s="12">
        <f>HI101</f>
        <v/>
      </c>
      <c r="J131" s="12">
        <f>HJ101</f>
        <v/>
      </c>
      <c r="K131" s="12">
        <f>HK101</f>
        <v/>
      </c>
      <c r="L131" s="12">
        <f>HL101</f>
        <v/>
      </c>
      <c r="M131" s="12">
        <f>HM101</f>
        <v/>
      </c>
      <c r="N131" s="12">
        <f>HN101</f>
        <v/>
      </c>
      <c r="O131" s="12">
        <f>HO101</f>
        <v/>
      </c>
      <c r="P131" s="12">
        <f>HP101</f>
        <v/>
      </c>
      <c r="Q131" s="12">
        <f>HQ101</f>
        <v/>
      </c>
      <c r="R131" s="12">
        <f>HR101</f>
        <v/>
      </c>
      <c r="S131" s="12">
        <f>HS101</f>
        <v/>
      </c>
      <c r="T131" s="12">
        <f>HT101</f>
        <v/>
      </c>
      <c r="U131" s="12">
        <f>HU101</f>
        <v/>
      </c>
      <c r="V131" s="12">
        <f>HV101</f>
        <v/>
      </c>
      <c r="W131" s="12">
        <f>HW101</f>
        <v/>
      </c>
      <c r="X131" s="12">
        <f>HX101</f>
        <v/>
      </c>
      <c r="Y131" s="12">
        <f>HY101</f>
        <v/>
      </c>
      <c r="Z131" s="12">
        <f>HZ101</f>
        <v/>
      </c>
      <c r="AA131" s="12">
        <f>IA101</f>
        <v/>
      </c>
    </row>
    <row r="132" ht="13" customHeight="1">
      <c r="A132" s="9" t="n">
        <v>12</v>
      </c>
      <c r="B132" s="12">
        <f>HB102</f>
        <v/>
      </c>
      <c r="C132" s="12">
        <f>HC102</f>
        <v/>
      </c>
      <c r="D132" s="12">
        <f>HD102</f>
        <v/>
      </c>
      <c r="E132" s="12">
        <f>HE102</f>
        <v/>
      </c>
      <c r="F132" s="12">
        <f>HF102</f>
        <v/>
      </c>
      <c r="G132" s="12">
        <f>HG102</f>
        <v/>
      </c>
      <c r="H132" s="12">
        <f>HH102</f>
        <v/>
      </c>
      <c r="I132" s="12">
        <f>HI102</f>
        <v/>
      </c>
      <c r="J132" s="12">
        <f>HJ102</f>
        <v/>
      </c>
      <c r="K132" s="12">
        <f>HK102</f>
        <v/>
      </c>
      <c r="L132" s="12">
        <f>HL102</f>
        <v/>
      </c>
      <c r="M132" s="12">
        <f>HM102</f>
        <v/>
      </c>
      <c r="N132" s="12">
        <f>HN102</f>
        <v/>
      </c>
      <c r="O132" s="12">
        <f>HO102</f>
        <v/>
      </c>
      <c r="P132" s="12">
        <f>HP102</f>
        <v/>
      </c>
      <c r="Q132" s="12">
        <f>HQ102</f>
        <v/>
      </c>
      <c r="R132" s="12">
        <f>HR102</f>
        <v/>
      </c>
      <c r="S132" s="12">
        <f>HS102</f>
        <v/>
      </c>
      <c r="T132" s="12">
        <f>HT102</f>
        <v/>
      </c>
      <c r="U132" s="12">
        <f>HU102</f>
        <v/>
      </c>
      <c r="V132" s="12">
        <f>HV102</f>
        <v/>
      </c>
      <c r="W132" s="12">
        <f>HW102</f>
        <v/>
      </c>
      <c r="X132" s="12">
        <f>HX102</f>
        <v/>
      </c>
      <c r="Y132" s="12">
        <f>HY102</f>
        <v/>
      </c>
      <c r="Z132" s="12">
        <f>HZ102</f>
        <v/>
      </c>
      <c r="AA132" s="12">
        <f>IA102</f>
        <v/>
      </c>
    </row>
    <row r="133" ht="13" customHeight="1">
      <c r="A133" s="9" t="n">
        <v>13</v>
      </c>
      <c r="B133" s="12">
        <f>HB103</f>
        <v/>
      </c>
      <c r="C133" s="12">
        <f>HC103</f>
        <v/>
      </c>
      <c r="D133" s="12">
        <f>HD103</f>
        <v/>
      </c>
      <c r="E133" s="12">
        <f>HE103</f>
        <v/>
      </c>
      <c r="F133" s="12">
        <f>HF103</f>
        <v/>
      </c>
      <c r="G133" s="12">
        <f>HG103</f>
        <v/>
      </c>
      <c r="H133" s="12">
        <f>HH103</f>
        <v/>
      </c>
      <c r="I133" s="12">
        <f>HI103</f>
        <v/>
      </c>
      <c r="J133" s="12">
        <f>HJ103</f>
        <v/>
      </c>
      <c r="K133" s="12">
        <f>HK103</f>
        <v/>
      </c>
      <c r="L133" s="12">
        <f>HL103</f>
        <v/>
      </c>
      <c r="M133" s="12">
        <f>HM103</f>
        <v/>
      </c>
      <c r="N133" s="12">
        <f>HN103</f>
        <v/>
      </c>
      <c r="O133" s="12">
        <f>HO103</f>
        <v/>
      </c>
      <c r="P133" s="12">
        <f>HP103</f>
        <v/>
      </c>
      <c r="Q133" s="12">
        <f>HQ103</f>
        <v/>
      </c>
      <c r="R133" s="12">
        <f>HR103</f>
        <v/>
      </c>
      <c r="S133" s="12">
        <f>HS103</f>
        <v/>
      </c>
      <c r="T133" s="12">
        <f>HT103</f>
        <v/>
      </c>
      <c r="U133" s="12">
        <f>HU103</f>
        <v/>
      </c>
      <c r="V133" s="12">
        <f>HV103</f>
        <v/>
      </c>
      <c r="W133" s="12">
        <f>HW103</f>
        <v/>
      </c>
      <c r="X133" s="12">
        <f>HX103</f>
        <v/>
      </c>
      <c r="Y133" s="12">
        <f>HY103</f>
        <v/>
      </c>
      <c r="Z133" s="12">
        <f>HZ103</f>
        <v/>
      </c>
      <c r="AA133" s="12">
        <f>IA103</f>
        <v/>
      </c>
    </row>
    <row r="134" ht="13" customHeight="1">
      <c r="A134" s="9" t="n">
        <v>14</v>
      </c>
      <c r="B134" s="12">
        <f>HB104</f>
        <v/>
      </c>
      <c r="C134" s="12">
        <f>HC104</f>
        <v/>
      </c>
      <c r="D134" s="12">
        <f>HD104</f>
        <v/>
      </c>
      <c r="E134" s="12">
        <f>HE104</f>
        <v/>
      </c>
      <c r="F134" s="12">
        <f>HF104</f>
        <v/>
      </c>
      <c r="G134" s="12">
        <f>HG104</f>
        <v/>
      </c>
      <c r="H134" s="12">
        <f>HH104</f>
        <v/>
      </c>
      <c r="I134" s="12">
        <f>HI104</f>
        <v/>
      </c>
      <c r="J134" s="12">
        <f>HJ104</f>
        <v/>
      </c>
      <c r="K134" s="12">
        <f>HK104</f>
        <v/>
      </c>
      <c r="L134" s="12">
        <f>HL104</f>
        <v/>
      </c>
      <c r="M134" s="12">
        <f>HM104</f>
        <v/>
      </c>
      <c r="N134" s="12">
        <f>HN104</f>
        <v/>
      </c>
      <c r="O134" s="12">
        <f>HO104</f>
        <v/>
      </c>
      <c r="P134" s="12">
        <f>HP104</f>
        <v/>
      </c>
      <c r="Q134" s="12">
        <f>HQ104</f>
        <v/>
      </c>
      <c r="R134" s="12">
        <f>HR104</f>
        <v/>
      </c>
      <c r="S134" s="12">
        <f>HS104</f>
        <v/>
      </c>
      <c r="T134" s="12">
        <f>HT104</f>
        <v/>
      </c>
      <c r="U134" s="12">
        <f>HU104</f>
        <v/>
      </c>
      <c r="V134" s="12">
        <f>HV104</f>
        <v/>
      </c>
      <c r="W134" s="12">
        <f>HW104</f>
        <v/>
      </c>
      <c r="X134" s="12">
        <f>HX104</f>
        <v/>
      </c>
      <c r="Y134" s="12">
        <f>HY104</f>
        <v/>
      </c>
      <c r="Z134" s="12">
        <f>HZ104</f>
        <v/>
      </c>
      <c r="AA134" s="12">
        <f>IA104</f>
        <v/>
      </c>
    </row>
    <row r="135" ht="13" customHeight="1">
      <c r="A135" s="9" t="n">
        <v>15</v>
      </c>
      <c r="B135" s="12">
        <f>HB105</f>
        <v/>
      </c>
      <c r="C135" s="12">
        <f>HC105</f>
        <v/>
      </c>
      <c r="D135" s="12">
        <f>HD105</f>
        <v/>
      </c>
      <c r="E135" s="12">
        <f>HE105</f>
        <v/>
      </c>
      <c r="F135" s="12">
        <f>HF105</f>
        <v/>
      </c>
      <c r="G135" s="12">
        <f>HG105</f>
        <v/>
      </c>
      <c r="H135" s="12">
        <f>HH105</f>
        <v/>
      </c>
      <c r="I135" s="12">
        <f>HI105</f>
        <v/>
      </c>
      <c r="J135" s="12">
        <f>HJ105</f>
        <v/>
      </c>
      <c r="K135" s="12">
        <f>HK105</f>
        <v/>
      </c>
      <c r="L135" s="12">
        <f>HL105</f>
        <v/>
      </c>
      <c r="M135" s="12">
        <f>HM105</f>
        <v/>
      </c>
      <c r="N135" s="12">
        <f>HN105</f>
        <v/>
      </c>
      <c r="O135" s="12">
        <f>HO105</f>
        <v/>
      </c>
      <c r="P135" s="12">
        <f>HP105</f>
        <v/>
      </c>
      <c r="Q135" s="12">
        <f>HQ105</f>
        <v/>
      </c>
      <c r="R135" s="12">
        <f>HR105</f>
        <v/>
      </c>
      <c r="S135" s="12">
        <f>HS105</f>
        <v/>
      </c>
      <c r="T135" s="12">
        <f>HT105</f>
        <v/>
      </c>
      <c r="U135" s="12">
        <f>HU105</f>
        <v/>
      </c>
      <c r="V135" s="12">
        <f>HV105</f>
        <v/>
      </c>
      <c r="W135" s="12">
        <f>HW105</f>
        <v/>
      </c>
      <c r="X135" s="12">
        <f>HX105</f>
        <v/>
      </c>
      <c r="Y135" s="12">
        <f>HY105</f>
        <v/>
      </c>
      <c r="Z135" s="12">
        <f>HZ105</f>
        <v/>
      </c>
      <c r="AA135" s="12">
        <f>IA105</f>
        <v/>
      </c>
    </row>
    <row r="136" ht="13" customHeight="1">
      <c r="A136" s="9" t="n">
        <v>16</v>
      </c>
      <c r="B136" s="12">
        <f>HB106</f>
        <v/>
      </c>
      <c r="C136" s="12">
        <f>HC106</f>
        <v/>
      </c>
      <c r="D136" s="12">
        <f>HD106</f>
        <v/>
      </c>
      <c r="E136" s="12">
        <f>HE106</f>
        <v/>
      </c>
      <c r="F136" s="12">
        <f>HF106</f>
        <v/>
      </c>
      <c r="G136" s="12">
        <f>HG106</f>
        <v/>
      </c>
      <c r="H136" s="12">
        <f>HH106</f>
        <v/>
      </c>
      <c r="I136" s="12">
        <f>HI106</f>
        <v/>
      </c>
      <c r="J136" s="12">
        <f>HJ106</f>
        <v/>
      </c>
      <c r="K136" s="12">
        <f>HK106</f>
        <v/>
      </c>
      <c r="L136" s="12">
        <f>HL106</f>
        <v/>
      </c>
      <c r="M136" s="12">
        <f>HM106</f>
        <v/>
      </c>
      <c r="N136" s="12">
        <f>HN106</f>
        <v/>
      </c>
      <c r="O136" s="12">
        <f>HO106</f>
        <v/>
      </c>
      <c r="P136" s="12">
        <f>HP106</f>
        <v/>
      </c>
      <c r="Q136" s="12">
        <f>HQ106</f>
        <v/>
      </c>
      <c r="R136" s="12">
        <f>HR106</f>
        <v/>
      </c>
      <c r="S136" s="12">
        <f>HS106</f>
        <v/>
      </c>
      <c r="T136" s="12">
        <f>HT106</f>
        <v/>
      </c>
      <c r="U136" s="12">
        <f>HU106</f>
        <v/>
      </c>
      <c r="V136" s="12">
        <f>HV106</f>
        <v/>
      </c>
      <c r="W136" s="12">
        <f>HW106</f>
        <v/>
      </c>
      <c r="X136" s="12">
        <f>HX106</f>
        <v/>
      </c>
      <c r="Y136" s="12">
        <f>HY106</f>
        <v/>
      </c>
      <c r="Z136" s="12">
        <f>HZ106</f>
        <v/>
      </c>
      <c r="AA136" s="12">
        <f>IA106</f>
        <v/>
      </c>
    </row>
    <row r="137" ht="13" customHeight="1">
      <c r="A137" s="9" t="n">
        <v>17</v>
      </c>
      <c r="B137" s="12">
        <f>HB107</f>
        <v/>
      </c>
      <c r="C137" s="12">
        <f>HC107</f>
        <v/>
      </c>
      <c r="D137" s="12">
        <f>HD107</f>
        <v/>
      </c>
      <c r="E137" s="12">
        <f>HE107</f>
        <v/>
      </c>
      <c r="F137" s="12">
        <f>HF107</f>
        <v/>
      </c>
      <c r="G137" s="12">
        <f>HG107</f>
        <v/>
      </c>
      <c r="H137" s="12">
        <f>HH107</f>
        <v/>
      </c>
      <c r="I137" s="12">
        <f>HI107</f>
        <v/>
      </c>
      <c r="J137" s="12">
        <f>HJ107</f>
        <v/>
      </c>
      <c r="K137" s="12">
        <f>HK107</f>
        <v/>
      </c>
      <c r="L137" s="12">
        <f>HL107</f>
        <v/>
      </c>
      <c r="M137" s="12">
        <f>HM107</f>
        <v/>
      </c>
      <c r="N137" s="12">
        <f>HN107</f>
        <v/>
      </c>
      <c r="O137" s="12">
        <f>HO107</f>
        <v/>
      </c>
      <c r="P137" s="12">
        <f>HP107</f>
        <v/>
      </c>
      <c r="Q137" s="12">
        <f>HQ107</f>
        <v/>
      </c>
      <c r="R137" s="12">
        <f>HR107</f>
        <v/>
      </c>
      <c r="S137" s="12">
        <f>HS107</f>
        <v/>
      </c>
      <c r="T137" s="12">
        <f>HT107</f>
        <v/>
      </c>
      <c r="U137" s="12">
        <f>HU107</f>
        <v/>
      </c>
      <c r="V137" s="12">
        <f>HV107</f>
        <v/>
      </c>
      <c r="W137" s="12">
        <f>HW107</f>
        <v/>
      </c>
      <c r="X137" s="12">
        <f>HX107</f>
        <v/>
      </c>
      <c r="Y137" s="12">
        <f>HY107</f>
        <v/>
      </c>
      <c r="Z137" s="12">
        <f>HZ107</f>
        <v/>
      </c>
      <c r="AA137" s="12">
        <f>IA107</f>
        <v/>
      </c>
    </row>
    <row r="138" ht="13" customHeight="1">
      <c r="A138" s="9" t="n">
        <v>18</v>
      </c>
      <c r="B138" s="12">
        <f>HB108</f>
        <v/>
      </c>
      <c r="C138" s="12">
        <f>HC108</f>
        <v/>
      </c>
      <c r="D138" s="12">
        <f>HD108</f>
        <v/>
      </c>
      <c r="E138" s="12">
        <f>HE108</f>
        <v/>
      </c>
      <c r="F138" s="12">
        <f>HF108</f>
        <v/>
      </c>
      <c r="G138" s="12">
        <f>HG108</f>
        <v/>
      </c>
      <c r="H138" s="12">
        <f>HH108</f>
        <v/>
      </c>
      <c r="I138" s="12">
        <f>HI108</f>
        <v/>
      </c>
      <c r="J138" s="12">
        <f>HJ108</f>
        <v/>
      </c>
      <c r="K138" s="12">
        <f>HK108</f>
        <v/>
      </c>
      <c r="L138" s="12">
        <f>HL108</f>
        <v/>
      </c>
      <c r="M138" s="12">
        <f>HM108</f>
        <v/>
      </c>
      <c r="N138" s="12">
        <f>HN108</f>
        <v/>
      </c>
      <c r="O138" s="12">
        <f>HO108</f>
        <v/>
      </c>
      <c r="P138" s="12">
        <f>HP108</f>
        <v/>
      </c>
      <c r="Q138" s="12">
        <f>HQ108</f>
        <v/>
      </c>
      <c r="R138" s="12">
        <f>HR108</f>
        <v/>
      </c>
      <c r="S138" s="12">
        <f>HS108</f>
        <v/>
      </c>
      <c r="T138" s="12">
        <f>HT108</f>
        <v/>
      </c>
      <c r="U138" s="12">
        <f>HU108</f>
        <v/>
      </c>
      <c r="V138" s="12">
        <f>HV108</f>
        <v/>
      </c>
      <c r="W138" s="12">
        <f>HW108</f>
        <v/>
      </c>
      <c r="X138" s="12">
        <f>HX108</f>
        <v/>
      </c>
      <c r="Y138" s="12">
        <f>HY108</f>
        <v/>
      </c>
      <c r="Z138" s="12">
        <f>HZ108</f>
        <v/>
      </c>
      <c r="AA138" s="12">
        <f>IA108</f>
        <v/>
      </c>
    </row>
    <row r="139" ht="13" customHeight="1">
      <c r="A139" s="9" t="n">
        <v>19</v>
      </c>
      <c r="B139" s="12">
        <f>HB109</f>
        <v/>
      </c>
      <c r="C139" s="12">
        <f>HC109</f>
        <v/>
      </c>
      <c r="D139" s="12">
        <f>HD109</f>
        <v/>
      </c>
      <c r="E139" s="12">
        <f>HE109</f>
        <v/>
      </c>
      <c r="F139" s="12">
        <f>HF109</f>
        <v/>
      </c>
      <c r="G139" s="12">
        <f>HG109</f>
        <v/>
      </c>
      <c r="H139" s="12">
        <f>HH109</f>
        <v/>
      </c>
      <c r="I139" s="12">
        <f>HI109</f>
        <v/>
      </c>
      <c r="J139" s="12">
        <f>HJ109</f>
        <v/>
      </c>
      <c r="K139" s="12">
        <f>HK109</f>
        <v/>
      </c>
      <c r="L139" s="12">
        <f>HL109</f>
        <v/>
      </c>
      <c r="M139" s="12">
        <f>HM109</f>
        <v/>
      </c>
      <c r="N139" s="12">
        <f>HN109</f>
        <v/>
      </c>
      <c r="O139" s="12">
        <f>HO109</f>
        <v/>
      </c>
      <c r="P139" s="12">
        <f>HP109</f>
        <v/>
      </c>
      <c r="Q139" s="12">
        <f>HQ109</f>
        <v/>
      </c>
      <c r="R139" s="12">
        <f>HR109</f>
        <v/>
      </c>
      <c r="S139" s="12">
        <f>HS109</f>
        <v/>
      </c>
      <c r="T139" s="12">
        <f>HT109</f>
        <v/>
      </c>
      <c r="U139" s="12">
        <f>HU109</f>
        <v/>
      </c>
      <c r="V139" s="12">
        <f>HV109</f>
        <v/>
      </c>
      <c r="W139" s="12">
        <f>HW109</f>
        <v/>
      </c>
      <c r="X139" s="12">
        <f>HX109</f>
        <v/>
      </c>
      <c r="Y139" s="12">
        <f>HY109</f>
        <v/>
      </c>
      <c r="Z139" s="12">
        <f>HZ109</f>
        <v/>
      </c>
      <c r="AA139" s="12">
        <f>IA109</f>
        <v/>
      </c>
    </row>
    <row r="140" ht="13" customHeight="1">
      <c r="A140" s="9" t="n">
        <v>20</v>
      </c>
      <c r="B140" s="12">
        <f>HB110</f>
        <v/>
      </c>
      <c r="C140" s="12">
        <f>HC110</f>
        <v/>
      </c>
      <c r="D140" s="12">
        <f>HD110</f>
        <v/>
      </c>
      <c r="E140" s="12">
        <f>HE110</f>
        <v/>
      </c>
      <c r="F140" s="12">
        <f>HF110</f>
        <v/>
      </c>
      <c r="G140" s="12">
        <f>HG110</f>
        <v/>
      </c>
      <c r="H140" s="12">
        <f>HH110</f>
        <v/>
      </c>
      <c r="I140" s="12">
        <f>HI110</f>
        <v/>
      </c>
      <c r="J140" s="12">
        <f>HJ110</f>
        <v/>
      </c>
      <c r="K140" s="12">
        <f>HK110</f>
        <v/>
      </c>
      <c r="L140" s="12">
        <f>HL110</f>
        <v/>
      </c>
      <c r="M140" s="12">
        <f>HM110</f>
        <v/>
      </c>
      <c r="N140" s="12">
        <f>HN110</f>
        <v/>
      </c>
      <c r="O140" s="12">
        <f>HO110</f>
        <v/>
      </c>
      <c r="P140" s="12">
        <f>HP110</f>
        <v/>
      </c>
      <c r="Q140" s="12">
        <f>HQ110</f>
        <v/>
      </c>
      <c r="R140" s="12">
        <f>HR110</f>
        <v/>
      </c>
      <c r="S140" s="12">
        <f>HS110</f>
        <v/>
      </c>
      <c r="T140" s="12">
        <f>HT110</f>
        <v/>
      </c>
      <c r="U140" s="12">
        <f>HU110</f>
        <v/>
      </c>
      <c r="V140" s="12">
        <f>HV110</f>
        <v/>
      </c>
      <c r="W140" s="12">
        <f>HW110</f>
        <v/>
      </c>
      <c r="X140" s="12">
        <f>HX110</f>
        <v/>
      </c>
      <c r="Y140" s="12">
        <f>HY110</f>
        <v/>
      </c>
      <c r="Z140" s="12">
        <f>HZ110</f>
        <v/>
      </c>
      <c r="AA140" s="12">
        <f>IA110</f>
        <v/>
      </c>
    </row>
    <row r="141" ht="13" customHeight="1">
      <c r="A141" s="9" t="n">
        <v>21</v>
      </c>
      <c r="B141" s="12">
        <f>HB111</f>
        <v/>
      </c>
      <c r="C141" s="12">
        <f>HC111</f>
        <v/>
      </c>
      <c r="D141" s="12">
        <f>HD111</f>
        <v/>
      </c>
      <c r="E141" s="12">
        <f>HE111</f>
        <v/>
      </c>
      <c r="F141" s="12">
        <f>HF111</f>
        <v/>
      </c>
      <c r="G141" s="12">
        <f>HG111</f>
        <v/>
      </c>
      <c r="H141" s="12">
        <f>HH111</f>
        <v/>
      </c>
      <c r="I141" s="12">
        <f>HI111</f>
        <v/>
      </c>
      <c r="J141" s="12">
        <f>HJ111</f>
        <v/>
      </c>
      <c r="K141" s="12">
        <f>HK111</f>
        <v/>
      </c>
      <c r="L141" s="12">
        <f>HL111</f>
        <v/>
      </c>
      <c r="M141" s="12">
        <f>HM111</f>
        <v/>
      </c>
      <c r="N141" s="12">
        <f>HN111</f>
        <v/>
      </c>
      <c r="O141" s="12">
        <f>HO111</f>
        <v/>
      </c>
      <c r="P141" s="12">
        <f>HP111</f>
        <v/>
      </c>
      <c r="Q141" s="12">
        <f>HQ111</f>
        <v/>
      </c>
      <c r="R141" s="12">
        <f>HR111</f>
        <v/>
      </c>
      <c r="S141" s="12">
        <f>HS111</f>
        <v/>
      </c>
      <c r="T141" s="12">
        <f>HT111</f>
        <v/>
      </c>
      <c r="U141" s="12">
        <f>HU111</f>
        <v/>
      </c>
      <c r="V141" s="12">
        <f>HV111</f>
        <v/>
      </c>
      <c r="W141" s="12">
        <f>HW111</f>
        <v/>
      </c>
      <c r="X141" s="12">
        <f>HX111</f>
        <v/>
      </c>
      <c r="Y141" s="12">
        <f>HY111</f>
        <v/>
      </c>
      <c r="Z141" s="12">
        <f>HZ111</f>
        <v/>
      </c>
      <c r="AA141" s="12">
        <f>IA111</f>
        <v/>
      </c>
    </row>
    <row r="142" ht="13" customHeight="1">
      <c r="A142" s="9" t="n">
        <v>22</v>
      </c>
      <c r="B142" s="12">
        <f>HB112</f>
        <v/>
      </c>
      <c r="C142" s="12">
        <f>HC112</f>
        <v/>
      </c>
      <c r="D142" s="12">
        <f>HD112</f>
        <v/>
      </c>
      <c r="E142" s="12">
        <f>HE112</f>
        <v/>
      </c>
      <c r="F142" s="12">
        <f>HF112</f>
        <v/>
      </c>
      <c r="G142" s="12">
        <f>HG112</f>
        <v/>
      </c>
      <c r="H142" s="12">
        <f>HH112</f>
        <v/>
      </c>
      <c r="I142" s="12">
        <f>HI112</f>
        <v/>
      </c>
      <c r="J142" s="12">
        <f>HJ112</f>
        <v/>
      </c>
      <c r="K142" s="12">
        <f>HK112</f>
        <v/>
      </c>
      <c r="L142" s="12">
        <f>HL112</f>
        <v/>
      </c>
      <c r="M142" s="12">
        <f>HM112</f>
        <v/>
      </c>
      <c r="N142" s="12">
        <f>HN112</f>
        <v/>
      </c>
      <c r="O142" s="12">
        <f>HO112</f>
        <v/>
      </c>
      <c r="P142" s="12">
        <f>HP112</f>
        <v/>
      </c>
      <c r="Q142" s="12">
        <f>HQ112</f>
        <v/>
      </c>
      <c r="R142" s="12">
        <f>HR112</f>
        <v/>
      </c>
      <c r="S142" s="12">
        <f>HS112</f>
        <v/>
      </c>
      <c r="T142" s="12">
        <f>HT112</f>
        <v/>
      </c>
      <c r="U142" s="12">
        <f>HU112</f>
        <v/>
      </c>
      <c r="V142" s="12">
        <f>HV112</f>
        <v/>
      </c>
      <c r="W142" s="12">
        <f>HW112</f>
        <v/>
      </c>
      <c r="X142" s="12">
        <f>HX112</f>
        <v/>
      </c>
      <c r="Y142" s="12">
        <f>HY112</f>
        <v/>
      </c>
      <c r="Z142" s="12">
        <f>HZ112</f>
        <v/>
      </c>
      <c r="AA142" s="12">
        <f>IA112</f>
        <v/>
      </c>
    </row>
    <row r="143" ht="13" customHeight="1">
      <c r="A143" s="9" t="n">
        <v>23</v>
      </c>
      <c r="B143" s="12">
        <f>HB113</f>
        <v/>
      </c>
      <c r="C143" s="12">
        <f>HC113</f>
        <v/>
      </c>
      <c r="D143" s="12">
        <f>HD113</f>
        <v/>
      </c>
      <c r="E143" s="12">
        <f>HE113</f>
        <v/>
      </c>
      <c r="F143" s="12">
        <f>HF113</f>
        <v/>
      </c>
      <c r="G143" s="12">
        <f>HG113</f>
        <v/>
      </c>
      <c r="H143" s="12">
        <f>HH113</f>
        <v/>
      </c>
      <c r="I143" s="12">
        <f>HI113</f>
        <v/>
      </c>
      <c r="J143" s="12">
        <f>HJ113</f>
        <v/>
      </c>
      <c r="K143" s="12">
        <f>HK113</f>
        <v/>
      </c>
      <c r="L143" s="12">
        <f>HL113</f>
        <v/>
      </c>
      <c r="M143" s="12">
        <f>HM113</f>
        <v/>
      </c>
      <c r="N143" s="12">
        <f>HN113</f>
        <v/>
      </c>
      <c r="O143" s="12">
        <f>HO113</f>
        <v/>
      </c>
      <c r="P143" s="12">
        <f>HP113</f>
        <v/>
      </c>
      <c r="Q143" s="12">
        <f>HQ113</f>
        <v/>
      </c>
      <c r="R143" s="12">
        <f>HR113</f>
        <v/>
      </c>
      <c r="S143" s="12">
        <f>HS113</f>
        <v/>
      </c>
      <c r="T143" s="12">
        <f>HT113</f>
        <v/>
      </c>
      <c r="U143" s="12">
        <f>HU113</f>
        <v/>
      </c>
      <c r="V143" s="12">
        <f>HV113</f>
        <v/>
      </c>
      <c r="W143" s="12">
        <f>HW113</f>
        <v/>
      </c>
      <c r="X143" s="12">
        <f>HX113</f>
        <v/>
      </c>
      <c r="Y143" s="12">
        <f>HY113</f>
        <v/>
      </c>
      <c r="Z143" s="12">
        <f>HZ113</f>
        <v/>
      </c>
      <c r="AA143" s="12">
        <f>IA113</f>
        <v/>
      </c>
    </row>
    <row r="144" ht="13" customHeight="1">
      <c r="A144" s="9" t="n">
        <v>24</v>
      </c>
      <c r="B144" s="12">
        <f>HB114</f>
        <v/>
      </c>
      <c r="C144" s="12">
        <f>HC114</f>
        <v/>
      </c>
      <c r="D144" s="12">
        <f>HD114</f>
        <v/>
      </c>
      <c r="E144" s="12">
        <f>HE114</f>
        <v/>
      </c>
      <c r="F144" s="12">
        <f>HF114</f>
        <v/>
      </c>
      <c r="G144" s="12">
        <f>HG114</f>
        <v/>
      </c>
      <c r="H144" s="12">
        <f>HH114</f>
        <v/>
      </c>
      <c r="I144" s="12">
        <f>HI114</f>
        <v/>
      </c>
      <c r="J144" s="12">
        <f>HJ114</f>
        <v/>
      </c>
      <c r="K144" s="12">
        <f>HK114</f>
        <v/>
      </c>
      <c r="L144" s="12">
        <f>HL114</f>
        <v/>
      </c>
      <c r="M144" s="12">
        <f>HM114</f>
        <v/>
      </c>
      <c r="N144" s="12">
        <f>HN114</f>
        <v/>
      </c>
      <c r="O144" s="12">
        <f>HO114</f>
        <v/>
      </c>
      <c r="P144" s="12">
        <f>HP114</f>
        <v/>
      </c>
      <c r="Q144" s="12">
        <f>HQ114</f>
        <v/>
      </c>
      <c r="R144" s="12">
        <f>HR114</f>
        <v/>
      </c>
      <c r="S144" s="12">
        <f>HS114</f>
        <v/>
      </c>
      <c r="T144" s="12">
        <f>HT114</f>
        <v/>
      </c>
      <c r="U144" s="12">
        <f>HU114</f>
        <v/>
      </c>
      <c r="V144" s="12">
        <f>HV114</f>
        <v/>
      </c>
      <c r="W144" s="12">
        <f>HW114</f>
        <v/>
      </c>
      <c r="X144" s="12">
        <f>HX114</f>
        <v/>
      </c>
      <c r="Y144" s="12">
        <f>HY114</f>
        <v/>
      </c>
      <c r="Z144" s="12">
        <f>HZ114</f>
        <v/>
      </c>
      <c r="AA144" s="12">
        <f>IA114</f>
        <v/>
      </c>
    </row>
    <row r="145" ht="13" customHeight="1">
      <c r="A145" s="9" t="n">
        <v>25</v>
      </c>
      <c r="B145" s="12">
        <f>HB115</f>
        <v/>
      </c>
      <c r="C145" s="12">
        <f>HC115</f>
        <v/>
      </c>
      <c r="D145" s="12">
        <f>HD115</f>
        <v/>
      </c>
      <c r="E145" s="12">
        <f>HE115</f>
        <v/>
      </c>
      <c r="F145" s="12">
        <f>HF115</f>
        <v/>
      </c>
      <c r="G145" s="12">
        <f>HG115</f>
        <v/>
      </c>
      <c r="H145" s="12">
        <f>HH115</f>
        <v/>
      </c>
      <c r="I145" s="12">
        <f>HI115</f>
        <v/>
      </c>
      <c r="J145" s="12">
        <f>HJ115</f>
        <v/>
      </c>
      <c r="K145" s="12">
        <f>HK115</f>
        <v/>
      </c>
      <c r="L145" s="12">
        <f>HL115</f>
        <v/>
      </c>
      <c r="M145" s="12">
        <f>HM115</f>
        <v/>
      </c>
      <c r="N145" s="12">
        <f>HN115</f>
        <v/>
      </c>
      <c r="O145" s="12">
        <f>HO115</f>
        <v/>
      </c>
      <c r="P145" s="12">
        <f>HP115</f>
        <v/>
      </c>
      <c r="Q145" s="12">
        <f>HQ115</f>
        <v/>
      </c>
      <c r="R145" s="12">
        <f>HR115</f>
        <v/>
      </c>
      <c r="S145" s="12">
        <f>HS115</f>
        <v/>
      </c>
      <c r="T145" s="12">
        <f>HT115</f>
        <v/>
      </c>
      <c r="U145" s="12">
        <f>HU115</f>
        <v/>
      </c>
      <c r="V145" s="12">
        <f>HV115</f>
        <v/>
      </c>
      <c r="W145" s="12">
        <f>HW115</f>
        <v/>
      </c>
      <c r="X145" s="12">
        <f>HX115</f>
        <v/>
      </c>
      <c r="Y145" s="12">
        <f>HY115</f>
        <v/>
      </c>
      <c r="Z145" s="12">
        <f>HZ115</f>
        <v/>
      </c>
      <c r="AA145" s="12">
        <f>IA115</f>
        <v/>
      </c>
    </row>
    <row r="245" ht="20" customHeight="1">
      <c r="A245" s="30" t="inlineStr">
        <is>
          <t>ORGANIC LOADING SECTION — Primene JMT Amine Capacity</t>
        </is>
      </c>
    </row>
    <row r="246" ht="15" customHeight="1">
      <c r="A246" s="23" t="inlineStr">
        <is>
          <t>Extractant</t>
        </is>
      </c>
      <c r="B246" s="31" t="inlineStr">
        <is>
          <t>Primene JMT</t>
        </is>
      </c>
    </row>
    <row r="247" ht="15" customHeight="1">
      <c r="A247" s="23" t="inlineStr">
        <is>
          <t>MW Extractant (g/mol)</t>
        </is>
      </c>
      <c r="B247" s="10" t="n">
        <v>353.7</v>
      </c>
    </row>
    <row r="248" ht="15" customHeight="1">
      <c r="A248" s="23" t="inlineStr">
        <is>
          <t>Density extractant (g/mL)</t>
        </is>
      </c>
      <c r="B248" s="10" t="n">
        <v>0.8120000000000001</v>
      </c>
    </row>
    <row r="249" ht="15" customHeight="1">
      <c r="A249" s="23" t="inlineStr">
        <is>
          <t>Vol% in diluent</t>
        </is>
      </c>
      <c r="B249" s="10" t="n">
        <v>10</v>
      </c>
    </row>
    <row r="250" ht="15" customHeight="1">
      <c r="A250" s="23" t="inlineStr">
        <is>
          <t>Diluent</t>
        </is>
      </c>
      <c r="B250" s="31" t="inlineStr">
        <is>
          <t>Orfom</t>
        </is>
      </c>
    </row>
    <row r="251" ht="15" customHeight="1">
      <c r="A251" s="23" t="inlineStr">
        <is>
          <t>Density diluent (g/mL)</t>
        </is>
      </c>
      <c r="B251" s="10" t="n">
        <v>0.785</v>
      </c>
    </row>
    <row r="252" ht="15" customHeight="1">
      <c r="A252" s="23" t="inlineStr">
        <is>
          <t>Note — saponification</t>
        </is>
      </c>
      <c r="B252" s="31" t="inlineStr">
        <is>
          <t>N/A — primary amine</t>
        </is>
      </c>
    </row>
    <row r="253" ht="15" customHeight="1">
      <c r="A253" s="23" t="inlineStr">
        <is>
          <t>Experimental loading (%)</t>
        </is>
      </c>
      <c r="B253" s="10" t="n">
        <v>80</v>
      </c>
    </row>
    <row r="254" ht="15" customHeight="1">
      <c r="A254" s="23" t="inlineStr">
        <is>
          <t>Amine conc (mol/L)</t>
        </is>
      </c>
      <c r="B254" s="12">
        <f>($B$249/100)*$B$248*1000/$B$247</f>
        <v/>
      </c>
    </row>
    <row r="255" ht="15" customHeight="1">
      <c r="A255" s="23" t="inlineStr">
        <is>
          <t>Avg MW metals (g/mol)</t>
        </is>
      </c>
      <c r="B255" s="12">
        <f>AVERAGE(26.98,44.96,55.85,58.93,65.38,69.72,85.47,88.91,91.22,138.91,140.12,140.91,144.24,150.36,151.96,157.25,158.93,162.5,164.93,167.26,168.93,173.04,174.97,178.49,232.04,238.03)</f>
        <v/>
      </c>
    </row>
    <row r="256" ht="15" customHeight="1">
      <c r="A256" s="23" t="inlineStr">
        <is>
          <t>Max loading (g metal/L org)</t>
        </is>
      </c>
      <c r="B256" s="12">
        <f>$B$254*$B$255</f>
        <v/>
      </c>
    </row>
    <row r="257" ht="15" customHeight="1">
      <c r="A257" s="23" t="inlineStr">
        <is>
          <t>Actual loading (g/L)</t>
        </is>
      </c>
      <c r="B257" s="16">
        <f>$B$256*$B$253/100</f>
        <v/>
      </c>
    </row>
    <row r="260" ht="20" customHeight="1">
      <c r="A260" s="30" t="inlineStr">
        <is>
          <t>RESIDENCE TIME ANALYSIS</t>
        </is>
      </c>
    </row>
    <row r="261" ht="15" customHeight="1">
      <c r="A261" s="23" t="inlineStr">
        <is>
          <t>Mixer volume (m³)</t>
        </is>
      </c>
      <c r="B261" s="10" t="n">
        <v>0.001</v>
      </c>
    </row>
    <row r="262" ht="15" customHeight="1">
      <c r="A262" s="23" t="inlineStr">
        <is>
          <t>Settler length (m)</t>
        </is>
      </c>
      <c r="B262" s="10" t="n">
        <v>1</v>
      </c>
    </row>
    <row r="263" ht="15" customHeight="1">
      <c r="A263" s="23" t="inlineStr">
        <is>
          <t>Settler width (m)</t>
        </is>
      </c>
      <c r="B263" s="10" t="n">
        <v>0.5</v>
      </c>
    </row>
    <row r="264" ht="15" customHeight="1">
      <c r="A264" s="23" t="inlineStr">
        <is>
          <t>Settler depth (m)</t>
        </is>
      </c>
      <c r="B264" s="10" t="n">
        <v>0.2</v>
      </c>
    </row>
    <row r="265" ht="15" customHeight="1">
      <c r="A265" s="23" t="inlineStr">
        <is>
          <t>n settlers/stage</t>
        </is>
      </c>
      <c r="B265" s="10" t="n">
        <v>1</v>
      </c>
    </row>
    <row r="267" ht="34" customHeight="1">
      <c r="A267" s="7" t="inlineStr">
        <is>
          <t>Section</t>
        </is>
      </c>
      <c r="B267" s="7" t="inlineStr">
        <is>
          <t>n stages</t>
        </is>
      </c>
      <c r="C267" s="7" t="inlineStr">
        <is>
          <t>Q_aq
(mL/min)</t>
        </is>
      </c>
      <c r="D267" s="7" t="inlineStr">
        <is>
          <t>Q_tot
(mL/min)</t>
        </is>
      </c>
      <c r="E267" s="7" t="inlineStr">
        <is>
          <t>τ_mixer
(min)</t>
        </is>
      </c>
      <c r="F267" s="7" t="inlineStr">
        <is>
          <t>V_settler
(mL)</t>
        </is>
      </c>
      <c r="G267" s="7" t="inlineStr">
        <is>
          <t>τ_settler
(min)</t>
        </is>
      </c>
      <c r="H267" s="7" t="inlineStr">
        <is>
          <t>τ_stage
(min)</t>
        </is>
      </c>
      <c r="I267" s="7" t="inlineStr">
        <is>
          <t>τ_section
(min)</t>
        </is>
      </c>
    </row>
    <row r="268" ht="15" customHeight="1">
      <c r="A268" s="9" t="inlineStr">
        <is>
          <t>Extraction</t>
        </is>
      </c>
      <c r="B268" s="23">
        <f>$B$6</f>
        <v/>
      </c>
      <c r="C268" s="12">
        <f>$B$12*1000</f>
        <v/>
      </c>
      <c r="D268" s="12">
        <f>($B$12+$B$14)*1000</f>
        <v/>
      </c>
      <c r="E268" s="12">
        <f>($B$261*1000000)/D268</f>
        <v/>
      </c>
      <c r="F268" s="12">
        <f>$B$262*$B$263*$B$264*$B$265*1000000</f>
        <v/>
      </c>
      <c r="G268" s="12">
        <f>F268/D268</f>
        <v/>
      </c>
      <c r="H268" s="12">
        <f>E268+G268</f>
        <v/>
      </c>
      <c r="I268" s="12">
        <f>B268*H268</f>
        <v/>
      </c>
    </row>
    <row r="269" ht="15" customHeight="1">
      <c r="A269" s="9" t="inlineStr">
        <is>
          <t>Scrub</t>
        </is>
      </c>
      <c r="B269" s="23">
        <f>$B$7</f>
        <v/>
      </c>
      <c r="C269" s="12">
        <f>$B$13*$B$15*1000</f>
        <v/>
      </c>
      <c r="D269" s="12">
        <f>($B$13*$B$15+$B$14)*1000</f>
        <v/>
      </c>
      <c r="E269" s="12">
        <f>($B$261*1000000)/D269</f>
        <v/>
      </c>
      <c r="F269" s="12">
        <f>$B$262*$B$263*$B$264*$B$265*1000000</f>
        <v/>
      </c>
      <c r="G269" s="12">
        <f>F269/D269</f>
        <v/>
      </c>
      <c r="H269" s="12">
        <f>E269+G269</f>
        <v/>
      </c>
      <c r="I269" s="12">
        <f>B269*H269</f>
        <v/>
      </c>
    </row>
    <row r="270" ht="15" customHeight="1">
      <c r="A270" s="9" t="inlineStr">
        <is>
          <t>Strip</t>
        </is>
      </c>
      <c r="B270" s="23">
        <f>$B$8</f>
        <v/>
      </c>
      <c r="C270" s="12">
        <f>$B$13*1000</f>
        <v/>
      </c>
      <c r="D270" s="12">
        <f>($B$13+$B$14)*1000</f>
        <v/>
      </c>
      <c r="E270" s="12">
        <f>($B$261*1000000)/D270</f>
        <v/>
      </c>
      <c r="F270" s="12">
        <f>$B$262*$B$263*$B$264*$B$265*1000000</f>
        <v/>
      </c>
      <c r="G270" s="12">
        <f>F270/D270</f>
        <v/>
      </c>
      <c r="H270" s="12">
        <f>E270+G270</f>
        <v/>
      </c>
      <c r="I270" s="12">
        <f>B270*H270</f>
        <v/>
      </c>
    </row>
    <row r="273" ht="18" customHeight="1">
      <c r="A273" s="22" t="inlineStr">
        <is>
          <t>STEADY-STATE TIME ESTIMATOR  (Ritcey &amp; Ashbrook 1979; Perry's 8th §15-42)</t>
        </is>
      </c>
    </row>
    <row r="274">
      <c r="A274" s="23" t="inlineStr">
        <is>
          <t>Safety factor</t>
        </is>
      </c>
      <c r="B274" s="10" t="n">
        <v>3</v>
      </c>
    </row>
    <row r="275">
      <c r="A275" s="23" t="inlineStr">
        <is>
          <t>τ_max (min)</t>
        </is>
      </c>
      <c r="B275" s="12">
        <f>MAX(I268:I270)</f>
        <v/>
      </c>
    </row>
    <row r="276">
      <c r="A276" s="23" t="inlineStr">
        <is>
          <t>t_SS = factor × τ_max (min)</t>
        </is>
      </c>
      <c r="B276" s="16">
        <f>$B$274*$B$275</f>
        <v/>
      </c>
    </row>
    <row r="277">
      <c r="A277" s="23" t="inlineStr">
        <is>
          <t>Bottleneck section</t>
        </is>
      </c>
      <c r="B277" s="12">
        <f>IFERROR(INDEX(A268:A270,MATCH(MAX(I268:I270),I268:I270,0)),"—")</f>
        <v/>
      </c>
    </row>
    <row r="280" ht="18" customHeight="1">
      <c r="A280" s="22" t="inlineStr">
        <is>
          <t>FEED VARIABILITY SCENARIO  (Zr × k1/k2)</t>
        </is>
      </c>
    </row>
    <row r="281">
      <c r="A281" s="23" t="inlineStr">
        <is>
          <t>k1 (Zr × high)</t>
        </is>
      </c>
      <c r="B281" s="10" t="n">
        <v>1.2</v>
      </c>
    </row>
    <row r="282">
      <c r="A282" s="23" t="inlineStr">
        <is>
          <t>k2 (Zr × low)</t>
        </is>
      </c>
      <c r="B282" s="10" t="n">
        <v>0.8</v>
      </c>
    </row>
    <row r="283">
      <c r="A283" s="7" t="inlineStr">
        <is>
          <t>Metric</t>
        </is>
      </c>
      <c r="B283" s="7" t="inlineStr">
        <is>
          <t>Normal</t>
        </is>
      </c>
      <c r="C283" s="7" t="inlineStr">
        <is>
          <t>Zr×k1</t>
        </is>
      </c>
      <c r="D283" s="7" t="inlineStr">
        <is>
          <t>Zr×k2</t>
        </is>
      </c>
    </row>
    <row r="284">
      <c r="A284" s="23" t="inlineStr">
        <is>
          <t>Effective Zr feed (g/L)</t>
        </is>
      </c>
      <c r="B284" s="16">
        <f>$K$15</f>
        <v/>
      </c>
      <c r="C284" s="16">
        <f>$K$15*$B$281</f>
        <v/>
      </c>
      <c r="D284" s="16">
        <f>$K$15*$B$282</f>
        <v/>
      </c>
    </row>
    <row r="288" ht="18" customHeight="1">
      <c r="A288" s="13" t="inlineStr">
        <is>
          <t>TREEMAP DATA — Feed / Raffinate / Pregnant  (g/L)  → rendered as Treemap charts in Excel 2016+</t>
        </is>
      </c>
    </row>
    <row r="289" ht="16" customHeight="1">
      <c r="A289" s="7" t="inlineStr">
        <is>
          <t>Element</t>
        </is>
      </c>
      <c r="B289" s="14" t="inlineStr">
        <is>
          <t>Feed (g/L)</t>
        </is>
      </c>
      <c r="C289" s="32" t="inlineStr">
        <is>
          <t>Raffinate (g/L)</t>
        </is>
      </c>
      <c r="D289" s="15" t="inlineStr">
        <is>
          <t>Pregnant (g/L)</t>
        </is>
      </c>
      <c r="E289" s="7" t="inlineStr">
        <is>
          <t>Group</t>
        </is>
      </c>
    </row>
    <row r="290" ht="14" customHeight="1">
      <c r="A290" s="9" t="inlineStr">
        <is>
          <t>Al</t>
        </is>
      </c>
      <c r="B290" s="12">
        <f>$K$7</f>
        <v/>
      </c>
      <c r="C290" s="12">
        <f>HB91</f>
        <v/>
      </c>
      <c r="D290" s="12">
        <f>IFERROR(INDEX(HB91:HB115,$B$6+$B$7+$B$8),0)</f>
        <v/>
      </c>
      <c r="E290" s="23" t="inlineStr">
        <is>
          <t>Light metals</t>
        </is>
      </c>
    </row>
    <row r="291" ht="14" customHeight="1">
      <c r="A291" s="9" t="inlineStr">
        <is>
          <t>Sc</t>
        </is>
      </c>
      <c r="B291" s="12">
        <f>$K$8</f>
        <v/>
      </c>
      <c r="C291" s="12">
        <f>HC91</f>
        <v/>
      </c>
      <c r="D291" s="12">
        <f>IFERROR(INDEX(HC91:HC115,$B$6+$B$7+$B$8),0)</f>
        <v/>
      </c>
      <c r="E291" s="23" t="inlineStr">
        <is>
          <t>Transition</t>
        </is>
      </c>
    </row>
    <row r="292" ht="14" customHeight="1">
      <c r="A292" s="9" t="inlineStr">
        <is>
          <t>Fe</t>
        </is>
      </c>
      <c r="B292" s="12">
        <f>$K$9</f>
        <v/>
      </c>
      <c r="C292" s="12">
        <f>HD91</f>
        <v/>
      </c>
      <c r="D292" s="12">
        <f>IFERROR(INDEX(HD91:HD115,$B$6+$B$7+$B$8),0)</f>
        <v/>
      </c>
      <c r="E292" s="23" t="inlineStr">
        <is>
          <t>Transition</t>
        </is>
      </c>
    </row>
    <row r="293" ht="14" customHeight="1">
      <c r="A293" s="9" t="inlineStr">
        <is>
          <t>Co</t>
        </is>
      </c>
      <c r="B293" s="12">
        <f>$K$10</f>
        <v/>
      </c>
      <c r="C293" s="12">
        <f>HE91</f>
        <v/>
      </c>
      <c r="D293" s="12">
        <f>IFERROR(INDEX(HE91:HE115,$B$6+$B$7+$B$8),0)</f>
        <v/>
      </c>
      <c r="E293" s="23" t="inlineStr">
        <is>
          <t>Transition</t>
        </is>
      </c>
    </row>
    <row r="294" ht="14" customHeight="1">
      <c r="A294" s="9" t="inlineStr">
        <is>
          <t>Zn</t>
        </is>
      </c>
      <c r="B294" s="12">
        <f>$K$11</f>
        <v/>
      </c>
      <c r="C294" s="12">
        <f>HF91</f>
        <v/>
      </c>
      <c r="D294" s="12">
        <f>IFERROR(INDEX(HF91:HF115,$B$6+$B$7+$B$8),0)</f>
        <v/>
      </c>
      <c r="E294" s="23" t="inlineStr">
        <is>
          <t>Transition</t>
        </is>
      </c>
    </row>
    <row r="295" ht="14" customHeight="1">
      <c r="A295" s="9" t="inlineStr">
        <is>
          <t>Ga</t>
        </is>
      </c>
      <c r="B295" s="12">
        <f>$K$12</f>
        <v/>
      </c>
      <c r="C295" s="12">
        <f>HG91</f>
        <v/>
      </c>
      <c r="D295" s="12">
        <f>IFERROR(INDEX(HG91:HG115,$B$6+$B$7+$B$8),0)</f>
        <v/>
      </c>
      <c r="E295" s="23" t="inlineStr">
        <is>
          <t>Post-transition</t>
        </is>
      </c>
    </row>
    <row r="296" ht="14" customHeight="1">
      <c r="A296" s="9" t="inlineStr">
        <is>
          <t>Rb</t>
        </is>
      </c>
      <c r="B296" s="12">
        <f>$K$13</f>
        <v/>
      </c>
      <c r="C296" s="12">
        <f>HH91</f>
        <v/>
      </c>
      <c r="D296" s="12">
        <f>IFERROR(INDEX(HH91:HH115,$B$6+$B$7+$B$8),0)</f>
        <v/>
      </c>
      <c r="E296" s="23" t="inlineStr">
        <is>
          <t>Alkali</t>
        </is>
      </c>
    </row>
    <row r="297" ht="14" customHeight="1">
      <c r="A297" s="9" t="inlineStr">
        <is>
          <t>Y</t>
        </is>
      </c>
      <c r="B297" s="12">
        <f>$K$14</f>
        <v/>
      </c>
      <c r="C297" s="12">
        <f>HI91</f>
        <v/>
      </c>
      <c r="D297" s="12">
        <f>IFERROR(INDEX(HI91:HI115,$B$6+$B$7+$B$8),0)</f>
        <v/>
      </c>
      <c r="E297" s="23" t="inlineStr">
        <is>
          <t>REE</t>
        </is>
      </c>
    </row>
    <row r="298" ht="14" customHeight="1">
      <c r="A298" s="9" t="inlineStr">
        <is>
          <t>Zr</t>
        </is>
      </c>
      <c r="B298" s="12">
        <f>$K$15</f>
        <v/>
      </c>
      <c r="C298" s="12">
        <f>HJ91</f>
        <v/>
      </c>
      <c r="D298" s="12">
        <f>IFERROR(INDEX(HJ91:HJ115,$B$6+$B$7+$B$8),0)</f>
        <v/>
      </c>
      <c r="E298" s="23" t="inlineStr">
        <is>
          <t>HFSEs</t>
        </is>
      </c>
    </row>
    <row r="299" ht="14" customHeight="1">
      <c r="A299" s="9" t="inlineStr">
        <is>
          <t>La</t>
        </is>
      </c>
      <c r="B299" s="12">
        <f>$K$16</f>
        <v/>
      </c>
      <c r="C299" s="12">
        <f>HK91</f>
        <v/>
      </c>
      <c r="D299" s="12">
        <f>IFERROR(INDEX(HK91:HK115,$B$6+$B$7+$B$8),0)</f>
        <v/>
      </c>
      <c r="E299" s="23" t="inlineStr">
        <is>
          <t>REE</t>
        </is>
      </c>
    </row>
    <row r="300" ht="14" customHeight="1">
      <c r="A300" s="9" t="inlineStr">
        <is>
          <t>Ce</t>
        </is>
      </c>
      <c r="B300" s="12">
        <f>$K$17</f>
        <v/>
      </c>
      <c r="C300" s="12">
        <f>HL91</f>
        <v/>
      </c>
      <c r="D300" s="12">
        <f>IFERROR(INDEX(HL91:HL115,$B$6+$B$7+$B$8),0)</f>
        <v/>
      </c>
      <c r="E300" s="23" t="inlineStr">
        <is>
          <t>REE</t>
        </is>
      </c>
    </row>
    <row r="301" ht="14" customHeight="1">
      <c r="A301" s="9" t="inlineStr">
        <is>
          <t>Pr</t>
        </is>
      </c>
      <c r="B301" s="12">
        <f>$K$18</f>
        <v/>
      </c>
      <c r="C301" s="12">
        <f>HM91</f>
        <v/>
      </c>
      <c r="D301" s="12">
        <f>IFERROR(INDEX(HM91:HM115,$B$6+$B$7+$B$8),0)</f>
        <v/>
      </c>
      <c r="E301" s="23" t="inlineStr">
        <is>
          <t>REE</t>
        </is>
      </c>
    </row>
    <row r="302" ht="14" customHeight="1">
      <c r="A302" s="9" t="inlineStr">
        <is>
          <t>Nd</t>
        </is>
      </c>
      <c r="B302" s="12">
        <f>$K$19</f>
        <v/>
      </c>
      <c r="C302" s="12">
        <f>HN91</f>
        <v/>
      </c>
      <c r="D302" s="12">
        <f>IFERROR(INDEX(HN91:HN115,$B$6+$B$7+$B$8),0)</f>
        <v/>
      </c>
      <c r="E302" s="23" t="inlineStr">
        <is>
          <t>REE</t>
        </is>
      </c>
    </row>
    <row r="303" ht="14" customHeight="1">
      <c r="A303" s="9" t="inlineStr">
        <is>
          <t>Sm</t>
        </is>
      </c>
      <c r="B303" s="12">
        <f>$K$20</f>
        <v/>
      </c>
      <c r="C303" s="12">
        <f>HO91</f>
        <v/>
      </c>
      <c r="D303" s="12">
        <f>IFERROR(INDEX(HO91:HO115,$B$6+$B$7+$B$8),0)</f>
        <v/>
      </c>
      <c r="E303" s="23" t="inlineStr">
        <is>
          <t>REE</t>
        </is>
      </c>
    </row>
    <row r="304" ht="14" customHeight="1">
      <c r="A304" s="9" t="inlineStr">
        <is>
          <t>Eu</t>
        </is>
      </c>
      <c r="B304" s="12">
        <f>$K$21</f>
        <v/>
      </c>
      <c r="C304" s="12">
        <f>HP91</f>
        <v/>
      </c>
      <c r="D304" s="12">
        <f>IFERROR(INDEX(HP91:HP115,$B$6+$B$7+$B$8),0)</f>
        <v/>
      </c>
      <c r="E304" s="23" t="inlineStr">
        <is>
          <t>REE</t>
        </is>
      </c>
    </row>
    <row r="305" ht="14" customHeight="1">
      <c r="A305" s="9" t="inlineStr">
        <is>
          <t>Gd</t>
        </is>
      </c>
      <c r="B305" s="12">
        <f>$K$22</f>
        <v/>
      </c>
      <c r="C305" s="12">
        <f>HQ91</f>
        <v/>
      </c>
      <c r="D305" s="12">
        <f>IFERROR(INDEX(HQ91:HQ115,$B$6+$B$7+$B$8),0)</f>
        <v/>
      </c>
      <c r="E305" s="23" t="inlineStr">
        <is>
          <t>REE</t>
        </is>
      </c>
    </row>
    <row r="306" ht="14" customHeight="1">
      <c r="A306" s="9" t="inlineStr">
        <is>
          <t>Tb</t>
        </is>
      </c>
      <c r="B306" s="12">
        <f>$K$23</f>
        <v/>
      </c>
      <c r="C306" s="12">
        <f>HR91</f>
        <v/>
      </c>
      <c r="D306" s="12">
        <f>IFERROR(INDEX(HR91:HR115,$B$6+$B$7+$B$8),0)</f>
        <v/>
      </c>
      <c r="E306" s="23" t="inlineStr">
        <is>
          <t>REE</t>
        </is>
      </c>
    </row>
    <row r="307" ht="14" customHeight="1">
      <c r="A307" s="9" t="inlineStr">
        <is>
          <t>Dy</t>
        </is>
      </c>
      <c r="B307" s="12">
        <f>$K$24</f>
        <v/>
      </c>
      <c r="C307" s="12">
        <f>HS91</f>
        <v/>
      </c>
      <c r="D307" s="12">
        <f>IFERROR(INDEX(HS91:HS115,$B$6+$B$7+$B$8),0)</f>
        <v/>
      </c>
      <c r="E307" s="23" t="inlineStr">
        <is>
          <t>REE</t>
        </is>
      </c>
    </row>
    <row r="308" ht="14" customHeight="1">
      <c r="A308" s="9" t="inlineStr">
        <is>
          <t>Ho</t>
        </is>
      </c>
      <c r="B308" s="12">
        <f>$K$25</f>
        <v/>
      </c>
      <c r="C308" s="12">
        <f>HT91</f>
        <v/>
      </c>
      <c r="D308" s="12">
        <f>IFERROR(INDEX(HT91:HT115,$B$6+$B$7+$B$8),0)</f>
        <v/>
      </c>
      <c r="E308" s="23" t="inlineStr">
        <is>
          <t>REE</t>
        </is>
      </c>
    </row>
    <row r="309" ht="14" customHeight="1">
      <c r="A309" s="9" t="inlineStr">
        <is>
          <t>Er</t>
        </is>
      </c>
      <c r="B309" s="12">
        <f>$K$26</f>
        <v/>
      </c>
      <c r="C309" s="12">
        <f>HU91</f>
        <v/>
      </c>
      <c r="D309" s="12">
        <f>IFERROR(INDEX(HU91:HU115,$B$6+$B$7+$B$8),0)</f>
        <v/>
      </c>
      <c r="E309" s="23" t="inlineStr">
        <is>
          <t>REE</t>
        </is>
      </c>
    </row>
    <row r="310" ht="14" customHeight="1">
      <c r="A310" s="9" t="inlineStr">
        <is>
          <t>Tm</t>
        </is>
      </c>
      <c r="B310" s="12">
        <f>$K$27</f>
        <v/>
      </c>
      <c r="C310" s="12">
        <f>HV91</f>
        <v/>
      </c>
      <c r="D310" s="12">
        <f>IFERROR(INDEX(HV91:HV115,$B$6+$B$7+$B$8),0)</f>
        <v/>
      </c>
      <c r="E310" s="23" t="inlineStr">
        <is>
          <t>REE</t>
        </is>
      </c>
    </row>
    <row r="311" ht="14" customHeight="1">
      <c r="A311" s="9" t="inlineStr">
        <is>
          <t>Yb</t>
        </is>
      </c>
      <c r="B311" s="12">
        <f>$K$28</f>
        <v/>
      </c>
      <c r="C311" s="12">
        <f>HW91</f>
        <v/>
      </c>
      <c r="D311" s="12">
        <f>IFERROR(INDEX(HW91:HW115,$B$6+$B$7+$B$8),0)</f>
        <v/>
      </c>
      <c r="E311" s="23" t="inlineStr">
        <is>
          <t>REE</t>
        </is>
      </c>
    </row>
    <row r="312" ht="14" customHeight="1">
      <c r="A312" s="9" t="inlineStr">
        <is>
          <t>Lu</t>
        </is>
      </c>
      <c r="B312" s="12">
        <f>$K$29</f>
        <v/>
      </c>
      <c r="C312" s="12">
        <f>HX91</f>
        <v/>
      </c>
      <c r="D312" s="12">
        <f>IFERROR(INDEX(HX91:HX115,$B$6+$B$7+$B$8),0)</f>
        <v/>
      </c>
      <c r="E312" s="23" t="inlineStr">
        <is>
          <t>REE</t>
        </is>
      </c>
    </row>
    <row r="313" ht="14" customHeight="1">
      <c r="A313" s="9" t="inlineStr">
        <is>
          <t>Hf</t>
        </is>
      </c>
      <c r="B313" s="12">
        <f>$K$30</f>
        <v/>
      </c>
      <c r="C313" s="12">
        <f>HY91</f>
        <v/>
      </c>
      <c r="D313" s="12">
        <f>IFERROR(INDEX(HY91:HY115,$B$6+$B$7+$B$8),0)</f>
        <v/>
      </c>
      <c r="E313" s="23" t="inlineStr">
        <is>
          <t>HFSEs</t>
        </is>
      </c>
    </row>
    <row r="314" ht="14" customHeight="1">
      <c r="A314" s="9" t="inlineStr">
        <is>
          <t>Th</t>
        </is>
      </c>
      <c r="B314" s="12">
        <f>$K$31</f>
        <v/>
      </c>
      <c r="C314" s="12">
        <f>HZ91</f>
        <v/>
      </c>
      <c r="D314" s="12">
        <f>IFERROR(INDEX(HZ91:HZ115,$B$6+$B$7+$B$8),0)</f>
        <v/>
      </c>
      <c r="E314" s="23" t="inlineStr">
        <is>
          <t>Actinides</t>
        </is>
      </c>
    </row>
    <row r="315" ht="14" customHeight="1">
      <c r="A315" s="9" t="inlineStr">
        <is>
          <t>U</t>
        </is>
      </c>
      <c r="B315" s="12">
        <f>$K$32</f>
        <v/>
      </c>
      <c r="C315" s="12">
        <f>IA91</f>
        <v/>
      </c>
      <c r="D315" s="12">
        <f>IFERROR(INDEX(IA91:IA115,$B$6+$B$7+$B$8),0)</f>
        <v/>
      </c>
      <c r="E315" s="23" t="inlineStr">
        <is>
          <t>Actinides</t>
        </is>
      </c>
    </row>
  </sheetData>
  <mergeCells count="74">
    <mergeCell ref="D2:F2"/>
    <mergeCell ref="IB89:IB90"/>
    <mergeCell ref="Z89:AG89"/>
    <mergeCell ref="A119:AA119"/>
    <mergeCell ref="DR89:DY89"/>
    <mergeCell ref="Q5:S5"/>
    <mergeCell ref="GT89:HA89"/>
    <mergeCell ref="A245:N245"/>
    <mergeCell ref="FN89:FU89"/>
    <mergeCell ref="CD89:CK89"/>
    <mergeCell ref="A260:N260"/>
    <mergeCell ref="HK89:HK90"/>
    <mergeCell ref="A88:IC88"/>
    <mergeCell ref="HT89:HT90"/>
    <mergeCell ref="HC89:HC90"/>
    <mergeCell ref="BV89:CC89"/>
    <mergeCell ref="HE89:HE90"/>
    <mergeCell ref="DJ89:DQ89"/>
    <mergeCell ref="HQ89:HQ90"/>
    <mergeCell ref="HF89:HF90"/>
    <mergeCell ref="A2:C2"/>
    <mergeCell ref="HW89:HW90"/>
    <mergeCell ref="HY89:HY90"/>
    <mergeCell ref="A1:BZ1"/>
    <mergeCell ref="EH89:EO89"/>
    <mergeCell ref="GL89:GS89"/>
    <mergeCell ref="HO89:HO90"/>
    <mergeCell ref="A89:A90"/>
    <mergeCell ref="HL89:HL90"/>
    <mergeCell ref="J89:Q89"/>
    <mergeCell ref="N5:O5"/>
    <mergeCell ref="DB89:DI89"/>
    <mergeCell ref="HR89:HR90"/>
    <mergeCell ref="R89:Y89"/>
    <mergeCell ref="IC89:IC90"/>
    <mergeCell ref="A273:N273"/>
    <mergeCell ref="HX89:HX90"/>
    <mergeCell ref="BN89:BU89"/>
    <mergeCell ref="HZ89:HZ90"/>
    <mergeCell ref="J2:L2"/>
    <mergeCell ref="EX89:FE89"/>
    <mergeCell ref="A4:AD4"/>
    <mergeCell ref="FF89:FM89"/>
    <mergeCell ref="D5:I5"/>
    <mergeCell ref="HJ89:HJ90"/>
    <mergeCell ref="HV89:HV90"/>
    <mergeCell ref="IA89:IA90"/>
    <mergeCell ref="A5:B5"/>
    <mergeCell ref="A288:AA288"/>
    <mergeCell ref="AP89:AW89"/>
    <mergeCell ref="HG89:HG90"/>
    <mergeCell ref="HB89:HB90"/>
    <mergeCell ref="HI89:HI90"/>
    <mergeCell ref="HM89:HM90"/>
    <mergeCell ref="HD89:HD90"/>
    <mergeCell ref="DZ89:EG89"/>
    <mergeCell ref="HS89:HS90"/>
    <mergeCell ref="HU89:HU90"/>
    <mergeCell ref="J5:L5"/>
    <mergeCell ref="G2:I2"/>
    <mergeCell ref="AX89:BE89"/>
    <mergeCell ref="CT89:DA89"/>
    <mergeCell ref="FV89:GC89"/>
    <mergeCell ref="GD89:GK89"/>
    <mergeCell ref="BF89:BM89"/>
    <mergeCell ref="A280:N280"/>
    <mergeCell ref="B89:I89"/>
    <mergeCell ref="CL89:CS89"/>
    <mergeCell ref="HN89:HN90"/>
    <mergeCell ref="HP89:HP90"/>
    <mergeCell ref="HH89:HH90"/>
    <mergeCell ref="M2:O2"/>
    <mergeCell ref="EP89:EW89"/>
    <mergeCell ref="AH89:AO8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2026-07-06T09:52:39Z</dcterms:created>
  <dcterms:modified xsi:type="dcterms:W3CDTF">2026-07-06T09:52:41Z</dcterms:modified>
</cp:coreProperties>
</file>