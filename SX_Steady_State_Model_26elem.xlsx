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  <Override PartName="/xl/charts/chartEx1.xml" ContentType="http://schemas.microsoft.com/office/drawing/2016/5/9/chartex+xml"/>
  <Override PartName="/xl/charts/chartEx2.xml" ContentType="http://schemas.microsoft.com/office/drawing/2016/5/9/chartex+xml"/>
  <Override PartName="/xl/charts/chartEx3.xml" ContentType="http://schemas.microsoft.com/office/drawing/2016/5/9/chartex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X 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1A237E"/>
      <sz val="9"/>
    </font>
    <font>
      <name val="Calibri"/>
      <b val="1"/>
      <color rgb="00212121"/>
      <sz val="9"/>
    </font>
    <font>
      <name val="Calibri"/>
      <b val="1"/>
      <color rgb="002E7D32"/>
      <sz val="9"/>
    </font>
    <font>
      <name val="Calibri"/>
      <b val="1"/>
      <color rgb="000D47A1"/>
      <sz val="9"/>
    </font>
    <font>
      <name val="Calibri"/>
      <b val="1"/>
      <color rgb="00FFFFFF"/>
      <sz val="11"/>
    </font>
    <font>
      <name val="Calibri"/>
      <b val="1"/>
      <color rgb="002E4057"/>
      <sz val="10"/>
    </font>
    <font>
      <name val="Calibri"/>
      <b val="1"/>
      <color rgb="00FFFFFF"/>
      <sz val="9"/>
    </font>
    <font>
      <name val="Calibri"/>
      <color rgb="00212121"/>
      <sz val="9"/>
    </font>
    <font>
      <name val="Calibri"/>
      <color rgb="001A237E"/>
      <sz val="9"/>
    </font>
    <font>
      <name val="Calibri"/>
      <b val="1"/>
      <color rgb="00FFFFFF"/>
      <sz val="10"/>
    </font>
    <font>
      <name val="Calibri"/>
      <color rgb="002E7D32"/>
      <sz val="9"/>
    </font>
    <font>
      <name val="Calibri"/>
      <b val="1"/>
      <color rgb="00FFFFFF"/>
      <sz val="12"/>
    </font>
    <font>
      <name val="Calibri"/>
      <color rgb="000D47A1"/>
      <sz val="9"/>
    </font>
    <font>
      <name val="Calibri"/>
      <color rgb="00212121"/>
      <sz val="8"/>
    </font>
    <font>
      <name val="Calibri"/>
      <b val="1"/>
      <color rgb="00FFFFFF"/>
      <sz val="8"/>
    </font>
    <font>
      <name val="Calibri"/>
      <b val="1"/>
      <color rgb="002E7D32"/>
      <sz val="8"/>
    </font>
    <font>
      <name val="Calibri"/>
      <b val="1"/>
      <color rgb="002E4057"/>
      <sz val="9"/>
    </font>
  </fonts>
  <fills count="1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FFFDE7"/>
      </patternFill>
    </fill>
    <fill>
      <patternFill patternType="solid">
        <fgColor rgb="00FFFFFF"/>
      </patternFill>
    </fill>
    <fill>
      <patternFill patternType="solid">
        <fgColor rgb="00E8EAF6"/>
      </patternFill>
    </fill>
    <fill>
      <patternFill patternType="solid">
        <fgColor rgb="00F1F8E9"/>
      </patternFill>
    </fill>
    <fill>
      <patternFill patternType="solid">
        <fgColor rgb="00E3F2FD"/>
      </patternFill>
    </fill>
    <fill>
      <patternFill patternType="solid">
        <fgColor rgb="002E4057"/>
      </patternFill>
    </fill>
    <fill>
      <patternFill patternType="solid">
        <fgColor rgb="004A6FA5"/>
      </patternFill>
    </fill>
    <fill>
      <patternFill patternType="solid">
        <fgColor rgb="00E8F5E9"/>
      </patternFill>
    </fill>
    <fill>
      <patternFill patternType="solid">
        <fgColor rgb="00F3E5F5"/>
      </patternFill>
    </fill>
  </fills>
  <borders count="5">
    <border>
      <left/>
      <right/>
      <top/>
      <bottom/>
      <diagonal/>
    </border>
    <border>
      <left style="thin">
        <color rgb="00BDBDBD"/>
      </left>
      <right style="thin">
        <color rgb="00BDBDBD"/>
      </right>
      <top style="thin">
        <color rgb="00BDBDBD"/>
      </top>
      <bottom style="thin">
        <color rgb="00BDBDBD"/>
      </bottom>
    </border>
    <border>
      <left style="thin">
        <color rgb="00BDBDBD"/>
      </left>
      <right/>
      <top/>
      <bottom/>
      <diagonal/>
    </border>
    <border>
      <left style="thin">
        <color rgb="00BDBDBD"/>
      </left>
      <right style="thin">
        <color rgb="00BDBDBD"/>
      </right>
      <top/>
      <bottom/>
      <diagonal/>
    </border>
    <border>
      <left style="thin">
        <color rgb="00BDBDBD"/>
      </left>
      <right style="thin">
        <color rgb="00BDBDBD"/>
      </right>
      <top/>
      <bottom style="thin">
        <color rgb="00BDBDBD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center" vertical="center" wrapText="1"/>
    </xf>
    <xf numFmtId="0" fontId="5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7" fillId="10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13" fillId="2" borderId="0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4" borderId="0" applyAlignment="1" pivotButton="0" quotePrefix="0" xfId="0">
      <alignment horizontal="center" vertical="center" wrapText="1"/>
    </xf>
    <xf numFmtId="0" fontId="17" fillId="6" borderId="1" applyAlignment="1" pivotButton="0" quotePrefix="0" xfId="0">
      <alignment horizontal="center" vertical="center" wrapText="1"/>
    </xf>
    <xf numFmtId="0" fontId="16" fillId="9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1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left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11" borderId="1" applyAlignment="1" pivotButton="0" quotePrefix="0" xfId="0">
      <alignment horizontal="center" vertical="center" wrapText="1"/>
    </xf>
    <xf numFmtId="0" fontId="18" fillId="1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_rels/chartEx1.xml.rels><?xml version="1.0" encoding="UTF-8" standalone="yes"?>
<Relationships xmlns="http://schemas.openxmlformats.org/package/2006/relationships">
  <Relationship Id="rId1" Type="http://schemas.openxmlformats.org/officeDocument/2006/relationships/package" Target="../../workbook.xml"/>
</Relationships>
</file>

<file path=xl/charts/_rels/chartEx2.xml.rels><?xml version="1.0" encoding="UTF-8" standalone="yes"?>
<Relationships xmlns="http://schemas.openxmlformats.org/package/2006/relationships">
  <Relationship Id="rId1" Type="http://schemas.openxmlformats.org/officeDocument/2006/relationships/package" Target="../../workbook.xml"/>
</Relationships>
</file>

<file path=xl/charts/_rels/chartEx3.xml.rels><?xml version="1.0" encoding="UTF-8" standalone="yes"?>
<Relationships xmlns="http://schemas.openxmlformats.org/package/2006/relationships">
  <Relationship Id="rId1" Type="http://schemas.openxmlformats.org/officeDocument/2006/relationships/package" Target="../../workbook.xml"/>
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U — Aqueous Profile vs Stage</a:t>
            </a:r>
          </a:p>
        </rich>
      </tx>
    </title>
    <plotArea>
      <lineChart>
        <grouping val="standard"/>
        <ser>
          <idx val="0"/>
          <order val="0"/>
          <tx>
            <strRef>
              <f>'SX Model'!AA163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'SX Model'!$A$164:$A$188</f>
            </numRef>
          </cat>
          <val>
            <numRef>
              <f>'SX Model'!$AA$164:$AA$188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Stage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x_aq (g/L)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Th — Aqueous Profile vs Stage</a:t>
            </a:r>
          </a:p>
        </rich>
      </tx>
    </title>
    <plotArea>
      <lineChart>
        <grouping val="standard"/>
        <ser>
          <idx val="0"/>
          <order val="0"/>
          <tx>
            <strRef>
              <f>'SX Model'!Z163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'SX Model'!$A$164:$A$188</f>
            </numRef>
          </cat>
          <val>
            <numRef>
              <f>'SX Model'!$Z$164:$Z$188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Stage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x_aq (g/L)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Hf — Aqueous Profile vs Stage</a:t>
            </a:r>
          </a:p>
        </rich>
      </tx>
    </title>
    <plotArea>
      <lineChart>
        <grouping val="standard"/>
        <ser>
          <idx val="0"/>
          <order val="0"/>
          <tx>
            <strRef>
              <f>'SX Model'!Y163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'SX Model'!$A$164:$A$188</f>
            </numRef>
          </cat>
          <val>
            <numRef>
              <f>'SX Model'!$Y$164:$Y$188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Stage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x_aq (g/L)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Zr — Aqueous Profile vs Stage</a:t>
            </a:r>
          </a:p>
        </rich>
      </tx>
    </title>
    <plotArea>
      <lineChart>
        <grouping val="standard"/>
        <ser>
          <idx val="0"/>
          <order val="0"/>
          <tx>
            <strRef>
              <f>'SX Model'!J163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'SX Model'!$A$164:$A$188</f>
            </numRef>
          </cat>
          <val>
            <numRef>
              <f>'SX Model'!$J$164:$J$188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Stage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x_aq (g/L)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Ex1.xml><?xml version="1.0" encoding="utf-8"?>
<cx:chartSpace xmlns:cx="http://schemas.microsoft.com/office/drawing/2016/5/9/chartex" xmlns:a="http://schemas.openxmlformats.org/drawingml/2006/main" xmlns:r="http://schemas.openxmlformats.org/officeDocument/2006/relationships">
  <cx:chartData>
    <cx:externalData r:id="rId1"/>
    <cx:data id="0">
      <cx:strDim type="cat">
        <cx:f>'SX Model'!$E$333:$E$358</cx:f>
      </cx:strDim>
      <cx:strDim type="cat">
        <cx:f>'SX Model'!$A$333:$A$358</cx:f>
      </cx:strDim>
      <cx:numDim type="val">
        <cx:f>'SX Model'!$B$333:$B$358</cx:f>
      </cx:numDim>
    </cx:data>
  </cx:chartData>
  <cx:chart>
    <cx:title overlay="0">
      <cx:tx>
        <cx:rich>
          <a:bodyPr/>
          <a:lstStyle/>
          <a:p>
            <a:r>
              <a:t>Feed Concentration (g/L) — 26 Elements</a:t>
            </a:r>
          </a:p>
        </cx:rich>
      </cx:tx>
    </cx:title>
    <cx:plotArea>
      <cx:plotAreaRegion>
        <cx:series layoutId="treemap" ownsLabel="1" formatIdx="0" uniqueId="{00000000-0000-0000-0000-000000000002}">
          <cx:dataId val="0"/>
          <cx:layoutPr>
            <cx:visibility headerSelect="1" outlineSelect="1"/>
          </cx:layoutPr>
        </cx:series>
      </cx:plotAreaRegion>
    </cx:plotArea>
    <cx:legend>
      <cx:visibility val="0"/>
    </cx:legend>
  </cx:chart>
  <cx:clrMapOvr>
    <a:overrideClrMapping/>
  </cx:clrMapOvr>
</cx:chartSpace>
</file>

<file path=xl/charts/chartEx2.xml><?xml version="1.0" encoding="utf-8"?>
<cx:chartSpace xmlns:cx="http://schemas.microsoft.com/office/drawing/2016/5/9/chartex" xmlns:a="http://schemas.openxmlformats.org/drawingml/2006/main" xmlns:r="http://schemas.openxmlformats.org/officeDocument/2006/relationships">
  <cx:chartData>
    <cx:externalData r:id="rId1"/>
    <cx:data id="0">
      <cx:strDim type="cat">
        <cx:f>'SX Model'!$E$333:$E$358</cx:f>
      </cx:strDim>
      <cx:strDim type="cat">
        <cx:f>'SX Model'!$A$333:$A$358</cx:f>
      </cx:strDim>
      <cx:numDim type="val">
        <cx:f>'SX Model'!$C$333:$C$358</cx:f>
      </cx:numDim>
    </cx:data>
  </cx:chartData>
  <cx:chart>
    <cx:title overlay="0">
      <cx:tx>
        <cx:rich>
          <a:bodyPr/>
          <a:lstStyle/>
          <a:p>
            <a:r>
              <a:t>Raffinate Concentration (g/L) — 26 Elements</a:t>
            </a:r>
          </a:p>
        </cx:rich>
      </cx:tx>
    </cx:title>
    <cx:plotArea>
      <cx:plotAreaRegion>
        <cx:series layoutId="treemap" ownsLabel="1" formatIdx="0" uniqueId="{00000000-0000-0000-0000-000000000003}">
          <cx:dataId val="0"/>
          <cx:layoutPr>
            <cx:visibility headerSelect="1" outlineSelect="1"/>
          </cx:layoutPr>
        </cx:series>
      </cx:plotAreaRegion>
    </cx:plotArea>
    <cx:legend>
      <cx:visibility val="0"/>
    </cx:legend>
  </cx:chart>
  <cx:clrMapOvr>
    <a:overrideClrMapping/>
  </cx:clrMapOvr>
</cx:chartSpace>
</file>

<file path=xl/charts/chartEx3.xml><?xml version="1.0" encoding="utf-8"?>
<cx:chartSpace xmlns:cx="http://schemas.microsoft.com/office/drawing/2016/5/9/chartex" xmlns:a="http://schemas.openxmlformats.org/drawingml/2006/main" xmlns:r="http://schemas.openxmlformats.org/officeDocument/2006/relationships">
  <cx:chartData>
    <cx:externalData r:id="rId1"/>
    <cx:data id="0">
      <cx:strDim type="cat">
        <cx:f>'SX Model'!$E$333:$E$358</cx:f>
      </cx:strDim>
      <cx:strDim type="cat">
        <cx:f>'SX Model'!$A$333:$A$358</cx:f>
      </cx:strDim>
      <cx:numDim type="val">
        <cx:f>'SX Model'!$D$333:$D$358</cx:f>
      </cx:numDim>
    </cx:data>
  </cx:chartData>
  <cx:chart>
    <cx:title overlay="0">
      <cx:tx>
        <cx:rich>
          <a:bodyPr/>
          <a:lstStyle/>
          <a:p>
            <a:r>
              <a:t>Pregnant Solution (g/L) — 26 Elements</a:t>
            </a:r>
          </a:p>
        </cx:rich>
      </cx:tx>
    </cx:title>
    <cx:plotArea>
      <cx:plotAreaRegion>
        <cx:series layoutId="treemap" ownsLabel="1" formatIdx="0" uniqueId="{00000000-0000-0000-0000-000000000004}">
          <cx:dataId val="0"/>
          <cx:layoutPr>
            <cx:visibility headerSelect="1" outlineSelect="1"/>
          </cx:layoutPr>
        </cx:series>
      </cx:plotAreaRegion>
    </cx:plotArea>
    <cx:legend>
      <cx:visibility val="0"/>
    </cx:legend>
  </cx:chart>
  <cx:clrMapOvr>
    <a:overrideClrMapping/>
  </cx:clrMapOvr>
</cx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?xml version="1.0" encoding="UTF-8" standalone="yes"?>
<Relationships xmlns="http://schemas.openxmlformats.org/package/2006/relationships">
  <Relationship Id="rId1" Type="http://schemas.openxmlformats.org/officeDocument/2006/relationships/chart" Target="../charts/chartEx1.xml"/>
  <Relationship Id="rId2" Type="http://schemas.openxmlformats.org/officeDocument/2006/relationships/chart" Target="../charts/chartEx2.xml"/>
  <Relationship Id="rId3" Type="http://schemas.openxmlformats.org/officeDocument/2006/relationships/chart" Target="../charts/chartEx3.xml"/>
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190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212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234</row>
      <rowOff>0</rowOff>
    </from>
    <ext cx="64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256</row>
      <rowOff>0</rowOff>
    </from>
    <ext cx="648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moveWithCells="1">
    <xdr:from>
      <xdr:col>0</xdr:col>
      <xdr:colOff>0</xdr:colOff>
      <xdr:row>361</xdr:row>
      <xdr:rowOff>0</xdr:rowOff>
    </xdr:from>
    <xdr:to>
      <xdr:col>9</xdr:col>
      <xdr:colOff>0</xdr:colOff>
      <xdr:row>391</xdr:row>
      <xdr:rowOff>0</xdr:rowOff>
    </xdr:to>
    <xdr:graphicFrame macro="">
      <xdr:nvGraphicFramePr>
        <xdr:cNvPr id="2" nam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1"/>
        </a:graphicData>
      </a:graphic>
    </xdr:graphicFrame>
    <xdr:clientData/>
  </xdr:twoCellAnchor>
  <xdr:twoCellAnchor moveWithCells="1">
    <xdr:from>
      <xdr:col>10</xdr:col>
      <xdr:colOff>0</xdr:colOff>
      <xdr:row>361</xdr:row>
      <xdr:rowOff>0</xdr:rowOff>
    </xdr:from>
    <xdr:to>
      <xdr:col>19</xdr:col>
      <xdr:colOff>0</xdr:colOff>
      <xdr:row>391</xdr:row>
      <xdr:rowOff>0</xdr:rowOff>
    </xdr:to>
    <xdr:graphicFrame macro="">
      <xdr:nvGraphicFramePr>
        <xdr:cNvPr id="2" nam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2"/>
        </a:graphicData>
      </a:graphic>
    </xdr:graphicFrame>
    <xdr:clientData/>
  </xdr:twoCellAnchor>
  <xdr:twoCellAnchor moveWithCells="1">
    <xdr:from>
      <xdr:col>20</xdr:col>
      <xdr:colOff>0</xdr:colOff>
      <xdr:row>361</xdr:row>
      <xdr:rowOff>0</xdr:rowOff>
    </xdr:from>
    <xdr:to>
      <xdr:col>29</xdr:col>
      <xdr:colOff>0</xdr:colOff>
      <xdr:row>391</xdr:row>
      <xdr:rowOff>0</xdr:rowOff>
    </xdr:to>
    <xdr:graphicFrame macro="">
      <xdr:nvGraphicFramePr>
        <xdr:cNvPr id="2" nam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  <Relationship Id="rId2" Type="http://schemas.openxmlformats.org/officeDocument/2006/relationships/drawing" Target="../drawings/drawing2.xml"/>
</Relationships>
</file>

<file path=xl/worksheets/sheet1.xml><worksheet xmlns="http://schemas.openxmlformats.org/spreadsheetml/2006/main"><sheetPr><tabColor rgb="001B3A6B" /><outlinePr summaryBelow="1" summaryRight="1" /><pageSetUpPr /></sheetPr><dimension ref="A1:IC358" /><sheetViews><sheetView workbookViewId="0"><selection activeCell="A1" sqref="A1" /></sheetView></sheetViews><sheetFormatPr baseColWidth="8" defaultRowHeight="15" /><cols><col width="20" customWidth="1" min="1" max="1" /><col width="11" customWidth="1" min="2" max="2" /><col width="11" customWidth="1" min="3" max="3" /><col width="11" customWidth="1" min="4" max="4" /><col width="11" customWidth="1" min="5" max="5" /><col width="11" customWidth="1" min="6" max="6" /><col width="11" customWidth="1" min="7" max="7" /><col width="11" customWidth="1" min="8" max="8" /><col width="11" customWidth="1" min="9" max="9" /><col width="11" customWidth="1" min="10" max="10" /><col width="11" customWidth="1" min="11" max="11" /><col width="11" customWidth="1" min="12" max="12" /><col width="11" customWidth="1" min="13" max="13" /><col width="11" customWidth="1" min="14" max="14" /><col width="11" customWidth="1" min="15" max="15" /><col width="11" customWidth="1" min="16" max="16" /><col width="11" customWidth="1" min="17" max="17" /><col width="11" customWidth="1" min="18" max="18" /><col width="11" customWidth="1" min="19" max="19" /><col width="11" customWidth="1" min="20" max="20" /><col width="11" customWidth="1" min="21" max="21" /><col width="11" customWidth="1" min="22" max="22" /><col width="11" customWidth="1" min="23" max="23" /><col width="11" customWidth="1" min="24" max="24" /><col width="11" customWidth="1" min="25" max="25" /><col width="11" customWidth="1" min="26" max="26" /><col width="11" customWidth="1" min="27" max="27" /><col width="11" customWidth="1" min="28" max="28" /><col width="11" customWidth="1" min="29" max="29" /><col width="11" customWidth="1" min="30" max="30" /><col width="11" customWidth="1" min="31" max="31" /><col width="11" customWidth="1" min="32" max="32" /><col width="11" customWidth="1" min="33" max="33" /><col width="11" customWidth="1" min="34" max="34" /><col width="11" customWidth="1" min="35" max="35" /><col width="11" customWidth="1" min="36" max="36" /><col width="11" customWidth="1" min="37" max="37" /><col width="11" customWidth="1" min="38" max="38" /><col width="11" customWidth="1" min="39" max="39" /><col width="11" customWidth="1" min="40" max="40" /><col width="11" customWidth="1" min="41" max="41" /><col width="11" customWidth="1" min="42" max="42" /><col width="11" customWidth="1" min="43" max="43" /><col width="11" customWidth="1" min="44" max="44" /><col width="11" customWidth="1" min="45" max="45" /><col width="11" customWidth="1" min="46" max="46" /><col width="11" customWidth="1" min="47" max="47" /><col width="11" customWidth="1" min="48" max="48" /><col width="11" customWidth="1" min="49" max="49" /><col width="11" customWidth="1" min="50" max="50" /><col width="11" customWidth="1" min="51" max="51" /><col width="11" customWidth="1" min="52" max="52" /><col width="11" customWidth="1" min="53" max="53" /><col width="11" customWidth="1" min="54" max="54" /><col width="11" customWidth="1" min="55" max="55" /><col width="11" customWidth="1" min="56" max="56" /><col width="11" customWidth="1" min="57" max="57" /><col width="11" customWidth="1" min="58" max="58" /><col width="11" customWidth="1" min="59" max="59" /><col width="11" customWidth="1" min="60" max="60" /><col width="11" customWidth="1" min="61" max="61" /><col width="11" customWidth="1" min="62" max="62" /><col width="11" customWidth="1" min="63" max="63" /><col width="11" customWidth="1" min="64" max="64" /><col width="11" customWidth="1" min="65" max="65" /><col width="11" customWidth="1" min="66" max="66" /><col width="11" customWidth="1" min="67" max="67" /><col width="11" customWidth="1" min="68" max="68" /><col width="11" customWidth="1" min="69" max="69" /><col width="11" customWidth="1" min="70" max="70" /><col width="11" customWidth="1" min="71" max="71" /><col width="11" customWidth="1" min="72" max="72" /><col width="11" customWidth="1" min="73" max="73" /><col width="11" customWidth="1" min="74" max="74" /><col width="11" customWidth="1" min="75" max="75" /><col width="11" customWidth="1" min="76" max="76" /><col width="11" customWidth="1" min="77" max="77" /><col width="11" customWidth="1" min="78" max="78" /><col width="11" customWidth="1" min="79" max="79" /><col width="11" customWidth="1" min="80" max="80" /><col width="11" customWidth="1" min="81" max="81" /><col width="11" customWidth="1" min="82" max="82" /><col width="11" customWidth="1" min="83" max="83" /><col width="11" customWidth="1" min="84" max="84" /><col width="11" customWidth="1" min="85" max="85" /><col width="11" customWidth="1" min="86" max="86" /><col width="11" customWidth="1" min="87" max="87" /><col width="11" customWidth="1" min="88" max="88" /><col width="11" customWidth="1" min="89" max="89" /><col width="11" customWidth="1" min="90" max="90" /><col width="11" customWidth="1" min="91" max="91" /><col width="11" customWidth="1" min="92" max="92" /><col width="11" customWidth="1" min="93" max="93" /><col width="11" customWidth="1" min="94" max="94" /><col width="11" customWidth="1" min="95" max="95" /><col width="11" customWidth="1" min="96" max="96" /><col width="11" customWidth="1" min="97" max="97" /><col width="11" customWidth="1" min="98" max="98" /><col width="11" customWidth="1" min="99" max="99" /><col width="11" customWidth="1" min="100" max="100" /><col width="11" customWidth="1" min="101" max="101" /><col width="11" customWidth="1" min="102" max="102" /><col width="11" customWidth="1" min="103" max="103" /><col width="11" customWidth="1" min="104" max="104" /><col width="11" customWidth="1" min="105" max="105" /><col width="11" customWidth="1" min="106" max="106" /><col width="11" customWidth="1" min="107" max="107" /><col width="11" customWidth="1" min="108" max="108" /><col width="11" customWidth="1" min="109" max="109" /><col width="11" customWidth="1" min="110" max="110" /><col width="11" customWidth="1" min="111" max="111" /><col width="11" customWidth="1" min="112" max="112" /><col width="11" customWidth="1" min="113" max="113" /><col width="11" customWidth="1" min="114" max="114" /><col width="11" customWidth="1" min="115" max="115" /><col width="11" customWidth="1" min="116" max="116" /><col width="11" customWidth="1" min="117" max="117" /><col width="11" customWidth="1" min="118" max="118" /><col width="11" customWidth="1" min="119" max="119" /><col width="11" customWidth="1" min="120" max="120" /><col width="11" customWidth="1" min="121" max="121" /><col width="11" customWidth="1" min="122" max="122" /><col width="11" customWidth="1" min="123" max="123" /><col width="11" customWidth="1" min="124" max="124" /><col width="11" customWidth="1" min="125" max="125" /><col width="11" customWidth="1" min="126" max="126" /><col width="11" customWidth="1" min="127" max="127" /><col width="11" customWidth="1" min="128" max="128" /><col width="11" customWidth="1" min="129" max="129" /><col width="11" customWidth="1" min="130" max="130" /><col width="11" customWidth="1" min="131" max="131" /><col width="11" customWidth="1" min="132" max="132" /><col width="11" customWidth="1" min="133" max="133" /><col width="11" customWidth="1" min="134" max="134" /><col width="11" customWidth="1" min="135" max="135" /><col width="11" customWidth="1" min="136" max="136" /><col width="11" customWidth="1" min="137" max="137" /><col width="11" customWidth="1" min="138" max="138" /><col width="11" customWidth="1" min="139" max="139" /><col width="11" customWidth="1" min="140" max="140" /><col width="11" customWidth="1" min="141" max="141" /><col width="11" customWidth="1" min="142" max="142" /><col width="11" customWidth="1" min="143" max="143" /><col width="11" customWidth="1" min="144" max="144" /><col width="11" customWidth="1" min="145" max="145" /><col width="11" customWidth="1" min="146" max="146" /><col width="11" customWidth="1" min="147" max="147" /><col width="11" customWidth="1" min="148" max="148" /><col width="11" customWidth="1" min="149" max="149" /><col width="11" customWidth="1" min="150" max="150" /><col width="11" customWidth="1" min="151" max="151" /><col width="11" customWidth="1" min="152" max="152" /><col width="11" customWidth="1" min="153" max="153" /><col width="11" customWidth="1" min="154" max="154" /><col width="11" customWidth="1" min="155" max="155" /><col width="11" customWidth="1" min="156" max="156" /><col width="11" customWidth="1" min="157" max="157" /><col width="11" customWidth="1" min="158" max="158" /><col width="11" customWidth="1" min="159" max="159" /><col width="11" customWidth="1" min="160" max="160" /><col width="11" customWidth="1" min="161" max="161" /><col width="11" customWidth="1" min="162" max="162" /><col width="11" customWidth="1" min="163" max="163" /><col width="11" customWidth="1" min="164" max="164" /><col width="11" customWidth="1" min="165" max="165" /><col width="11" customWidth="1" min="166" max="166" /><col width="11" customWidth="1" min="167" max="167" /><col width="11" customWidth="1" min="168" max="168" /><col width="11" customWidth="1" min="169" max="169" /><col width="11" customWidth="1" min="170" max="170" /><col width="11" customWidth="1" min="171" max="171" /><col width="11" customWidth="1" min="172" max="172" /><col width="11" customWidth="1" min="173" max="173" /><col width="11" customWidth="1" min="174" max="174" /><col width="11" customWidth="1" min="175" max="175" /><col width="11" customWidth="1" min="176" max="176" /><col width="11" customWidth="1" min="177" max="177" /><col width="11" customWidth="1" min="178" max="178" /><col width="11" customWidth="1" min="179" max="179" /><col width="11" customWidth="1" min="180" max="180" /><col width="11" customWidth="1" min="181" max="181" /><col width="11" customWidth="1" min="182" max="182" /><col width="11" customWidth="1" min="183" max="183" /><col width="11" customWidth="1" min="184" max="184" /><col width="11" customWidth="1" min="185" max="185" /><col width="11" customWidth="1" min="186" max="186" /><col width="11" customWidth="1" min="187" max="187" /><col width="11" customWidth="1" min="188" max="188" /><col width="11" customWidth="1" min="189" max="189" /><col width="11" customWidth="1" min="190" max="190" /><col width="11" customWidth="1" min="191" max="191" /><col width="11" customWidth="1" min="192" max="192" /><col width="11" customWidth="1" min="193" max="193" /><col width="11" customWidth="1" min="194" max="194" /><col width="11" customWidth="1" min="195" max="195" /><col width="11" customWidth="1" min="196" max="196" /><col width="11" customWidth="1" min="197" max="197" /><col width="11" customWidth="1" min="198" max="198" /><col width="11" customWidth="1" min="199" max="199" /><col width="11" customWidth="1" min="200" max="200" /><col width="11" customWidth="1" min="201" max="201" /><col width="11" customWidth="1" min="202" max="202" /><col width="11" customWidth="1" min="203" max="203" /><col width="11" customWidth="1" min="204" max="204" /><col width="11" customWidth="1" min="205" max="205" /><col width="11" customWidth="1" min="206" max="206" /><col width="11" customWidth="1" min="207" max="207" /><col width="11" customWidth="1" min="208" max="208" /><col width="11" customWidth="1" min="209" max="209" /><col width="11" customWidth="1" min="210" max="210" /><col width="11" customWidth="1" min="211" max="211" /><col width="11" customWidth="1" min="212" max="212" /><col width="11" customWidth="1" min="213" max="213" /><col width="11" customWidth="1" min="214" max="214" /><col width="11" customWidth="1" min="215" max="215" /><col width="11" customWidth="1" min="216" max="216" /><col width="11" customWidth="1" min="217" max="217" /><col width="11" customWidth="1" min="218" max="218" /><col width="11" customWidth="1" min="219" max="219" /><col width="11" customWidth="1" min="220" max="220" /><col width="11" customWidth="1" min="221" max="221" /><col width="11" customWidth="1" min="222" max="222" /><col width="11" customWidth="1" min="223" max="223" /><col width="11" customWidth="1" min="224" max="224" /><col width="11" customWidth="1" min="225" max="225" /><col width="11" customWidth="1" min="226" max="226" /><col width="11" customWidth="1" min="227" max="227" /><col width="11" customWidth="1" min="228" max="228" /><col width="11" customWidth="1" min="229" max="229" /><col width="11" customWidth="1" min="230" max="230" /><col width="11" customWidth="1" min="231" max="231" /><col width="11" customWidth="1" min="232" max="232" /><col width="11" customWidth="1" min="233" max="233" /><col width="11" customWidth="1" min="234" max="234" /><col width="11" customWidth="1" min="235" max="235" /><col width="11" customWidth="1" min="236" max="236" /><col width="11" customWidth="1" min="237" max="237" /><col width="11" customWidth="1" min="238" max="238" /><col width="11" customWidth="1" min="239" max="239" /><col width="11" customWidth="1" min="240" max="240" /><col width="11" customWidth="1" min="241" max="241" /><col width="11" customWidth="1" min="242" max="242" /><col width="11" customWidth="1" min="243" max="243" /><col width="11" customWidth="1" min="244" max="244" /><col width="11" customWidth="1" min="245" max="245" /><col width="11" customWidth="1" min="246" max="246" /><col width="11" customWidth="1" min="247" max="247" /><col width="11" customWidth="1" min="248" max="248" /><col width="11" customWidth="1" min="249" max="249" /><col width="11" customWidth="1" min="250" max="250" /><col width="11" customWidth="1" min="251" max="251" /><col width="11" customWidth="1" min="252" max="252" /><col width="11" customWidth="1" min="253" max="253" /><col width="11" customWidth="1" min="254" max="254" /><col width="11" customWidth="1" min="255" max="255" /><col width="11" customWidth="1" min="256" max="256" /><col width="11" customWidth="1" min="257" max="257" /><col width="11" customWidth="1" min="258" max="258" /><col width="11" customWidth="1" min="259" max="259" /><col width="11" customWidth="1" min="260" max="260" /><col width="11" customWidth="1" min="261" max="261" /><col width="11" customWidth="1" min="262" max="262" /><col width="11" customWidth="1" min="263" max="263" /><col width="11" customWidth="1" min="264" max="264" /><col width="11" customWidth="1" min="265" max="265" /><col width="11" customWidth="1" min="266" max="266" /><col width="11" customWidth="1" min="267" max="267" /><col width="11" customWidth="1" min="268" max="268" /><col width="11" customWidth="1" min="269" max="269" /><col width="11" customWidth="1" min="270" max="270" /><col width="11" customWidth="1" min="271" max="271" /><col width="11" customWidth="1" min="272" max="272" /><col width="11" customWidth="1" min="273" max="273" /><col width="11" customWidth="1" min="274" max="274" /><col width="11" customWidth="1" min="275" max="275" /><col width="11" customWidth="1" min="276" max="276" /><col width="11" customWidth="1" min="277" max="277" /><col width="11" customWidth="1" min="278" max="278" /><col width="11" customWidth="1" min="279" max="279" /><col width="11" customWidth="1" min="280" max="280" /><col width="11" customWidth="1" min="281" max="281" /><col width="11" customWidth="1" min="282" max="282" /><col width="11" customWidth="1" min="283" max="283" /><col width="11" customWidth="1" min="284" max="284" /><col width="11" customWidth="1" min="285" max="285" /><col width="11" customWidth="1" min="286" max="286" /><col width="11" customWidth="1" min="287" max="287" /><col width="11" customWidth="1" min="288" max="288" /><col width="11" customWidth="1" min="289" max="289" /><col width="11" customWidth="1" min="290" max="290" /><col width="11" customWidth="1" min="291" max="291" /><col width="11" customWidth="1" min="292" max="292" /><col width="11" customWidth="1" min="293" max="293" /><col width="11" customWidth="1" min="294" max="294" /><col width="11" customWidth="1" min="295" max="295" /><col width="11" customWidth="1" min="296" max="296" /><col width="11" customWidth="1" min="297" max="297" /><col width="11" customWidth="1" min="298" max="298" /><col width="11" customWidth="1" min="299" max="299" /><col width="11" customWidth="1" min="300" max="300" /><col width="11" customWidth="1" min="301" max="301" /><col width="11" customWidth="1" min="302" max="302" /><col width="11" customWidth="1" min="303" max="303" /><col width="11" customWidth="1" min="304" max="304" /><col width="11" customWidth="1" min="305" max="305" /><col width="11" customWidth="1" min="306" max="306" /><col width="11" customWidth="1" min="307" max="307" /><col width="11" customWidth="1" min="308" max="308" /><col width="11" customWidth="1" min="309" max="309" /><col width="11" customWidth="1" min="310" max="310" /><col width="11" customWidth="1" min="311" max="311" /><col width="11" customWidth="1" min="312" max="312" /><col width="11" customWidth="1" min="313" max="313" /><col width="11" customWidth="1" min="314" max="314" /><col width="11" customWidth="1" min="315" max="315" /><col width="11" customWidth="1" min="316" max="316" /><col width="11" customWidth="1" min="317" max="317" /><col width="11" customWidth="1" min="318" max="318" /><col width="11" customWidth="1" min="319" max="319" /><col width="11" customWidth="1" min="320" max="320" /><col width="11" customWidth="1" min="321" max="321" /><col width="11" customWidth="1" min="322" max="322" /><col width="11" customWidth="1" min="323" max="323" /><col width="11" customWidth="1" min="324" max="324" /><col width="11" customWidth="1" min="325" max="325" /><col width="11" customWidth="1" min="326" max="326" /><col width="11" customWidth="1" min="327" max="327" /><col width="11" customWidth="1" min="328" max="328" /><col width="11" customWidth="1" min="329" max="329" /><col width="11" customWidth="1" min="330" max="330" /><col width="11" customWidth="1" min="331" max="331" /><col width="11" customWidth="1" min="332" max="332" /><col width="11" customWidth="1" min="333" max="333" /><col width="11" customWidth="1" min="334" max="334" /><col width="11" customWidth="1" min="335" max="335" /><col width="11" customWidth="1" min="336" max="336" /><col width="11" customWidth="1" min="337" max="337" /><col width="11" customWidth="1" min="338" max="338" /><col width="11" customWidth="1" min="339" max="339" /><col width="11" customWidth="1" min="340" max="340" /><col width="11" customWidth="1" min="341" max="341" /><col width="11" customWidth="1" min="342" max="342" /><col width="11" customWidth="1" min="343" max="343" /><col width="11" customWidth="1" min="344" max="344" /><col width="11" customWidth="1" min="345" max="345" /><col width="11" customWidth="1" min="346" max="346" /><col width="11" customWidth="1" min="347" max="347" /><col width="11" customWidth="1" min="348" max="348" /><col width="11" customWidth="1" min="349" max="349" /><col width="11" customWidth="1" min="350" max="350" /><col width="11" customWidth="1" min="351" max="351" /><col width="11" customWidth="1" min="352" max="352" /><col width="11" customWidth="1" min="353" max="353" /><col width="11" customWidth="1" min="354" max="354" /><col width="11" customWidth="1" min="355" max="355" /><col width="11" customWidth="1" min="356" max="356" /><col width="11" customWidth="1" min="357" max="357" /><col width="11" customWidth="1" min="358" max="358" /><col width="11" customWidth="1" min="359" max="359" /><col width="11" customWidth="1" min="360" max="360" /><col width="11" customWidth="1" min="361" max="361" /><col width="11" customWidth="1" min="362" max="362" /><col width="11" customWidth="1" min="363" max="363" /><col width="11" customWidth="1" min="364" max="364" /><col width="11" customWidth="1" min="365" max="365" /><col width="11" customWidth="1" min="366" max="366" /><col width="11" customWidth="1" min="367" max="367" /><col width="11" customWidth="1" min="368" max="368" /><col width="11" customWidth="1" min="369" max="369" /><col width="11" customWidth="1" min="370" max="370" /><col width="11" customWidth="1" min="371" max="371" /><col width="11" customWidth="1" min="372" max="372" /><col width="11" customWidth="1" min="373" max="373" /><col width="11" customWidth="1" min="374" max="374" /><col width="11" customWidth="1" min="375" max="375" /><col width="11" customWidth="1" min="376" max="376" /><col width="11" customWidth="1" min="377" max="377" /><col width="11" customWidth="1" min="378" max="378" /><col width="11" customWidth="1" min="379" max="379" /><col width="11" customWidth="1" min="380" max="380" /><col width="11" customWidth="1" min="381" max="381" /><col width="11" customWidth="1" min="382" max="382" /><col width="11" customWidth="1" min="383" max="383" /><col width="11" customWidth="1" min="384" max="384" /><col width="11" customWidth="1" min="385" max="385" /><col width="11" customWidth="1" min="386" max="386" /><col width="11" customWidth="1" min="387" max="387" /><col width="11" customWidth="1" min="388" max="388" /><col width="11" customWidth="1" min="389" max="389" /><col width="11" customWidth="1" min="390" max="390" /><col width="11" customWidth="1" min="391" max="391" /><col width="11" customWidth="1" min="392" max="392" /><col width="11" customWidth="1" min="393" max="393" /><col width="11" customWidth="1" min="394" max="394" /><col width="11" customWidth="1" min="395" max="395" /><col width="11" customWidth="1" min="396" max="396" /><col width="11" customWidth="1" min="397" max="397" /><col width="11" customWidth="1" min="398" max="398" /><col width="11" customWidth="1" min="399" max="399" /><col width="11" customWidth="1" min="400" max="400" /><col width="11" customWidth="1" min="401" max="401" /><col width="11" customWidth="1" min="402" max="402" /><col width="11" customWidth="1" min="403" max="403" /><col width="11" customWidth="1" min="404" max="404" /><col width="11" customWidth="1" min="405" max="405" /><col width="11" customWidth="1" min="406" max="406" /><col width="11" customWidth="1" min="407" max="407" /><col width="11" customWidth="1" min="408" max="408" /><col width="11" customWidth="1" min="409" max="409" /><col width="11" customWidth="1" min="410" max="410" /><col width="11" customWidth="1" min="411" max="411" /><col width="11" customWidth="1" min="412" max="412" /><col width="11" customWidth="1" min="413" max="413" /><col width="11" customWidth="1" min="414" max="414" /><col width="11" customWidth="1" min="415" max="415" /><col width="11" customWidth="1" min="416" max="416" /><col width="11" customWidth="1" min="417" max="417" /><col width="11" customWidth="1" min="418" max="418" /><col width="11" customWidth="1" min="419" max="419" /><col width="11" customWidth="1" min="420" max="420" /><col width="11" customWidth="1" min="421" max="421" /><col width="11" customWidth="1" min="422" max="422" /><col width="11" customWidth="1" min="423" max="423" /><col width="11" customWidth="1" min="424" max="424" /><col width="11" customWidth="1" min="425" max="425" /><col width="11" customWidth="1" min="426" max="426" /><col width="11" customWidth="1" min="427" max="427" /><col width="11" customWidth="1" min="428" max="428" /><col width="11" customWidth="1" min="429" max="429" /><col width="11" customWidth="1" min="430" max="430" /><col width="11" customWidth="1" min="431" max="431" /><col width="11" customWidth="1" min="432" max="432" /><col width="11" customWidth="1" min="433" max="433" /><col width="11" customWidth="1" min="434" max="434" /><col width="11" customWidth="1" min="435" max="435" /><col width="11" customWidth="1" min="436" max="436" /><col width="11" customWidth="1" min="437" max="437" /><col width="11" customWidth="1" min="438" max="438" /><col width="11" customWidth="1" min="439" max="439" /><col width="11" customWidth="1" min="440" max="440" /><col width="11" customWidth="1" min="441" max="441" /><col width="11" customWidth="1" min="442" max="442" /><col width="11" customWidth="1" min="443" max="443" /><col width="11" customWidth="1" min="444" max="444" /><col width="11" customWidth="1" min="445" max="445" /><col width="11" customWidth="1" min="446" max="446" /><col width="11" customWidth="1" min="447" max="447" /><col width="11" customWidth="1" min="448" max="448" /><col width="11" customWidth="1" min="449" max="449" /><col width="11" customWidth="1" min="450" max="450" /><col width="11" customWidth="1" min="451" max="451" /><col width="11" customWidth="1" min="452" max="452" /><col width="11" customWidth="1" min="453" max="453" /><col width="11" customWidth="1" min="454" max="454" /><col width="11" customWidth="1" min="455" max="455" /><col width="11" customWidth="1" min="456" max="456" /><col width="11" customWidth="1" min="457" max="457" /><col width="11" customWidth="1" min="458" max="458" /><col width="11" customWidth="1" min="459" max="459" /><col width="11" customWidth="1" min="460" max="460" /><col width="11" customWidth="1" min="461" max="461" /><col width="11" customWidth="1" min="462" max="462" /><col width="11" customWidth="1" min="463" max="463" /><col width="11" customWidth="1" min="464" max="464" /><col width="11" customWidth="1" min="465" max="465" /><col width="11" customWidth="1" min="466" max="466" /><col width="11" customWidth="1" min="467" max="467" /><col width="11" customWidth="1" min="468" max="468" /><col width="11" customWidth="1" min="469" max="469" /><col width="11" customWidth="1" min="470" max="470" /><col width="11" customWidth="1" min="471" max="471" /><col width="11" customWidth="1" min="472" max="472" /><col width="11" customWidth="1" min="473" max="473" /><col width="11" customWidth="1" min="474" max="474" /><col width="11" customWidth="1" min="475" max="475" /><col width="11" customWidth="1" min="476" max="476" /><col width="11" customWidth="1" min="477" max="477" /><col width="11" customWidth="1" min="478" max="478" /><col width="11" customWidth="1" min="479" max="479" /><col width="11" customWidth="1" min="480" max="480" /><col width="11" customWidth="1" min="481" max="481" /><col width="11" customWidth="1" min="482" max="482" /><col width="11" customWidth="1" min="483" max="483" /><col width="11" customWidth="1" min="484" max="484" /><col width="11" customWidth="1" min="485" max="485" /><col width="11" customWidth="1" min="486" max="486" /><col width="11" customWidth="1" min="487" max="487" /><col width="11" customWidth="1" min="488" max="488" /><col width="11" customWidth="1" min="489" max="489" /><col width="11" customWidth="1" min="490" max="490" /><col width="11" customWidth="1" min="491" max="491" /><col width="11" customWidth="1" min="492" max="492" /><col width="11" customWidth="1" min="493" max="493" /><col width="11" customWidth="1" min="494" max="494" /><col width="11" customWidth="1" min="495" max="495" /><col width="11" customWidth="1" min="496" max="496" /><col width="11" customWidth="1" min="497" max="497" /><col width="11" customWidth="1" min="498" max="498" /><col width="11" customWidth="1" min="499" max="499" /><col width="11" customWidth="1" min="500" max="500" /><col width="11" customWidth="1" min="501" max="501" /><col width="11" customWidth="1" min="502" max="502" /><col width="11" customWidth="1" min="503" max="503" /><col width="11" customWidth="1" min="504" max="504" /><col width="11" customWidth="1" min="505" max="505" /><col width="11" customWidth="1" min="506" max="506" /><col width="11" customWidth="1" min="507" max="507" /><col width="11" customWidth="1" min="508" max="508" /><col width="11" customWidth="1" min="509" max="509" /><col width="11" customWidth="1" min="510" max="510" /><col width="11" customWidth="1" min="511" max="511" /><col width="11" customWidth="1" min="512" max="512" /><col width="11" customWidth="1" min="513" max="513" /><col width="11" customWidth="1" min="514" max="514" /><col width="11" customWidth="1" min="515" max="515" /><col width="11" customWidth="1" min="516" max="516" /><col width="11" customWidth="1" min="517" max="517" /><col width="11" customWidth="1" min="518" max="518" /><col width="11" customWidth="1" min="519" max="519" /><col width="11" customWidth="1" min="520" max="520" /><col width="11" customWidth="1" min="521" max="521" /><col width="11" customWidth="1" min="522" max="522" /><col width="11" customWidth="1" min="523" max="523" /><col width="11" customWidth="1" min="524" max="524" /><col width="11" customWidth="1" min="525" max="525" /><col width="11" customWidth="1" min="526" max="526" /><col width="11" customWidth="1" min="527" max="527" /><col width="11" customWidth="1" min="528" max="528" /><col width="11" customWidth="1" min="529" max="529" /><col width="11" customWidth="1" min="530" max="530" /><col width="11" customWidth="1" min="531" max="531" /><col width="11" customWidth="1" min="532" max="532" /><col width="11" customWidth="1" min="533" max="533" /><col width="11" customWidth="1" min="534" max="534" /><col width="11" customWidth="1" min="535" max="535" /><col width="11" customWidth="1" min="536" max="536" /><col width="11" customWidth="1" min="537" max="537" /><col width="11" customWidth="1" min="538" max="538" /><col width="11" customWidth="1" min="539" max="539" /><col width="11" customWidth="1" min="540" max="540" /><col width="11" customWidth="1" min="541" max="541" /><col width="11" customWidth="1" min="542" max="542" /><col width="11" customWidth="1" min="543" max="543" /><col width="11" customWidth="1" min="544" max="544" /><col width="11" customWidth="1" min="545" max="545" /><col width="11" customWidth="1" min="546" max="546" /><col width="11" customWidth="1" min="547" max="547" /><col width="11" customWidth="1" min="548" max="548" /><col width="11" customWidth="1" min="549" max="549" /><col width="11" customWidth="1" min="550" max="550" /><col width="11" customWidth="1" min="551" max="551" /><col width="11" customWidth="1" min="552" max="552" /><col width="11" customWidth="1" min="553" max="553" /><col width="11" customWidth="1" min="554" max="554" /><col width="11" customWidth="1" min="555" max="555" /><col width="11" customWidth="1" min="556" max="556" /><col width="11" customWidth="1" min="557" max="557" /><col width="11" customWidth="1" min="558" max="558" /><col width="11" customWidth="1" min="559" max="559" /><col width="11" customWidth="1" min="560" max="560" /><col width="11" customWidth="1" min="561" max="561" /><col width="11" customWidth="1" min="562" max="562" /><col width="11" customWidth="1" min="563" max="563" /><col width="11" customWidth="1" min="564" max="564" /><col width="11" customWidth="1" min="565" max="565" /><col width="11" customWidth="1" min="566" max="566" /><col width="11" customWidth="1" min="567" max="567" /><col width="11" customWidth="1" min="568" max="568" /><col width="11" customWidth="1" min="569" max="569" /><col width="11" customWidth="1" min="570" max="570" /><col width="11" customWidth="1" min="571" max="571" /><col width="11" customWidth="1" min="572" max="572" /><col width="11" customWidth="1" min="573" max="573" /><col width="11" customWidth="1" min="574" max="574" /><col width="11" customWidth="1" min="575" max="575" /><col width="11" customWidth="1" min="576" max="576" /><col width="11" customWidth="1" min="577" max="577" /><col width="11" customWidth="1" min="578" max="578" /><col width="11" customWidth="1" min="579" max="579" /><col width="11" customWidth="1" min="580" max="580" /><col width="11" customWidth="1" min="581" max="581" /><col width="11" customWidth="1" min="582" max="582" /><col width="11" customWidth="1" min="583" max="583" /><col width="11" customWidth="1" min="584" max="584" /><col width="11" customWidth="1" min="585" max="585" /><col width="11" customWidth="1" min="586" max="586" /><col width="11" customWidth="1" min="587" max="587" /><col width="11" customWidth="1" min="588" max="588" /><col width="11" customWidth="1" min="589" max="589" /><col width="11" customWidth="1" min="590" max="590" /><col width="11" customWidth="1" min="591" max="591" /><col width="11" customWidth="1" min="592" max="592" /><col width="11" customWidth="1" min="593" max="593" /><col width="11" customWidth="1" min="594" max="594" /><col width="11" customWidth="1" min="595" max="595" /><col width="11" customWidth="1" min="596" max="596" /><col width="11" customWidth="1" min="597" max="597" /><col width="11" customWidth="1" min="598" max="598" /><col width="11" customWidth="1" min="599" max="599" /></cols><sheetData><row r="1" ht="28" customHeight="1"><c r="A1" s="1" t="inlineStr"><is><t>STEADY-STATE SX SIMULATION — Primene JMT / H₂SO₄ Loading / HNO₃ Stripping — 26 Elements: Al Sc Fe Co Zn Ga Rb Y Zr La Ce Pr Nd Sm Eu Gd Tb Dy Ho Er Tm Yb Lu Hf Th U</t></is></c></row><row r="2" ht="16" customHeight="1"><c r="A2" s="2" t="inlineStr"><is><t>INPUT</t></is></c><c r="D2" s="3" t="inlineStr"><is><t>CALC</t></is></c><c r="G2" s="4" t="inlineStr"><is><t>STEP</t></is></c><c r="J2" s="5" t="inlineStr"><is><t>OUTPUT</t></is></c><c r="M2" s="6" t="inlineStr"><is><t>REF</t></is></c></row><row r="3" ht="5" customHeight="1"></row><row r="4" ht="20" customHeight="1"><c r="A4" s="7" t="inlineStr"><is><t>SECTION 0 — P/Q REGRESSION  (D = P × [acid]^Q  via log-log linear regression)</t></is></c></row><row r="5" ht="16" customHeight="1"><c r="A5" s="8" t="inlineStr"><is><t>LOADING DATA  (H₂SO₄ system)</t></is></c><c r="BF5" s="9" t="inlineStr"><is><t>STRIPPING DATA  (HNO₃ system)</t></is></c></row><row r="6" ht="30" customHeight="1"><c r="A6" s="10" t="inlineStr"><is><t>Stage</t></is></c><c r="B6" s="10" t="inlineStr"><is><t>[acid]
N</t></is></c><c r="C6" s="10" t="inlineStr"><is><t>Flow_aq
(mL/min)</t></is></c><c r="D6" s="10" t="inlineStr"><is><t>Flow_org
(mL/min)</t></is></c><c r="E6" s="10" t="inlineStr"><is><t>Al_aq
(ppm)</t></is></c><c r="F6" s="10" t="inlineStr"><is><t>Sc_aq
(ppm)</t></is></c><c r="G6" s="10" t="inlineStr"><is><t>Fe_aq
(ppm)</t></is></c><c r="H6" s="10" t="inlineStr"><is><t>Co_aq
(ppm)</t></is></c><c r="I6" s="10" t="inlineStr"><is><t>Zn_aq
(ppm)</t></is></c><c r="J6" s="10" t="inlineStr"><is><t>Ga_aq
(ppm)</t></is></c><c r="K6" s="10" t="inlineStr"><is><t>Rb_aq
(ppm)</t></is></c><c r="L6" s="10" t="inlineStr"><is><t>Y_aq
(ppm)</t></is></c><c r="M6" s="10" t="inlineStr"><is><t>Zr_aq
(ppm)</t></is></c><c r="N6" s="10" t="inlineStr"><is><t>La_aq
(ppm)</t></is></c><c r="O6" s="10" t="inlineStr"><is><t>Ce_aq
(ppm)</t></is></c><c r="P6" s="10" t="inlineStr"><is><t>Pr_aq
(ppm)</t></is></c><c r="Q6" s="10" t="inlineStr"><is><t>Nd_aq
(ppm)</t></is></c><c r="R6" s="10" t="inlineStr"><is><t>Sm_aq
(ppm)</t></is></c><c r="S6" s="10" t="inlineStr"><is><t>Eu_aq
(ppm)</t></is></c><c r="T6" s="10" t="inlineStr"><is><t>Gd_aq
(ppm)</t></is></c><c r="U6" s="10" t="inlineStr"><is><t>Tb_aq
(ppm)</t></is></c><c r="V6" s="10" t="inlineStr"><is><t>Dy_aq
(ppm)</t></is></c><c r="W6" s="10" t="inlineStr"><is><t>Ho_aq
(ppm)</t></is></c><c r="X6" s="10" t="inlineStr"><is><t>Er_aq
(ppm)</t></is></c><c r="Y6" s="10" t="inlineStr"><is><t>Tm_aq
(ppm)</t></is></c><c r="Z6" s="10" t="inlineStr"><is><t>Yb_aq
(ppm)</t></is></c><c r="AA6" s="10" t="inlineStr"><is><t>Lu_aq
(ppm)</t></is></c><c r="AB6" s="10" t="inlineStr"><is><t>Hf_aq
(ppm)</t></is></c><c r="AC6" s="10" t="inlineStr"><is><t>Th_aq
(ppm)</t></is></c><c r="AD6" s="10" t="inlineStr"><is><t>U_aq
(ppm)</t></is></c><c r="AE6" s="10" t="inlineStr"><is><t>Al_org
(ppm)</t></is></c><c r="AF6" s="10" t="inlineStr"><is><t>Sc_org
(ppm)</t></is></c><c r="AG6" s="10" t="inlineStr"><is><t>Fe_org
(ppm)</t></is></c><c r="AH6" s="10" t="inlineStr"><is><t>Co_org
(ppm)</t></is></c><c r="AI6" s="10" t="inlineStr"><is><t>Zn_org
(ppm)</t></is></c><c r="AJ6" s="10" t="inlineStr"><is><t>Ga_org
(ppm)</t></is></c><c r="AK6" s="10" t="inlineStr"><is><t>Rb_org
(ppm)</t></is></c><c r="AL6" s="10" t="inlineStr"><is><t>Y_org
(ppm)</t></is></c><c r="AM6" s="10" t="inlineStr"><is><t>Zr_org
(ppm)</t></is></c><c r="AN6" s="10" t="inlineStr"><is><t>La_org
(ppm)</t></is></c><c r="AO6" s="10" t="inlineStr"><is><t>Ce_org
(ppm)</t></is></c><c r="AP6" s="10" t="inlineStr"><is><t>Pr_org
(ppm)</t></is></c><c r="AQ6" s="10" t="inlineStr"><is><t>Nd_org
(ppm)</t></is></c><c r="AR6" s="10" t="inlineStr"><is><t>Sm_org
(ppm)</t></is></c><c r="AS6" s="10" t="inlineStr"><is><t>Eu_org
(ppm)</t></is></c><c r="AT6" s="10" t="inlineStr"><is><t>Gd_org
(ppm)</t></is></c><c r="AU6" s="10" t="inlineStr"><is><t>Tb_org
(ppm)</t></is></c><c r="AV6" s="10" t="inlineStr"><is><t>Dy_org
(ppm)</t></is></c><c r="AW6" s="10" t="inlineStr"><is><t>Ho_org
(ppm)</t></is></c><c r="AX6" s="10" t="inlineStr"><is><t>Er_org
(ppm)</t></is></c><c r="AY6" s="10" t="inlineStr"><is><t>Tm_org
(ppm)</t></is></c><c r="AZ6" s="10" t="inlineStr"><is><t>Yb_org
(ppm)</t></is></c><c r="BA6" s="10" t="inlineStr"><is><t>Lu_org
(ppm)</t></is></c><c r="BB6" s="10" t="inlineStr"><is><t>Hf_org
(ppm)</t></is></c><c r="BC6" s="10" t="inlineStr"><is><t>Th_org
(ppm)</t></is></c><c r="BD6" s="10" t="inlineStr"><is><t>U_org
(ppm)</t></is></c><c r="BF6" s="10" t="inlineStr"><is><t>Stage</t></is></c><c r="BG6" s="10" t="inlineStr"><is><t>[acid]
N</t></is></c><c r="BH6" s="10" t="inlineStr"><is><t>Flow_aq
(mL/min)</t></is></c><c r="BI6" s="10" t="inlineStr"><is><t>Flow_org
(mL/min)</t></is></c><c r="BJ6" s="10" t="inlineStr"><is><t>Al_aq
(ppm)</t></is></c><c r="BK6" s="10" t="inlineStr"><is><t>Sc_aq
(ppm)</t></is></c><c r="BL6" s="10" t="inlineStr"><is><t>Fe_aq
(ppm)</t></is></c><c r="BM6" s="10" t="inlineStr"><is><t>Co_aq
(ppm)</t></is></c><c r="BN6" s="10" t="inlineStr"><is><t>Zn_aq
(ppm)</t></is></c><c r="BO6" s="10" t="inlineStr"><is><t>Ga_aq
(ppm)</t></is></c><c r="BP6" s="10" t="inlineStr"><is><t>Rb_aq
(ppm)</t></is></c><c r="BQ6" s="10" t="inlineStr"><is><t>Y_aq
(ppm)</t></is></c><c r="BR6" s="10" t="inlineStr"><is><t>Zr_aq
(ppm)</t></is></c><c r="BS6" s="10" t="inlineStr"><is><t>La_aq
(ppm)</t></is></c><c r="BT6" s="10" t="inlineStr"><is><t>Ce_aq
(ppm)</t></is></c><c r="BU6" s="10" t="inlineStr"><is><t>Pr_aq
(ppm)</t></is></c><c r="BV6" s="10" t="inlineStr"><is><t>Nd_aq
(ppm)</t></is></c><c r="BW6" s="10" t="inlineStr"><is><t>Sm_aq
(ppm)</t></is></c><c r="BX6" s="10" t="inlineStr"><is><t>Eu_aq
(ppm)</t></is></c><c r="BY6" s="10" t="inlineStr"><is><t>Gd_aq
(ppm)</t></is></c><c r="BZ6" s="10" t="inlineStr"><is><t>Tb_aq
(ppm)</t></is></c><c r="CA6" s="10" t="inlineStr"><is><t>Dy_aq
(ppm)</t></is></c><c r="CB6" s="10" t="inlineStr"><is><t>Ho_aq
(ppm)</t></is></c><c r="CC6" s="10" t="inlineStr"><is><t>Er_aq
(ppm)</t></is></c><c r="CD6" s="10" t="inlineStr"><is><t>Tm_aq
(ppm)</t></is></c><c r="CE6" s="10" t="inlineStr"><is><t>Yb_aq
(ppm)</t></is></c><c r="CF6" s="10" t="inlineStr"><is><t>Lu_aq
(ppm)</t></is></c><c r="CG6" s="10" t="inlineStr"><is><t>Hf_aq
(ppm)</t></is></c><c r="CH6" s="10" t="inlineStr"><is><t>Th_aq
(ppm)</t></is></c><c r="CI6" s="10" t="inlineStr"><is><t>U_aq
(ppm)</t></is></c><c r="CJ6" s="10" t="inlineStr"><is><t>Al_org
(ppm)</t></is></c><c r="CK6" s="10" t="inlineStr"><is><t>Sc_org
(ppm)</t></is></c><c r="CL6" s="10" t="inlineStr"><is><t>Fe_org
(ppm)</t></is></c><c r="CM6" s="10" t="inlineStr"><is><t>Co_org
(ppm)</t></is></c><c r="CN6" s="10" t="inlineStr"><is><t>Zn_org
(ppm)</t></is></c><c r="CO6" s="10" t="inlineStr"><is><t>Ga_org
(ppm)</t></is></c><c r="CP6" s="10" t="inlineStr"><is><t>Rb_org
(ppm)</t></is></c><c r="CQ6" s="10" t="inlineStr"><is><t>Y_org
(ppm)</t></is></c><c r="CR6" s="10" t="inlineStr"><is><t>Zr_org
(ppm)</t></is></c><c r="CS6" s="10" t="inlineStr"><is><t>La_org
(ppm)</t></is></c><c r="CT6" s="10" t="inlineStr"><is><t>Ce_org
(ppm)</t></is></c><c r="CU6" s="10" t="inlineStr"><is><t>Pr_org
(ppm)</t></is></c><c r="CV6" s="10" t="inlineStr"><is><t>Nd_org
(ppm)</t></is></c><c r="CW6" s="10" t="inlineStr"><is><t>Sm_org
(ppm)</t></is></c><c r="CX6" s="10" t="inlineStr"><is><t>Eu_org
(ppm)</t></is></c><c r="CY6" s="10" t="inlineStr"><is><t>Gd_org
(ppm)</t></is></c><c r="CZ6" s="10" t="inlineStr"><is><t>Tb_org
(ppm)</t></is></c><c r="DA6" s="10" t="inlineStr"><is><t>Dy_org
(ppm)</t></is></c><c r="DB6" s="10" t="inlineStr"><is><t>Ho_org
(ppm)</t></is></c><c r="DC6" s="10" t="inlineStr"><is><t>Er_org
(ppm)</t></is></c><c r="DD6" s="10" t="inlineStr"><is><t>Tm_org
(ppm)</t></is></c><c r="DE6" s="10" t="inlineStr"><is><t>Yb_org
(ppm)</t></is></c><c r="DF6" s="10" t="inlineStr"><is><t>Lu_org
(ppm)</t></is></c><c r="DG6" s="10" t="inlineStr"><is><t>Hf_org
(ppm)</t></is></c><c r="DH6" s="10" t="inlineStr"><is><t>Th_org
(ppm)</t></is></c><c r="DI6" s="10" t="inlineStr"><is><t>U_org
(ppm)</t></is></c></row><row r="7" ht="15" customHeight="1"><c r="A7" s="11" t="inlineStr"><is><t>L1</t></is></c><c r="B7" s="12" t="n" /><c r="C7" s="12" t="n" /><c r="D7" s="12" t="n" /><c r="E7" s="12" t="n" /><c r="F7" s="12" t="n" /><c r="G7" s="12" t="n" /><c r="H7" s="12" t="n" /><c r="I7" s="12" t="n" /><c r="J7" s="12" t="n" /><c r="K7" s="12" t="n" /><c r="L7" s="12" t="n" /><c r="M7" s="12" t="n" /><c r="N7" s="12" t="n" /><c r="O7" s="12" t="n" /><c r="P7" s="12" t="n" /><c r="Q7" s="12" t="n" /><c r="R7" s="12" t="n" /><c r="S7" s="12" t="n" /><c r="T7" s="12" t="n" /><c r="U7" s="12" t="n" /><c r="V7" s="12" t="n" /><c r="W7" s="12" t="n" /><c r="X7" s="12" t="n" /><c r="Y7" s="12" t="n" /><c r="Z7" s="12" t="n" /><c r="AA7" s="12" t="n" /><c r="AB7" s="12" t="n" /><c r="AC7" s="12" t="n" /><c r="AD7" s="12" t="n" /><c r="AE7" s="12" t="n" /><c r="AF7" s="12" t="n" /><c r="AG7" s="12" t="n" /><c r="AH7" s="12" t="n" /><c r="AI7" s="12" t="n" /><c r="AJ7" s="12" t="n" /><c r="AK7" s="12" t="n" /><c r="AL7" s="12" t="n" /><c r="AM7" s="12" t="n" /><c r="AN7" s="12" t="n" /><c r="AO7" s="12" t="n" /><c r="AP7" s="12" t="n" /><c r="AQ7" s="12" t="n" /><c r="AR7" s="12" t="n" /><c r="AS7" s="12" t="n" /><c r="AT7" s="12" t="n" /><c r="AU7" s="12" t="n" /><c r="AV7" s="12" t="n" /><c r="AW7" s="12" t="n" /><c r="AX7" s="12" t="n" /><c r="AY7" s="12" t="n" /><c r="AZ7" s="12" t="n" /><c r="BA7" s="12" t="n" /><c r="BB7" s="12" t="n" /><c r="BC7" s="12" t="n" /><c r="BD7" s="12" t="n" /><c r="BF7" s="11" t="inlineStr"><is><t>S1</t></is></c><c r="BG7" s="12" t="n" /><c r="BH7" s="12" t="n" /><c r="BI7" s="12" t="n" /><c r="BJ7" s="12" t="n" /><c r="BK7" s="12" t="n" /><c r="BL7" s="12" t="n" /><c r="BM7" s="12" t="n" /><c r="BN7" s="12" t="n" /><c r="BO7" s="12" t="n" /><c r="BP7" s="12" t="n" /><c r="BQ7" s="12" t="n" /><c r="BR7" s="12" t="n" /><c r="BS7" s="12" t="n" /><c r="BT7" s="12" t="n" /><c r="BU7" s="12" t="n" /><c r="BV7" s="12" t="n" /><c r="BW7" s="12" t="n" /><c r="BX7" s="12" t="n" /><c r="BY7" s="12" t="n" /><c r="BZ7" s="12" t="n" /><c r="CA7" s="12" t="n" /><c r="CB7" s="12" t="n" /><c r="CC7" s="12" t="n" /><c r="CD7" s="12" t="n" /><c r="CE7" s="12" t="n" /><c r="CF7" s="12" t="n" /><c r="CG7" s="12" t="n" /><c r="CH7" s="12" t="n" /><c r="CI7" s="12" t="n" /><c r="CJ7" s="12" t="n" /><c r="CK7" s="12" t="n" /><c r="CL7" s="12" t="n" /><c r="CM7" s="12" t="n" /><c r="CN7" s="12" t="n" /><c r="CO7" s="12" t="n" /><c r="CP7" s="12" t="n" /><c r="CQ7" s="12" t="n" /><c r="CR7" s="12" t="n" /><c r="CS7" s="12" t="n" /><c r="CT7" s="12" t="n" /><c r="CU7" s="12" t="n" /><c r="CV7" s="12" t="n" /><c r="CW7" s="12" t="n" /><c r="CX7" s="12" t="n" /><c r="CY7" s="12" t="n" /><c r="CZ7" s="12" t="n" /><c r="DA7" s="12" t="n" /><c r="DB7" s="12" t="n" /><c r="DC7" s="12" t="n" /><c r="DD7" s="12" t="n" /><c r="DE7" s="12" t="n" /><c r="DF7" s="12" t="n" /><c r="DG7" s="12" t="n" /><c r="DH7" s="12" t="n" /><c r="DI7" s="12" t="n" /></row><row r="8" ht="15" customHeight="1"><c r="A8" s="11" t="inlineStr"><is><t>L2</t></is></c><c r="B8" s="12" t="n" /><c r="C8" s="12" t="n" /><c r="D8" s="12" t="n" /><c r="E8" s="12" t="n" /><c r="F8" s="12" t="n" /><c r="G8" s="12" t="n" /><c r="H8" s="12" t="n" /><c r="I8" s="12" t="n" /><c r="J8" s="12" t="n" /><c r="K8" s="12" t="n" /><c r="L8" s="12" t="n" /><c r="M8" s="12" t="n" /><c r="N8" s="12" t="n" /><c r="O8" s="12" t="n" /><c r="P8" s="12" t="n" /><c r="Q8" s="12" t="n" /><c r="R8" s="12" t="n" /><c r="S8" s="12" t="n" /><c r="T8" s="12" t="n" /><c r="U8" s="12" t="n" /><c r="V8" s="12" t="n" /><c r="W8" s="12" t="n" /><c r="X8" s="12" t="n" /><c r="Y8" s="12" t="n" /><c r="Z8" s="12" t="n" /><c r="AA8" s="12" t="n" /><c r="AB8" s="12" t="n" /><c r="AC8" s="12" t="n" /><c r="AD8" s="12" t="n" /><c r="AE8" s="12" t="n" /><c r="AF8" s="12" t="n" /><c r="AG8" s="12" t="n" /><c r="AH8" s="12" t="n" /><c r="AI8" s="12" t="n" /><c r="AJ8" s="12" t="n" /><c r="AK8" s="12" t="n" /><c r="AL8" s="12" t="n" /><c r="AM8" s="12" t="n" /><c r="AN8" s="12" t="n" /><c r="AO8" s="12" t="n" /><c r="AP8" s="12" t="n" /><c r="AQ8" s="12" t="n" /><c r="AR8" s="12" t="n" /><c r="AS8" s="12" t="n" /><c r="AT8" s="12" t="n" /><c r="AU8" s="12" t="n" /><c r="AV8" s="12" t="n" /><c r="AW8" s="12" t="n" /><c r="AX8" s="12" t="n" /><c r="AY8" s="12" t="n" /><c r="AZ8" s="12" t="n" /><c r="BA8" s="12" t="n" /><c r="BB8" s="12" t="n" /><c r="BC8" s="12" t="n" /><c r="BD8" s="12" t="n" /><c r="BF8" s="11" t="inlineStr"><is><t>S2</t></is></c><c r="BG8" s="12" t="n" /><c r="BH8" s="12" t="n" /><c r="BI8" s="12" t="n" /><c r="BJ8" s="12" t="n" /><c r="BK8" s="12" t="n" /><c r="BL8" s="12" t="n" /><c r="BM8" s="12" t="n" /><c r="BN8" s="12" t="n" /><c r="BO8" s="12" t="n" /><c r="BP8" s="12" t="n" /><c r="BQ8" s="12" t="n" /><c r="BR8" s="12" t="n" /><c r="BS8" s="12" t="n" /><c r="BT8" s="12" t="n" /><c r="BU8" s="12" t="n" /><c r="BV8" s="12" t="n" /><c r="BW8" s="12" t="n" /><c r="BX8" s="12" t="n" /><c r="BY8" s="12" t="n" /><c r="BZ8" s="12" t="n" /><c r="CA8" s="12" t="n" /><c r="CB8" s="12" t="n" /><c r="CC8" s="12" t="n" /><c r="CD8" s="12" t="n" /><c r="CE8" s="12" t="n" /><c r="CF8" s="12" t="n" /><c r="CG8" s="12" t="n" /><c r="CH8" s="12" t="n" /><c r="CI8" s="12" t="n" /><c r="CJ8" s="12" t="n" /><c r="CK8" s="12" t="n" /><c r="CL8" s="12" t="n" /><c r="CM8" s="12" t="n" /><c r="CN8" s="12" t="n" /><c r="CO8" s="12" t="n" /><c r="CP8" s="12" t="n" /><c r="CQ8" s="12" t="n" /><c r="CR8" s="12" t="n" /><c r="CS8" s="12" t="n" /><c r="CT8" s="12" t="n" /><c r="CU8" s="12" t="n" /><c r="CV8" s="12" t="n" /><c r="CW8" s="12" t="n" /><c r="CX8" s="12" t="n" /><c r="CY8" s="12" t="n" /><c r="CZ8" s="12" t="n" /><c r="DA8" s="12" t="n" /><c r="DB8" s="12" t="n" /><c r="DC8" s="12" t="n" /><c r="DD8" s="12" t="n" /><c r="DE8" s="12" t="n" /><c r="DF8" s="12" t="n" /><c r="DG8" s="12" t="n" /><c r="DH8" s="12" t="n" /><c r="DI8" s="12" t="n" /></row><row r="9" ht="15" customHeight="1"><c r="A9" s="11" t="inlineStr"><is><t>L3</t></is></c><c r="B9" s="12" t="n" /><c r="C9" s="12" t="n" /><c r="D9" s="12" t="n" /><c r="E9" s="12" t="n" /><c r="F9" s="12" t="n" /><c r="G9" s="12" t="n" /><c r="H9" s="12" t="n" /><c r="I9" s="12" t="n" /><c r="J9" s="12" t="n" /><c r="K9" s="12" t="n" /><c r="L9" s="12" t="n" /><c r="M9" s="12" t="n" /><c r="N9" s="12" t="n" /><c r="O9" s="12" t="n" /><c r="P9" s="12" t="n" /><c r="Q9" s="12" t="n" /><c r="R9" s="12" t="n" /><c r="S9" s="12" t="n" /><c r="T9" s="12" t="n" /><c r="U9" s="12" t="n" /><c r="V9" s="12" t="n" /><c r="W9" s="12" t="n" /><c r="X9" s="12" t="n" /><c r="Y9" s="12" t="n" /><c r="Z9" s="12" t="n" /><c r="AA9" s="12" t="n" /><c r="AB9" s="12" t="n" /><c r="AC9" s="12" t="n" /><c r="AD9" s="12" t="n" /><c r="AE9" s="12" t="n" /><c r="AF9" s="12" t="n" /><c r="AG9" s="12" t="n" /><c r="AH9" s="12" t="n" /><c r="AI9" s="12" t="n" /><c r="AJ9" s="12" t="n" /><c r="AK9" s="12" t="n" /><c r="AL9" s="12" t="n" /><c r="AM9" s="12" t="n" /><c r="AN9" s="12" t="n" /><c r="AO9" s="12" t="n" /><c r="AP9" s="12" t="n" /><c r="AQ9" s="12" t="n" /><c r="AR9" s="12" t="n" /><c r="AS9" s="12" t="n" /><c r="AT9" s="12" t="n" /><c r="AU9" s="12" t="n" /><c r="AV9" s="12" t="n" /><c r="AW9" s="12" t="n" /><c r="AX9" s="12" t="n" /><c r="AY9" s="12" t="n" /><c r="AZ9" s="12" t="n" /><c r="BA9" s="12" t="n" /><c r="BB9" s="12" t="n" /><c r="BC9" s="12" t="n" /><c r="BD9" s="12" t="n" /><c r="BF9" s="11" t="inlineStr"><is><t>S3</t></is></c><c r="BG9" s="12" t="n" /><c r="BH9" s="12" t="n" /><c r="BI9" s="12" t="n" /><c r="BJ9" s="12" t="n" /><c r="BK9" s="12" t="n" /><c r="BL9" s="12" t="n" /><c r="BM9" s="12" t="n" /><c r="BN9" s="12" t="n" /><c r="BO9" s="12" t="n" /><c r="BP9" s="12" t="n" /><c r="BQ9" s="12" t="n" /><c r="BR9" s="12" t="n" /><c r="BS9" s="12" t="n" /><c r="BT9" s="12" t="n" /><c r="BU9" s="12" t="n" /><c r="BV9" s="12" t="n" /><c r="BW9" s="12" t="n" /><c r="BX9" s="12" t="n" /><c r="BY9" s="12" t="n" /><c r="BZ9" s="12" t="n" /><c r="CA9" s="12" t="n" /><c r="CB9" s="12" t="n" /><c r="CC9" s="12" t="n" /><c r="CD9" s="12" t="n" /><c r="CE9" s="12" t="n" /><c r="CF9" s="12" t="n" /><c r="CG9" s="12" t="n" /><c r="CH9" s="12" t="n" /><c r="CI9" s="12" t="n" /><c r="CJ9" s="12" t="n" /><c r="CK9" s="12" t="n" /><c r="CL9" s="12" t="n" /><c r="CM9" s="12" t="n" /><c r="CN9" s="12" t="n" /><c r="CO9" s="12" t="n" /><c r="CP9" s="12" t="n" /><c r="CQ9" s="12" t="n" /><c r="CR9" s="12" t="n" /><c r="CS9" s="12" t="n" /><c r="CT9" s="12" t="n" /><c r="CU9" s="12" t="n" /><c r="CV9" s="12" t="n" /><c r="CW9" s="12" t="n" /><c r="CX9" s="12" t="n" /><c r="CY9" s="12" t="n" /><c r="CZ9" s="12" t="n" /><c r="DA9" s="12" t="n" /><c r="DB9" s="12" t="n" /><c r="DC9" s="12" t="n" /><c r="DD9" s="12" t="n" /><c r="DE9" s="12" t="n" /><c r="DF9" s="12" t="n" /><c r="DG9" s="12" t="n" /><c r="DH9" s="12" t="n" /><c r="DI9" s="12" t="n" /></row><row r="11" ht="18" customHeight="1"><c r="A11" s="10" t="inlineStr"><is><t>CALCULATED D VALUES  (C_org/C_aq)</t></is></c><c r="BF11" s="10" t="inlineStr"><is><t>CALCULATED D VALUES  (C_org/C_aq)</t></is></c></row><row r="12" ht="16" customHeight="1"><c r="A12" s="10" t="inlineStr"><is><t>Stage</t></is></c><c r="B12" s="10" t="inlineStr"><is><t>D_Al</t></is></c><c r="C12" s="10" t="inlineStr"><is><t>D_Sc</t></is></c><c r="D12" s="10" t="inlineStr"><is><t>D_Fe</t></is></c><c r="E12" s="10" t="inlineStr"><is><t>D_Co</t></is></c><c r="F12" s="10" t="inlineStr"><is><t>D_Zn</t></is></c><c r="G12" s="10" t="inlineStr"><is><t>D_Ga</t></is></c><c r="H12" s="10" t="inlineStr"><is><t>D_Rb</t></is></c><c r="I12" s="10" t="inlineStr"><is><t>D_Y</t></is></c><c r="J12" s="10" t="inlineStr"><is><t>D_Zr</t></is></c><c r="K12" s="10" t="inlineStr"><is><t>D_La</t></is></c><c r="L12" s="10" t="inlineStr"><is><t>D_Ce</t></is></c><c r="M12" s="10" t="inlineStr"><is><t>D_Pr</t></is></c><c r="N12" s="10" t="inlineStr"><is><t>D_Nd</t></is></c><c r="O12" s="10" t="inlineStr"><is><t>D_Sm</t></is></c><c r="P12" s="10" t="inlineStr"><is><t>D_Eu</t></is></c><c r="Q12" s="10" t="inlineStr"><is><t>D_Gd</t></is></c><c r="R12" s="10" t="inlineStr"><is><t>D_Tb</t></is></c><c r="S12" s="10" t="inlineStr"><is><t>D_Dy</t></is></c><c r="T12" s="10" t="inlineStr"><is><t>D_Ho</t></is></c><c r="U12" s="10" t="inlineStr"><is><t>D_Er</t></is></c><c r="V12" s="10" t="inlineStr"><is><t>D_Tm</t></is></c><c r="W12" s="10" t="inlineStr"><is><t>D_Yb</t></is></c><c r="X12" s="10" t="inlineStr"><is><t>D_Lu</t></is></c><c r="Y12" s="10" t="inlineStr"><is><t>D_Hf</t></is></c><c r="Z12" s="10" t="inlineStr"><is><t>D_Th</t></is></c><c r="AA12" s="10" t="inlineStr"><is><t>D_U</t></is></c><c r="BF12" s="10" t="inlineStr"><is><t>Stage</t></is></c><c r="BG12" s="10" t="inlineStr"><is><t>D_Al</t></is></c><c r="BH12" s="10" t="inlineStr"><is><t>D_Sc</t></is></c><c r="BI12" s="10" t="inlineStr"><is><t>D_Fe</t></is></c><c r="BJ12" s="10" t="inlineStr"><is><t>D_Co</t></is></c><c r="BK12" s="10" t="inlineStr"><is><t>D_Zn</t></is></c><c r="BL12" s="10" t="inlineStr"><is><t>D_Ga</t></is></c><c r="BM12" s="10" t="inlineStr"><is><t>D_Rb</t></is></c><c r="BN12" s="10" t="inlineStr"><is><t>D_Y</t></is></c><c r="BO12" s="10" t="inlineStr"><is><t>D_Zr</t></is></c><c r="BP12" s="10" t="inlineStr"><is><t>D_La</t></is></c><c r="BQ12" s="10" t="inlineStr"><is><t>D_Ce</t></is></c><c r="BR12" s="10" t="inlineStr"><is><t>D_Pr</t></is></c><c r="BS12" s="10" t="inlineStr"><is><t>D_Nd</t></is></c><c r="BT12" s="10" t="inlineStr"><is><t>D_Sm</t></is></c><c r="BU12" s="10" t="inlineStr"><is><t>D_Eu</t></is></c><c r="BV12" s="10" t="inlineStr"><is><t>D_Gd</t></is></c><c r="BW12" s="10" t="inlineStr"><is><t>D_Tb</t></is></c><c r="BX12" s="10" t="inlineStr"><is><t>D_Dy</t></is></c><c r="BY12" s="10" t="inlineStr"><is><t>D_Ho</t></is></c><c r="BZ12" s="10" t="inlineStr"><is><t>D_Er</t></is></c><c r="CA12" s="10" t="inlineStr"><is><t>D_Tm</t></is></c><c r="CB12" s="10" t="inlineStr"><is><t>D_Yb</t></is></c><c r="CC12" s="10" t="inlineStr"><is><t>D_Lu</t></is></c><c r="CD12" s="10" t="inlineStr"><is><t>D_Hf</t></is></c><c r="CE12" s="10" t="inlineStr"><is><t>D_Th</t></is></c><c r="CF12" s="10" t="inlineStr"><is><t>D_U</t></is></c></row><row r="13" ht="15" customHeight="1"><c r="A13" s="11" t="inlineStr"><is><t>L1</t></is></c><c r="B13" s="13"><f>IFERROR(IF(OR(E7="",AE7="",E7=0),"—",AE7/E7),"—")</f><v /></c><c r="C13" s="13"><f>IFERROR(IF(OR(F7="",AF7="",F7=0),"—",AF7/F7),"—")</f><v /></c><c r="D13" s="13"><f>IFERROR(IF(OR(G7="",AG7="",G7=0),"—",AG7/G7),"—")</f><v /></c><c r="E13" s="13"><f>IFERROR(IF(OR(H7="",AH7="",H7=0),"—",AH7/H7),"—")</f><v /></c><c r="F13" s="13"><f>IFERROR(IF(OR(I7="",AI7="",I7=0),"—",AI7/I7),"—")</f><v /></c><c r="G13" s="13"><f>IFERROR(IF(OR(J7="",AJ7="",J7=0),"—",AJ7/J7),"—")</f><v /></c><c r="H13" s="13"><f>IFERROR(IF(OR(K7="",AK7="",K7=0),"—",AK7/K7),"—")</f><v /></c><c r="I13" s="13"><f>IFERROR(IF(OR(L7="",AL7="",L7=0),"—",AL7/L7),"—")</f><v /></c><c r="J13" s="13"><f>IFERROR(IF(OR(M7="",AM7="",M7=0),"—",AM7/M7),"—")</f><v /></c><c r="K13" s="13"><f>IFERROR(IF(OR(N7="",AN7="",N7=0),"—",AN7/N7),"—")</f><v /></c><c r="L13" s="13"><f>IFERROR(IF(OR(O7="",AO7="",O7=0),"—",AO7/O7),"—")</f><v /></c><c r="M13" s="13"><f>IFERROR(IF(OR(P7="",AP7="",P7=0),"—",AP7/P7),"—")</f><v /></c><c r="N13" s="13"><f>IFERROR(IF(OR(Q7="",AQ7="",Q7=0),"—",AQ7/Q7),"—")</f><v /></c><c r="O13" s="13"><f>IFERROR(IF(OR(R7="",AR7="",R7=0),"—",AR7/R7),"—")</f><v /></c><c r="P13" s="13"><f>IFERROR(IF(OR(S7="",AS7="",S7=0),"—",AS7/S7),"—")</f><v /></c><c r="Q13" s="13"><f>IFERROR(IF(OR(T7="",AT7="",T7=0),"—",AT7/T7),"—")</f><v /></c><c r="R13" s="13"><f>IFERROR(IF(OR(U7="",AU7="",U7=0),"—",AU7/U7),"—")</f><v /></c><c r="S13" s="13"><f>IFERROR(IF(OR(V7="",AV7="",V7=0),"—",AV7/V7),"—")</f><v /></c><c r="T13" s="13"><f>IFERROR(IF(OR(W7="",AW7="",W7=0),"—",AW7/W7),"—")</f><v /></c><c r="U13" s="13"><f>IFERROR(IF(OR(X7="",AX7="",X7=0),"—",AX7/X7),"—")</f><v /></c><c r="V13" s="13"><f>IFERROR(IF(OR(Y7="",AY7="",Y7=0),"—",AY7/Y7),"—")</f><v /></c><c r="W13" s="13"><f>IFERROR(IF(OR(Z7="",AZ7="",Z7=0),"—",AZ7/Z7),"—")</f><v /></c><c r="X13" s="13"><f>IFERROR(IF(OR(AA7="",BA7="",AA7=0),"—",BA7/AA7),"—")</f><v /></c><c r="Y13" s="13"><f>IFERROR(IF(OR(AB7="",BB7="",AB7=0),"—",BB7/AB7),"—")</f><v /></c><c r="Z13" s="13"><f>IFERROR(IF(OR(AC7="",BC7="",AC7=0),"—",BC7/AC7),"—")</f><v /></c><c r="AA13" s="13"><f>IFERROR(IF(OR(AD7="",BD7="",AD7=0),"—",BD7/AD7),"—")</f><v /></c><c r="BF13" s="11" t="inlineStr"><is><t>S1</t></is></c><c r="BG13" s="13"><f>IFERROR(IF(OR(BJ7="",CJ7="",BJ7=0),"—",CJ7/BJ7),"—")</f><v /></c><c r="BH13" s="13"><f>IFERROR(IF(OR(BK7="",CK7="",BK7=0),"—",CK7/BK7),"—")</f><v /></c><c r="BI13" s="13"><f>IFERROR(IF(OR(BL7="",CL7="",BL7=0),"—",CL7/BL7),"—")</f><v /></c><c r="BJ13" s="13"><f>IFERROR(IF(OR(BM7="",CM7="",BM7=0),"—",CM7/BM7),"—")</f><v /></c><c r="BK13" s="13"><f>IFERROR(IF(OR(BN7="",CN7="",BN7=0),"—",CN7/BN7),"—")</f><v /></c><c r="BL13" s="13"><f>IFERROR(IF(OR(BO7="",CO7="",BO7=0),"—",CO7/BO7),"—")</f><v /></c><c r="BM13" s="13"><f>IFERROR(IF(OR(BP7="",CP7="",BP7=0),"—",CP7/BP7),"—")</f><v /></c><c r="BN13" s="13"><f>IFERROR(IF(OR(BQ7="",CQ7="",BQ7=0),"—",CQ7/BQ7),"—")</f><v /></c><c r="BO13" s="13"><f>IFERROR(IF(OR(BR7="",CR7="",BR7=0),"—",CR7/BR7),"—")</f><v /></c><c r="BP13" s="13"><f>IFERROR(IF(OR(BS7="",CS7="",BS7=0),"—",CS7/BS7),"—")</f><v /></c><c r="BQ13" s="13"><f>IFERROR(IF(OR(BT7="",CT7="",BT7=0),"—",CT7/BT7),"—")</f><v /></c><c r="BR13" s="13"><f>IFERROR(IF(OR(BU7="",CU7="",BU7=0),"—",CU7/BU7),"—")</f><v /></c><c r="BS13" s="13"><f>IFERROR(IF(OR(BV7="",CV7="",BV7=0),"—",CV7/BV7),"—")</f><v /></c><c r="BT13" s="13"><f>IFERROR(IF(OR(BW7="",CW7="",BW7=0),"—",CW7/BW7),"—")</f><v /></c><c r="BU13" s="13"><f>IFERROR(IF(OR(BX7="",CX7="",BX7=0),"—",CX7/BX7),"—")</f><v /></c><c r="BV13" s="13"><f>IFERROR(IF(OR(BY7="",CY7="",BY7=0),"—",CY7/BY7),"—")</f><v /></c><c r="BW13" s="13"><f>IFERROR(IF(OR(BZ7="",CZ7="",BZ7=0),"—",CZ7/BZ7),"—")</f><v /></c><c r="BX13" s="13"><f>IFERROR(IF(OR(CA7="",DA7="",CA7=0),"—",DA7/CA7),"—")</f><v /></c><c r="BY13" s="13"><f>IFERROR(IF(OR(CB7="",DB7="",CB7=0),"—",DB7/CB7),"—")</f><v /></c><c r="BZ13" s="13"><f>IFERROR(IF(OR(CC7="",DC7="",CC7=0),"—",DC7/CC7),"—")</f><v /></c><c r="CA13" s="13"><f>IFERROR(IF(OR(CD7="",DD7="",CD7=0),"—",DD7/CD7),"—")</f><v /></c><c r="CB13" s="13"><f>IFERROR(IF(OR(CE7="",DE7="",CE7=0),"—",DE7/CE7),"—")</f><v /></c><c r="CC13" s="13"><f>IFERROR(IF(OR(CF7="",DF7="",CF7=0),"—",DF7/CF7),"—")</f><v /></c><c r="CD13" s="13"><f>IFERROR(IF(OR(CG7="",DG7="",CG7=0),"—",DG7/CG7),"—")</f><v /></c><c r="CE13" s="13"><f>IFERROR(IF(OR(CH7="",DH7="",CH7=0),"—",DH7/CH7),"—")</f><v /></c><c r="CF13" s="13"><f>IFERROR(IF(OR(CI7="",DI7="",CI7=0),"—",DI7/CI7),"—")</f><v /></c></row><row r="14" ht="15" customHeight="1"><c r="A14" s="11" t="inlineStr"><is><t>L2</t></is></c><c r="B14" s="13"><f>IFERROR(IF(OR(E8="",AE8="",E8=0),"—",AE8/E8),"—")</f><v /></c><c r="C14" s="13"><f>IFERROR(IF(OR(F8="",AF8="",F8=0),"—",AF8/F8),"—")</f><v /></c><c r="D14" s="13"><f>IFERROR(IF(OR(G8="",AG8="",G8=0),"—",AG8/G8),"—")</f><v /></c><c r="E14" s="13"><f>IFERROR(IF(OR(H8="",AH8="",H8=0),"—",AH8/H8),"—")</f><v /></c><c r="F14" s="13"><f>IFERROR(IF(OR(I8="",AI8="",I8=0),"—",AI8/I8),"—")</f><v /></c><c r="G14" s="13"><f>IFERROR(IF(OR(J8="",AJ8="",J8=0),"—",AJ8/J8),"—")</f><v /></c><c r="H14" s="13"><f>IFERROR(IF(OR(K8="",AK8="",K8=0),"—",AK8/K8),"—")</f><v /></c><c r="I14" s="13"><f>IFERROR(IF(OR(L8="",AL8="",L8=0),"—",AL8/L8),"—")</f><v /></c><c r="J14" s="13"><f>IFERROR(IF(OR(M8="",AM8="",M8=0),"—",AM8/M8),"—")</f><v /></c><c r="K14" s="13"><f>IFERROR(IF(OR(N8="",AN8="",N8=0),"—",AN8/N8),"—")</f><v /></c><c r="L14" s="13"><f>IFERROR(IF(OR(O8="",AO8="",O8=0),"—",AO8/O8),"—")</f><v /></c><c r="M14" s="13"><f>IFERROR(IF(OR(P8="",AP8="",P8=0),"—",AP8/P8),"—")</f><v /></c><c r="N14" s="13"><f>IFERROR(IF(OR(Q8="",AQ8="",Q8=0),"—",AQ8/Q8),"—")</f><v /></c><c r="O14" s="13"><f>IFERROR(IF(OR(R8="",AR8="",R8=0),"—",AR8/R8),"—")</f><v /></c><c r="P14" s="13"><f>IFERROR(IF(OR(S8="",AS8="",S8=0),"—",AS8/S8),"—")</f><v /></c><c r="Q14" s="13"><f>IFERROR(IF(OR(T8="",AT8="",T8=0),"—",AT8/T8),"—")</f><v /></c><c r="R14" s="13"><f>IFERROR(IF(OR(U8="",AU8="",U8=0),"—",AU8/U8),"—")</f><v /></c><c r="S14" s="13"><f>IFERROR(IF(OR(V8="",AV8="",V8=0),"—",AV8/V8),"—")</f><v /></c><c r="T14" s="13"><f>IFERROR(IF(OR(W8="",AW8="",W8=0),"—",AW8/W8),"—")</f><v /></c><c r="U14" s="13"><f>IFERROR(IF(OR(X8="",AX8="",X8=0),"—",AX8/X8),"—")</f><v /></c><c r="V14" s="13"><f>IFERROR(IF(OR(Y8="",AY8="",Y8=0),"—",AY8/Y8),"—")</f><v /></c><c r="W14" s="13"><f>IFERROR(IF(OR(Z8="",AZ8="",Z8=0),"—",AZ8/Z8),"—")</f><v /></c><c r="X14" s="13"><f>IFERROR(IF(OR(AA8="",BA8="",AA8=0),"—",BA8/AA8),"—")</f><v /></c><c r="Y14" s="13"><f>IFERROR(IF(OR(AB8="",BB8="",AB8=0),"—",BB8/AB8),"—")</f><v /></c><c r="Z14" s="13"><f>IFERROR(IF(OR(AC8="",BC8="",AC8=0),"—",BC8/AC8),"—")</f><v /></c><c r="AA14" s="13"><f>IFERROR(IF(OR(AD8="",BD8="",AD8=0),"—",BD8/AD8),"—")</f><v /></c><c r="BF14" s="11" t="inlineStr"><is><t>S2</t></is></c><c r="BG14" s="13"><f>IFERROR(IF(OR(BJ8="",CJ8="",BJ8=0),"—",CJ8/BJ8),"—")</f><v /></c><c r="BH14" s="13"><f>IFERROR(IF(OR(BK8="",CK8="",BK8=0),"—",CK8/BK8),"—")</f><v /></c><c r="BI14" s="13"><f>IFERROR(IF(OR(BL8="",CL8="",BL8=0),"—",CL8/BL8),"—")</f><v /></c><c r="BJ14" s="13"><f>IFERROR(IF(OR(BM8="",CM8="",BM8=0),"—",CM8/BM8),"—")</f><v /></c><c r="BK14" s="13"><f>IFERROR(IF(OR(BN8="",CN8="",BN8=0),"—",CN8/BN8),"—")</f><v /></c><c r="BL14" s="13"><f>IFERROR(IF(OR(BO8="",CO8="",BO8=0),"—",CO8/BO8),"—")</f><v /></c><c r="BM14" s="13"><f>IFERROR(IF(OR(BP8="",CP8="",BP8=0),"—",CP8/BP8),"—")</f><v /></c><c r="BN14" s="13"><f>IFERROR(IF(OR(BQ8="",CQ8="",BQ8=0),"—",CQ8/BQ8),"—")</f><v /></c><c r="BO14" s="13"><f>IFERROR(IF(OR(BR8="",CR8="",BR8=0),"—",CR8/BR8),"—")</f><v /></c><c r="BP14" s="13"><f>IFERROR(IF(OR(BS8="",CS8="",BS8=0),"—",CS8/BS8),"—")</f><v /></c><c r="BQ14" s="13"><f>IFERROR(IF(OR(BT8="",CT8="",BT8=0),"—",CT8/BT8),"—")</f><v /></c><c r="BR14" s="13"><f>IFERROR(IF(OR(BU8="",CU8="",BU8=0),"—",CU8/BU8),"—")</f><v /></c><c r="BS14" s="13"><f>IFERROR(IF(OR(BV8="",CV8="",BV8=0),"—",CV8/BV8),"—")</f><v /></c><c r="BT14" s="13"><f>IFERROR(IF(OR(BW8="",CW8="",BW8=0),"—",CW8/BW8),"—")</f><v /></c><c r="BU14" s="13"><f>IFERROR(IF(OR(BX8="",CX8="",BX8=0),"—",CX8/BX8),"—")</f><v /></c><c r="BV14" s="13"><f>IFERROR(IF(OR(BY8="",CY8="",BY8=0),"—",CY8/BY8),"—")</f><v /></c><c r="BW14" s="13"><f>IFERROR(IF(OR(BZ8="",CZ8="",BZ8=0),"—",CZ8/BZ8),"—")</f><v /></c><c r="BX14" s="13"><f>IFERROR(IF(OR(CA8="",DA8="",CA8=0),"—",DA8/CA8),"—")</f><v /></c><c r="BY14" s="13"><f>IFERROR(IF(OR(CB8="",DB8="",CB8=0),"—",DB8/CB8),"—")</f><v /></c><c r="BZ14" s="13"><f>IFERROR(IF(OR(CC8="",DC8="",CC8=0),"—",DC8/CC8),"—")</f><v /></c><c r="CA14" s="13"><f>IFERROR(IF(OR(CD8="",DD8="",CD8=0),"—",DD8/CD8),"—")</f><v /></c><c r="CB14" s="13"><f>IFERROR(IF(OR(CE8="",DE8="",CE8=0),"—",DE8/CE8),"—")</f><v /></c><c r="CC14" s="13"><f>IFERROR(IF(OR(CF8="",DF8="",CF8=0),"—",DF8/CF8),"—")</f><v /></c><c r="CD14" s="13"><f>IFERROR(IF(OR(CG8="",DG8="",CG8=0),"—",DG8/CG8),"—")</f><v /></c><c r="CE14" s="13"><f>IFERROR(IF(OR(CH8="",DH8="",CH8=0),"—",DH8/CH8),"—")</f><v /></c><c r="CF14" s="13"><f>IFERROR(IF(OR(CI8="",DI8="",CI8=0),"—",DI8/CI8),"—")</f><v /></c></row><row r="15" ht="15" customHeight="1"><c r="A15" s="11" t="inlineStr"><is><t>L3</t></is></c><c r="B15" s="13"><f>IFERROR(IF(OR(E9="",AE9="",E9=0),"—",AE9/E9),"—")</f><v /></c><c r="C15" s="13"><f>IFERROR(IF(OR(F9="",AF9="",F9=0),"—",AF9/F9),"—")</f><v /></c><c r="D15" s="13"><f>IFERROR(IF(OR(G9="",AG9="",G9=0),"—",AG9/G9),"—")</f><v /></c><c r="E15" s="13"><f>IFERROR(IF(OR(H9="",AH9="",H9=0),"—",AH9/H9),"—")</f><v /></c><c r="F15" s="13"><f>IFERROR(IF(OR(I9="",AI9="",I9=0),"—",AI9/I9),"—")</f><v /></c><c r="G15" s="13"><f>IFERROR(IF(OR(J9="",AJ9="",J9=0),"—",AJ9/J9),"—")</f><v /></c><c r="H15" s="13"><f>IFERROR(IF(OR(K9="",AK9="",K9=0),"—",AK9/K9),"—")</f><v /></c><c r="I15" s="13"><f>IFERROR(IF(OR(L9="",AL9="",L9=0),"—",AL9/L9),"—")</f><v /></c><c r="J15" s="13"><f>IFERROR(IF(OR(M9="",AM9="",M9=0),"—",AM9/M9),"—")</f><v /></c><c r="K15" s="13"><f>IFERROR(IF(OR(N9="",AN9="",N9=0),"—",AN9/N9),"—")</f><v /></c><c r="L15" s="13"><f>IFERROR(IF(OR(O9="",AO9="",O9=0),"—",AO9/O9),"—")</f><v /></c><c r="M15" s="13"><f>IFERROR(IF(OR(P9="",AP9="",P9=0),"—",AP9/P9),"—")</f><v /></c><c r="N15" s="13"><f>IFERROR(IF(OR(Q9="",AQ9="",Q9=0),"—",AQ9/Q9),"—")</f><v /></c><c r="O15" s="13"><f>IFERROR(IF(OR(R9="",AR9="",R9=0),"—",AR9/R9),"—")</f><v /></c><c r="P15" s="13"><f>IFERROR(IF(OR(S9="",AS9="",S9=0),"—",AS9/S9),"—")</f><v /></c><c r="Q15" s="13"><f>IFERROR(IF(OR(T9="",AT9="",T9=0),"—",AT9/T9),"—")</f><v /></c><c r="R15" s="13"><f>IFERROR(IF(OR(U9="",AU9="",U9=0),"—",AU9/U9),"—")</f><v /></c><c r="S15" s="13"><f>IFERROR(IF(OR(V9="",AV9="",V9=0),"—",AV9/V9),"—")</f><v /></c><c r="T15" s="13"><f>IFERROR(IF(OR(W9="",AW9="",W9=0),"—",AW9/W9),"—")</f><v /></c><c r="U15" s="13"><f>IFERROR(IF(OR(X9="",AX9="",X9=0),"—",AX9/X9),"—")</f><v /></c><c r="V15" s="13"><f>IFERROR(IF(OR(Y9="",AY9="",Y9=0),"—",AY9/Y9),"—")</f><v /></c><c r="W15" s="13"><f>IFERROR(IF(OR(Z9="",AZ9="",Z9=0),"—",AZ9/Z9),"—")</f><v /></c><c r="X15" s="13"><f>IFERROR(IF(OR(AA9="",BA9="",AA9=0),"—",BA9/AA9),"—")</f><v /></c><c r="Y15" s="13"><f>IFERROR(IF(OR(AB9="",BB9="",AB9=0),"—",BB9/AB9),"—")</f><v /></c><c r="Z15" s="13"><f>IFERROR(IF(OR(AC9="",BC9="",AC9=0),"—",BC9/AC9),"—")</f><v /></c><c r="AA15" s="13"><f>IFERROR(IF(OR(AD9="",BD9="",AD9=0),"—",BD9/AD9),"—")</f><v /></c><c r="BF15" s="11" t="inlineStr"><is><t>S3</t></is></c><c r="BG15" s="13"><f>IFERROR(IF(OR(BJ9="",CJ9="",BJ9=0),"—",CJ9/BJ9),"—")</f><v /></c><c r="BH15" s="13"><f>IFERROR(IF(OR(BK9="",CK9="",BK9=0),"—",CK9/BK9),"—")</f><v /></c><c r="BI15" s="13"><f>IFERROR(IF(OR(BL9="",CL9="",BL9=0),"—",CL9/BL9),"—")</f><v /></c><c r="BJ15" s="13"><f>IFERROR(IF(OR(BM9="",CM9="",BM9=0),"—",CM9/BM9),"—")</f><v /></c><c r="BK15" s="13"><f>IFERROR(IF(OR(BN9="",CN9="",BN9=0),"—",CN9/BN9),"—")</f><v /></c><c r="BL15" s="13"><f>IFERROR(IF(OR(BO9="",CO9="",BO9=0),"—",CO9/BO9),"—")</f><v /></c><c r="BM15" s="13"><f>IFERROR(IF(OR(BP9="",CP9="",BP9=0),"—",CP9/BP9),"—")</f><v /></c><c r="BN15" s="13"><f>IFERROR(IF(OR(BQ9="",CQ9="",BQ9=0),"—",CQ9/BQ9),"—")</f><v /></c><c r="BO15" s="13"><f>IFERROR(IF(OR(BR9="",CR9="",BR9=0),"—",CR9/BR9),"—")</f><v /></c><c r="BP15" s="13"><f>IFERROR(IF(OR(BS9="",CS9="",BS9=0),"—",CS9/BS9),"—")</f><v /></c><c r="BQ15" s="13"><f>IFERROR(IF(OR(BT9="",CT9="",BT9=0),"—",CT9/BT9),"—")</f><v /></c><c r="BR15" s="13"><f>IFERROR(IF(OR(BU9="",CU9="",BU9=0),"—",CU9/BU9),"—")</f><v /></c><c r="BS15" s="13"><f>IFERROR(IF(OR(BV9="",CV9="",BV9=0),"—",CV9/BV9),"—")</f><v /></c><c r="BT15" s="13"><f>IFERROR(IF(OR(BW9="",CW9="",BW9=0),"—",CW9/BW9),"—")</f><v /></c><c r="BU15" s="13"><f>IFERROR(IF(OR(BX9="",CX9="",BX9=0),"—",CX9/BX9),"—")</f><v /></c><c r="BV15" s="13"><f>IFERROR(IF(OR(BY9="",CY9="",BY9=0),"—",CY9/BY9),"—")</f><v /></c><c r="BW15" s="13"><f>IFERROR(IF(OR(BZ9="",CZ9="",BZ9=0),"—",CZ9/BZ9),"—")</f><v /></c><c r="BX15" s="13"><f>IFERROR(IF(OR(CA9="",DA9="",CA9=0),"—",DA9/CA9),"—")</f><v /></c><c r="BY15" s="13"><f>IFERROR(IF(OR(CB9="",DB9="",CB9=0),"—",DB9/CB9),"—")</f><v /></c><c r="BZ15" s="13"><f>IFERROR(IF(OR(CC9="",DC9="",CC9=0),"—",DC9/CC9),"—")</f><v /></c><c r="CA15" s="13"><f>IFERROR(IF(OR(CD9="",DD9="",CD9=0),"—",DD9/CD9),"—")</f><v /></c><c r="CB15" s="13"><f>IFERROR(IF(OR(CE9="",DE9="",CE9=0),"—",DE9/CE9),"—")</f><v /></c><c r="CC15" s="13"><f>IFERROR(IF(OR(CF9="",DF9="",CF9=0),"—",DF9/CF9),"—")</f><v /></c><c r="CD15" s="13"><f>IFERROR(IF(OR(CG9="",DG9="",CG9=0),"—",DG9/CG9),"—")</f><v /></c><c r="CE15" s="13"><f>IFERROR(IF(OR(CH9="",DH9="",CH9=0),"—",DH9/CH9),"—")</f><v /></c><c r="CF15" s="13"><f>IFERROR(IF(OR(CI9="",DI9="",CI9=0),"—",DI9/CI9),"—")</f><v /></c></row><row r="17" ht="18" customHeight="1"><c r="A17" s="14" t="inlineStr"><is><t>LOG-LOG REGRESSION SUMMARY  (D = P × [acid]^Q)  — OUTPUT cells feed TDMA Panel B</t></is></c></row><row r="18" ht="30" customHeight="1"><c r="A18" s="10" t="inlineStr"><is><t>Element</t></is></c><c r="B18" s="10" t="inlineStr"><is><t>P_loading</t></is></c><c r="C18" s="10" t="inlineStr"><is><t>Q_loading</t></is></c><c r="D18" s="10" t="inlineStr"><is><t>R²_load</t></is></c><c r="E18" s="10" t="inlineStr"><is><t>P_strip</t></is></c><c r="F18" s="10" t="inlineStr"><is><t>Q_strip</t></is></c><c r="G18" s="10" t="inlineStr"><is><t>R²_strip</t></is></c></row><row r="19" ht="15" customHeight="1"><c r="A19" s="11" t="inlineStr"><is><t>Al</t></is></c><c r="B19" s="15"><f>IFERROR(IF(COUNTA(B13:B15)&lt;2,"Need≥2",EXP(INTERCEPT(LN(IF(ISNUMBER(B13:B15),B13:B15,1)),LN(IF(ISNUMBER(B7:B9),B7:B9,1))))),"N/A")</f><v /></c><c r="C19" s="15"><f>IFERROR(IF(COUNTA(B13:B15)&lt;2,"Need≥2",SLOPE(LN(IF(ISNUMBER(B13:B15),B13:B15,1)),LN(IF(ISNUMBER(B7:B9),B7:B9,1)))),"N/A")</f><v /></c><c r="D19" s="13"><f>IFERROR(IF(COUNTA(B13:B15)&lt;2,"Need≥2",RSQ(LN(IF(ISNUMBER(B13:B15),B13:B15,1)),LN(IF(ISNUMBER(B7:B9),B7:B9,1)))),"N/A")</f><v /></c><c r="E19" s="15"><f>IFERROR(IF(COUNTA(BG13:BG15)&lt;2,"Need≥2",EXP(INTERCEPT(LN(IF(ISNUMBER(BG13:BG15),BG13:BG15,1)),LN(IF(ISNUMBER(BG7:BG9),BG7:BG9,1))))),"N/A")</f><v /></c><c r="F19" s="15"><f>IFERROR(IF(COUNTA(BG13:BG15)&lt;2,"Need≥2",SLOPE(LN(IF(ISNUMBER(BG13:BG15),BG13:BG15,1)),LN(IF(ISNUMBER(BG7:BG9),BG7:BG9,1)))),"N/A")</f><v /></c><c r="G19" s="13"><f>IFERROR(IF(COUNTA(BG13:BG15)&lt;2,"Need≥2",RSQ(LN(IF(ISNUMBER(BG13:BG15),BG13:BG15,1)),LN(IF(ISNUMBER(BG7:BG9),BG7:BG9,1)))),"N/A")</f><v /></c></row><row r="20" ht="15" customHeight="1"><c r="A20" s="11" t="inlineStr"><is><t>Sc</t></is></c><c r="B20" s="15"><f>IFERROR(IF(COUNTA(C13:C15)&lt;2,"Need≥2",EXP(INTERCEPT(LN(IF(ISNUMBER(C13:C15),C13:C15,1)),LN(IF(ISNUMBER(B7:B9),B7:B9,1))))),"N/A")</f><v /></c><c r="C20" s="15"><f>IFERROR(IF(COUNTA(C13:C15)&lt;2,"Need≥2",SLOPE(LN(IF(ISNUMBER(C13:C15),C13:C15,1)),LN(IF(ISNUMBER(B7:B9),B7:B9,1)))),"N/A")</f><v /></c><c r="D20" s="13"><f>IFERROR(IF(COUNTA(C13:C15)&lt;2,"Need≥2",RSQ(LN(IF(ISNUMBER(C13:C15),C13:C15,1)),LN(IF(ISNUMBER(B7:B9),B7:B9,1)))),"N/A")</f><v /></c><c r="E20" s="15"><f>IFERROR(IF(COUNTA(BH13:BH15)&lt;2,"Need≥2",EXP(INTERCEPT(LN(IF(ISNUMBER(BH13:BH15),BH13:BH15,1)),LN(IF(ISNUMBER(BG7:BG9),BG7:BG9,1))))),"N/A")</f><v /></c><c r="F20" s="15"><f>IFERROR(IF(COUNTA(BH13:BH15)&lt;2,"Need≥2",SLOPE(LN(IF(ISNUMBER(BH13:BH15),BH13:BH15,1)),LN(IF(ISNUMBER(BG7:BG9),BG7:BG9,1)))),"N/A")</f><v /></c><c r="G20" s="13"><f>IFERROR(IF(COUNTA(BH13:BH15)&lt;2,"Need≥2",RSQ(LN(IF(ISNUMBER(BH13:BH15),BH13:BH15,1)),LN(IF(ISNUMBER(BG7:BG9),BG7:BG9,1)))),"N/A")</f><v /></c></row><row r="21" ht="15" customHeight="1"><c r="A21" s="11" t="inlineStr"><is><t>Fe</t></is></c><c r="B21" s="15"><f>IFERROR(IF(COUNTA(D13:D15)&lt;2,"Need≥2",EXP(INTERCEPT(LN(IF(ISNUMBER(D13:D15),D13:D15,1)),LN(IF(ISNUMBER(B7:B9),B7:B9,1))))),"N/A")</f><v /></c><c r="C21" s="15"><f>IFERROR(IF(COUNTA(D13:D15)&lt;2,"Need≥2",SLOPE(LN(IF(ISNUMBER(D13:D15),D13:D15,1)),LN(IF(ISNUMBER(B7:B9),B7:B9,1)))),"N/A")</f><v /></c><c r="D21" s="13"><f>IFERROR(IF(COUNTA(D13:D15)&lt;2,"Need≥2",RSQ(LN(IF(ISNUMBER(D13:D15),D13:D15,1)),LN(IF(ISNUMBER(B7:B9),B7:B9,1)))),"N/A")</f><v /></c><c r="E21" s="15"><f>IFERROR(IF(COUNTA(BI13:BI15)&lt;2,"Need≥2",EXP(INTERCEPT(LN(IF(ISNUMBER(BI13:BI15),BI13:BI15,1)),LN(IF(ISNUMBER(BG7:BG9),BG7:BG9,1))))),"N/A")</f><v /></c><c r="F21" s="15"><f>IFERROR(IF(COUNTA(BI13:BI15)&lt;2,"Need≥2",SLOPE(LN(IF(ISNUMBER(BI13:BI15),BI13:BI15,1)),LN(IF(ISNUMBER(BG7:BG9),BG7:BG9,1)))),"N/A")</f><v /></c><c r="G21" s="13"><f>IFERROR(IF(COUNTA(BI13:BI15)&lt;2,"Need≥2",RSQ(LN(IF(ISNUMBER(BI13:BI15),BI13:BI15,1)),LN(IF(ISNUMBER(BG7:BG9),BG7:BG9,1)))),"N/A")</f><v /></c></row><row r="22" ht="15" customHeight="1"><c r="A22" s="11" t="inlineStr"><is><t>Co</t></is></c><c r="B22" s="15"><f>IFERROR(IF(COUNTA(E13:E15)&lt;2,"Need≥2",EXP(INTERCEPT(LN(IF(ISNUMBER(E13:E15),E13:E15,1)),LN(IF(ISNUMBER(B7:B9),B7:B9,1))))),"N/A")</f><v /></c><c r="C22" s="15"><f>IFERROR(IF(COUNTA(E13:E15)&lt;2,"Need≥2",SLOPE(LN(IF(ISNUMBER(E13:E15),E13:E15,1)),LN(IF(ISNUMBER(B7:B9),B7:B9,1)))),"N/A")</f><v /></c><c r="D22" s="13"><f>IFERROR(IF(COUNTA(E13:E15)&lt;2,"Need≥2",RSQ(LN(IF(ISNUMBER(E13:E15),E13:E15,1)),LN(IF(ISNUMBER(B7:B9),B7:B9,1)))),"N/A")</f><v /></c><c r="E22" s="15"><f>IFERROR(IF(COUNTA(BJ13:BJ15)&lt;2,"Need≥2",EXP(INTERCEPT(LN(IF(ISNUMBER(BJ13:BJ15),BJ13:BJ15,1)),LN(IF(ISNUMBER(BG7:BG9),BG7:BG9,1))))),"N/A")</f><v /></c><c r="F22" s="15"><f>IFERROR(IF(COUNTA(BJ13:BJ15)&lt;2,"Need≥2",SLOPE(LN(IF(ISNUMBER(BJ13:BJ15),BJ13:BJ15,1)),LN(IF(ISNUMBER(BG7:BG9),BG7:BG9,1)))),"N/A")</f><v /></c><c r="G22" s="13"><f>IFERROR(IF(COUNTA(BJ13:BJ15)&lt;2,"Need≥2",RSQ(LN(IF(ISNUMBER(BJ13:BJ15),BJ13:BJ15,1)),LN(IF(ISNUMBER(BG7:BG9),BG7:BG9,1)))),"N/A")</f><v /></c></row><row r="23" ht="15" customHeight="1"><c r="A23" s="11" t="inlineStr"><is><t>Zn</t></is></c><c r="B23" s="15"><f>IFERROR(IF(COUNTA(F13:F15)&lt;2,"Need≥2",EXP(INTERCEPT(LN(IF(ISNUMBER(F13:F15),F13:F15,1)),LN(IF(ISNUMBER(B7:B9),B7:B9,1))))),"N/A")</f><v /></c><c r="C23" s="15"><f>IFERROR(IF(COUNTA(F13:F15)&lt;2,"Need≥2",SLOPE(LN(IF(ISNUMBER(F13:F15),F13:F15,1)),LN(IF(ISNUMBER(B7:B9),B7:B9,1)))),"N/A")</f><v /></c><c r="D23" s="13"><f>IFERROR(IF(COUNTA(F13:F15)&lt;2,"Need≥2",RSQ(LN(IF(ISNUMBER(F13:F15),F13:F15,1)),LN(IF(ISNUMBER(B7:B9),B7:B9,1)))),"N/A")</f><v /></c><c r="E23" s="15"><f>IFERROR(IF(COUNTA(BK13:BK15)&lt;2,"Need≥2",EXP(INTERCEPT(LN(IF(ISNUMBER(BK13:BK15),BK13:BK15,1)),LN(IF(ISNUMBER(BG7:BG9),BG7:BG9,1))))),"N/A")</f><v /></c><c r="F23" s="15"><f>IFERROR(IF(COUNTA(BK13:BK15)&lt;2,"Need≥2",SLOPE(LN(IF(ISNUMBER(BK13:BK15),BK13:BK15,1)),LN(IF(ISNUMBER(BG7:BG9),BG7:BG9,1)))),"N/A")</f><v /></c><c r="G23" s="13"><f>IFERROR(IF(COUNTA(BK13:BK15)&lt;2,"Need≥2",RSQ(LN(IF(ISNUMBER(BK13:BK15),BK13:BK15,1)),LN(IF(ISNUMBER(BG7:BG9),BG7:BG9,1)))),"N/A")</f><v /></c></row><row r="24" ht="15" customHeight="1"><c r="A24" s="11" t="inlineStr"><is><t>Ga</t></is></c><c r="B24" s="15"><f>IFERROR(IF(COUNTA(G13:G15)&lt;2,"Need≥2",EXP(INTERCEPT(LN(IF(ISNUMBER(G13:G15),G13:G15,1)),LN(IF(ISNUMBER(B7:B9),B7:B9,1))))),"N/A")</f><v /></c><c r="C24" s="15"><f>IFERROR(IF(COUNTA(G13:G15)&lt;2,"Need≥2",SLOPE(LN(IF(ISNUMBER(G13:G15),G13:G15,1)),LN(IF(ISNUMBER(B7:B9),B7:B9,1)))),"N/A")</f><v /></c><c r="D24" s="13"><f>IFERROR(IF(COUNTA(G13:G15)&lt;2,"Need≥2",RSQ(LN(IF(ISNUMBER(G13:G15),G13:G15,1)),LN(IF(ISNUMBER(B7:B9),B7:B9,1)))),"N/A")</f><v /></c><c r="E24" s="15"><f>IFERROR(IF(COUNTA(BL13:BL15)&lt;2,"Need≥2",EXP(INTERCEPT(LN(IF(ISNUMBER(BL13:BL15),BL13:BL15,1)),LN(IF(ISNUMBER(BG7:BG9),BG7:BG9,1))))),"N/A")</f><v /></c><c r="F24" s="15"><f>IFERROR(IF(COUNTA(BL13:BL15)&lt;2,"Need≥2",SLOPE(LN(IF(ISNUMBER(BL13:BL15),BL13:BL15,1)),LN(IF(ISNUMBER(BG7:BG9),BG7:BG9,1)))),"N/A")</f><v /></c><c r="G24" s="13"><f>IFERROR(IF(COUNTA(BL13:BL15)&lt;2,"Need≥2",RSQ(LN(IF(ISNUMBER(BL13:BL15),BL13:BL15,1)),LN(IF(ISNUMBER(BG7:BG9),BG7:BG9,1)))),"N/A")</f><v /></c></row><row r="25" ht="15" customHeight="1"><c r="A25" s="11" t="inlineStr"><is><t>Rb</t></is></c><c r="B25" s="15"><f>IFERROR(IF(COUNTA(H13:H15)&lt;2,"Need≥2",EXP(INTERCEPT(LN(IF(ISNUMBER(H13:H15),H13:H15,1)),LN(IF(ISNUMBER(B7:B9),B7:B9,1))))),"N/A")</f><v /></c><c r="C25" s="15"><f>IFERROR(IF(COUNTA(H13:H15)&lt;2,"Need≥2",SLOPE(LN(IF(ISNUMBER(H13:H15),H13:H15,1)),LN(IF(ISNUMBER(B7:B9),B7:B9,1)))),"N/A")</f><v /></c><c r="D25" s="13"><f>IFERROR(IF(COUNTA(H13:H15)&lt;2,"Need≥2",RSQ(LN(IF(ISNUMBER(H13:H15),H13:H15,1)),LN(IF(ISNUMBER(B7:B9),B7:B9,1)))),"N/A")</f><v /></c><c r="E25" s="15"><f>IFERROR(IF(COUNTA(BM13:BM15)&lt;2,"Need≥2",EXP(INTERCEPT(LN(IF(ISNUMBER(BM13:BM15),BM13:BM15,1)),LN(IF(ISNUMBER(BG7:BG9),BG7:BG9,1))))),"N/A")</f><v /></c><c r="F25" s="15"><f>IFERROR(IF(COUNTA(BM13:BM15)&lt;2,"Need≥2",SLOPE(LN(IF(ISNUMBER(BM13:BM15),BM13:BM15,1)),LN(IF(ISNUMBER(BG7:BG9),BG7:BG9,1)))),"N/A")</f><v /></c><c r="G25" s="13"><f>IFERROR(IF(COUNTA(BM13:BM15)&lt;2,"Need≥2",RSQ(LN(IF(ISNUMBER(BM13:BM15),BM13:BM15,1)),LN(IF(ISNUMBER(BG7:BG9),BG7:BG9,1)))),"N/A")</f><v /></c></row><row r="26" ht="15" customHeight="1"><c r="A26" s="11" t="inlineStr"><is><t>Y</t></is></c><c r="B26" s="15"><f>IFERROR(IF(COUNTA(I13:I15)&lt;2,"Need≥2",EXP(INTERCEPT(LN(IF(ISNUMBER(I13:I15),I13:I15,1)),LN(IF(ISNUMBER(B7:B9),B7:B9,1))))),"N/A")</f><v /></c><c r="C26" s="15"><f>IFERROR(IF(COUNTA(I13:I15)&lt;2,"Need≥2",SLOPE(LN(IF(ISNUMBER(I13:I15),I13:I15,1)),LN(IF(ISNUMBER(B7:B9),B7:B9,1)))),"N/A")</f><v /></c><c r="D26" s="13"><f>IFERROR(IF(COUNTA(I13:I15)&lt;2,"Need≥2",RSQ(LN(IF(ISNUMBER(I13:I15),I13:I15,1)),LN(IF(ISNUMBER(B7:B9),B7:B9,1)))),"N/A")</f><v /></c><c r="E26" s="15"><f>IFERROR(IF(COUNTA(BN13:BN15)&lt;2,"Need≥2",EXP(INTERCEPT(LN(IF(ISNUMBER(BN13:BN15),BN13:BN15,1)),LN(IF(ISNUMBER(BG7:BG9),BG7:BG9,1))))),"N/A")</f><v /></c><c r="F26" s="15"><f>IFERROR(IF(COUNTA(BN13:BN15)&lt;2,"Need≥2",SLOPE(LN(IF(ISNUMBER(BN13:BN15),BN13:BN15,1)),LN(IF(ISNUMBER(BG7:BG9),BG7:BG9,1)))),"N/A")</f><v /></c><c r="G26" s="13"><f>IFERROR(IF(COUNTA(BN13:BN15)&lt;2,"Need≥2",RSQ(LN(IF(ISNUMBER(BN13:BN15),BN13:BN15,1)),LN(IF(ISNUMBER(BG7:BG9),BG7:BG9,1)))),"N/A")</f><v /></c></row><row r="27" ht="15" customHeight="1"><c r="A27" s="11" t="inlineStr"><is><t>Zr</t></is></c><c r="B27" s="15"><f>IFERROR(IF(COUNTA(J13:J15)&lt;2,"Need≥2",EXP(INTERCEPT(LN(IF(ISNUMBER(J13:J15),J13:J15,1)),LN(IF(ISNUMBER(B7:B9),B7:B9,1))))),"N/A")</f><v /></c><c r="C27" s="15"><f>IFERROR(IF(COUNTA(J13:J15)&lt;2,"Need≥2",SLOPE(LN(IF(ISNUMBER(J13:J15),J13:J15,1)),LN(IF(ISNUMBER(B7:B9),B7:B9,1)))),"N/A")</f><v /></c><c r="D27" s="13"><f>IFERROR(IF(COUNTA(J13:J15)&lt;2,"Need≥2",RSQ(LN(IF(ISNUMBER(J13:J15),J13:J15,1)),LN(IF(ISNUMBER(B7:B9),B7:B9,1)))),"N/A")</f><v /></c><c r="E27" s="15"><f>IFERROR(IF(COUNTA(BO13:BO15)&lt;2,"Need≥2",EXP(INTERCEPT(LN(IF(ISNUMBER(BO13:BO15),BO13:BO15,1)),LN(IF(ISNUMBER(BG7:BG9),BG7:BG9,1))))),"N/A")</f><v /></c><c r="F27" s="15"><f>IFERROR(IF(COUNTA(BO13:BO15)&lt;2,"Need≥2",SLOPE(LN(IF(ISNUMBER(BO13:BO15),BO13:BO15,1)),LN(IF(ISNUMBER(BG7:BG9),BG7:BG9,1)))),"N/A")</f><v /></c><c r="G27" s="13"><f>IFERROR(IF(COUNTA(BO13:BO15)&lt;2,"Need≥2",RSQ(LN(IF(ISNUMBER(BO13:BO15),BO13:BO15,1)),LN(IF(ISNUMBER(BG7:BG9),BG7:BG9,1)))),"N/A")</f><v /></c></row><row r="28" ht="15" customHeight="1"><c r="A28" s="11" t="inlineStr"><is><t>La</t></is></c><c r="B28" s="15"><f>IFERROR(IF(COUNTA(K13:K15)&lt;2,"Need≥2",EXP(INTERCEPT(LN(IF(ISNUMBER(K13:K15),K13:K15,1)),LN(IF(ISNUMBER(B7:B9),B7:B9,1))))),"N/A")</f><v /></c><c r="C28" s="15"><f>IFERROR(IF(COUNTA(K13:K15)&lt;2,"Need≥2",SLOPE(LN(IF(ISNUMBER(K13:K15),K13:K15,1)),LN(IF(ISNUMBER(B7:B9),B7:B9,1)))),"N/A")</f><v /></c><c r="D28" s="13"><f>IFERROR(IF(COUNTA(K13:K15)&lt;2,"Need≥2",RSQ(LN(IF(ISNUMBER(K13:K15),K13:K15,1)),LN(IF(ISNUMBER(B7:B9),B7:B9,1)))),"N/A")</f><v /></c><c r="E28" s="15"><f>IFERROR(IF(COUNTA(BP13:BP15)&lt;2,"Need≥2",EXP(INTERCEPT(LN(IF(ISNUMBER(BP13:BP15),BP13:BP15,1)),LN(IF(ISNUMBER(BG7:BG9),BG7:BG9,1))))),"N/A")</f><v /></c><c r="F28" s="15"><f>IFERROR(IF(COUNTA(BP13:BP15)&lt;2,"Need≥2",SLOPE(LN(IF(ISNUMBER(BP13:BP15),BP13:BP15,1)),LN(IF(ISNUMBER(BG7:BG9),BG7:BG9,1)))),"N/A")</f><v /></c><c r="G28" s="13"><f>IFERROR(IF(COUNTA(BP13:BP15)&lt;2,"Need≥2",RSQ(LN(IF(ISNUMBER(BP13:BP15),BP13:BP15,1)),LN(IF(ISNUMBER(BG7:BG9),BG7:BG9,1)))),"N/A")</f><v /></c></row><row r="29" ht="15" customHeight="1"><c r="A29" s="11" t="inlineStr"><is><t>Ce</t></is></c><c r="B29" s="15"><f>IFERROR(IF(COUNTA(L13:L15)&lt;2,"Need≥2",EXP(INTERCEPT(LN(IF(ISNUMBER(L13:L15),L13:L15,1)),LN(IF(ISNUMBER(B7:B9),B7:B9,1))))),"N/A")</f><v /></c><c r="C29" s="15"><f>IFERROR(IF(COUNTA(L13:L15)&lt;2,"Need≥2",SLOPE(LN(IF(ISNUMBER(L13:L15),L13:L15,1)),LN(IF(ISNUMBER(B7:B9),B7:B9,1)))),"N/A")</f><v /></c><c r="D29" s="13"><f>IFERROR(IF(COUNTA(L13:L15)&lt;2,"Need≥2",RSQ(LN(IF(ISNUMBER(L13:L15),L13:L15,1)),LN(IF(ISNUMBER(B7:B9),B7:B9,1)))),"N/A")</f><v /></c><c r="E29" s="15"><f>IFERROR(IF(COUNTA(BQ13:BQ15)&lt;2,"Need≥2",EXP(INTERCEPT(LN(IF(ISNUMBER(BQ13:BQ15),BQ13:BQ15,1)),LN(IF(ISNUMBER(BG7:BG9),BG7:BG9,1))))),"N/A")</f><v /></c><c r="F29" s="15"><f>IFERROR(IF(COUNTA(BQ13:BQ15)&lt;2,"Need≥2",SLOPE(LN(IF(ISNUMBER(BQ13:BQ15),BQ13:BQ15,1)),LN(IF(ISNUMBER(BG7:BG9),BG7:BG9,1)))),"N/A")</f><v /></c><c r="G29" s="13"><f>IFERROR(IF(COUNTA(BQ13:BQ15)&lt;2,"Need≥2",RSQ(LN(IF(ISNUMBER(BQ13:BQ15),BQ13:BQ15,1)),LN(IF(ISNUMBER(BG7:BG9),BG7:BG9,1)))),"N/A")</f><v /></c></row><row r="30" ht="15" customHeight="1"><c r="A30" s="11" t="inlineStr"><is><t>Pr</t></is></c><c r="B30" s="15"><f>IFERROR(IF(COUNTA(M13:M15)&lt;2,"Need≥2",EXP(INTERCEPT(LN(IF(ISNUMBER(M13:M15),M13:M15,1)),LN(IF(ISNUMBER(B7:B9),B7:B9,1))))),"N/A")</f><v /></c><c r="C30" s="15"><f>IFERROR(IF(COUNTA(M13:M15)&lt;2,"Need≥2",SLOPE(LN(IF(ISNUMBER(M13:M15),M13:M15,1)),LN(IF(ISNUMBER(B7:B9),B7:B9,1)))),"N/A")</f><v /></c><c r="D30" s="13"><f>IFERROR(IF(COUNTA(M13:M15)&lt;2,"Need≥2",RSQ(LN(IF(ISNUMBER(M13:M15),M13:M15,1)),LN(IF(ISNUMBER(B7:B9),B7:B9,1)))),"N/A")</f><v /></c><c r="E30" s="15"><f>IFERROR(IF(COUNTA(BR13:BR15)&lt;2,"Need≥2",EXP(INTERCEPT(LN(IF(ISNUMBER(BR13:BR15),BR13:BR15,1)),LN(IF(ISNUMBER(BG7:BG9),BG7:BG9,1))))),"N/A")</f><v /></c><c r="F30" s="15"><f>IFERROR(IF(COUNTA(BR13:BR15)&lt;2,"Need≥2",SLOPE(LN(IF(ISNUMBER(BR13:BR15),BR13:BR15,1)),LN(IF(ISNUMBER(BG7:BG9),BG7:BG9,1)))),"N/A")</f><v /></c><c r="G30" s="13"><f>IFERROR(IF(COUNTA(BR13:BR15)&lt;2,"Need≥2",RSQ(LN(IF(ISNUMBER(BR13:BR15),BR13:BR15,1)),LN(IF(ISNUMBER(BG7:BG9),BG7:BG9,1)))),"N/A")</f><v /></c></row><row r="31" ht="15" customHeight="1"><c r="A31" s="11" t="inlineStr"><is><t>Nd</t></is></c><c r="B31" s="15"><f>IFERROR(IF(COUNTA(N13:N15)&lt;2,"Need≥2",EXP(INTERCEPT(LN(IF(ISNUMBER(N13:N15),N13:N15,1)),LN(IF(ISNUMBER(B7:B9),B7:B9,1))))),"N/A")</f><v /></c><c r="C31" s="15"><f>IFERROR(IF(COUNTA(N13:N15)&lt;2,"Need≥2",SLOPE(LN(IF(ISNUMBER(N13:N15),N13:N15,1)),LN(IF(ISNUMBER(B7:B9),B7:B9,1)))),"N/A")</f><v /></c><c r="D31" s="13"><f>IFERROR(IF(COUNTA(N13:N15)&lt;2,"Need≥2",RSQ(LN(IF(ISNUMBER(N13:N15),N13:N15,1)),LN(IF(ISNUMBER(B7:B9),B7:B9,1)))),"N/A")</f><v /></c><c r="E31" s="15"><f>IFERROR(IF(COUNTA(BS13:BS15)&lt;2,"Need≥2",EXP(INTERCEPT(LN(IF(ISNUMBER(BS13:BS15),BS13:BS15,1)),LN(IF(ISNUMBER(BG7:BG9),BG7:BG9,1))))),"N/A")</f><v /></c><c r="F31" s="15"><f>IFERROR(IF(COUNTA(BS13:BS15)&lt;2,"Need≥2",SLOPE(LN(IF(ISNUMBER(BS13:BS15),BS13:BS15,1)),LN(IF(ISNUMBER(BG7:BG9),BG7:BG9,1)))),"N/A")</f><v /></c><c r="G31" s="13"><f>IFERROR(IF(COUNTA(BS13:BS15)&lt;2,"Need≥2",RSQ(LN(IF(ISNUMBER(BS13:BS15),BS13:BS15,1)),LN(IF(ISNUMBER(BG7:BG9),BG7:BG9,1)))),"N/A")</f><v /></c></row><row r="32" ht="15" customHeight="1"><c r="A32" s="11" t="inlineStr"><is><t>Sm</t></is></c><c r="B32" s="15"><f>IFERROR(IF(COUNTA(O13:O15)&lt;2,"Need≥2",EXP(INTERCEPT(LN(IF(ISNUMBER(O13:O15),O13:O15,1)),LN(IF(ISNUMBER(B7:B9),B7:B9,1))))),"N/A")</f><v /></c><c r="C32" s="15"><f>IFERROR(IF(COUNTA(O13:O15)&lt;2,"Need≥2",SLOPE(LN(IF(ISNUMBER(O13:O15),O13:O15,1)),LN(IF(ISNUMBER(B7:B9),B7:B9,1)))),"N/A")</f><v /></c><c r="D32" s="13"><f>IFERROR(IF(COUNTA(O13:O15)&lt;2,"Need≥2",RSQ(LN(IF(ISNUMBER(O13:O15),O13:O15,1)),LN(IF(ISNUMBER(B7:B9),B7:B9,1)))),"N/A")</f><v /></c><c r="E32" s="15"><f>IFERROR(IF(COUNTA(BT13:BT15)&lt;2,"Need≥2",EXP(INTERCEPT(LN(IF(ISNUMBER(BT13:BT15),BT13:BT15,1)),LN(IF(ISNUMBER(BG7:BG9),BG7:BG9,1))))),"N/A")</f><v /></c><c r="F32" s="15"><f>IFERROR(IF(COUNTA(BT13:BT15)&lt;2,"Need≥2",SLOPE(LN(IF(ISNUMBER(BT13:BT15),BT13:BT15,1)),LN(IF(ISNUMBER(BG7:BG9),BG7:BG9,1)))),"N/A")</f><v /></c><c r="G32" s="13"><f>IFERROR(IF(COUNTA(BT13:BT15)&lt;2,"Need≥2",RSQ(LN(IF(ISNUMBER(BT13:BT15),BT13:BT15,1)),LN(IF(ISNUMBER(BG7:BG9),BG7:BG9,1)))),"N/A")</f><v /></c></row><row r="33" ht="15" customHeight="1"><c r="A33" s="11" t="inlineStr"><is><t>Eu</t></is></c><c r="B33" s="15"><f>IFERROR(IF(COUNTA(P13:P15)&lt;2,"Need≥2",EXP(INTERCEPT(LN(IF(ISNUMBER(P13:P15),P13:P15,1)),LN(IF(ISNUMBER(B7:B9),B7:B9,1))))),"N/A")</f><v /></c><c r="C33" s="15"><f>IFERROR(IF(COUNTA(P13:P15)&lt;2,"Need≥2",SLOPE(LN(IF(ISNUMBER(P13:P15),P13:P15,1)),LN(IF(ISNUMBER(B7:B9),B7:B9,1)))),"N/A")</f><v /></c><c r="D33" s="13"><f>IFERROR(IF(COUNTA(P13:P15)&lt;2,"Need≥2",RSQ(LN(IF(ISNUMBER(P13:P15),P13:P15,1)),LN(IF(ISNUMBER(B7:B9),B7:B9,1)))),"N/A")</f><v /></c><c r="E33" s="15"><f>IFERROR(IF(COUNTA(BU13:BU15)&lt;2,"Need≥2",EXP(INTERCEPT(LN(IF(ISNUMBER(BU13:BU15),BU13:BU15,1)),LN(IF(ISNUMBER(BG7:BG9),BG7:BG9,1))))),"N/A")</f><v /></c><c r="F33" s="15"><f>IFERROR(IF(COUNTA(BU13:BU15)&lt;2,"Need≥2",SLOPE(LN(IF(ISNUMBER(BU13:BU15),BU13:BU15,1)),LN(IF(ISNUMBER(BG7:BG9),BG7:BG9,1)))),"N/A")</f><v /></c><c r="G33" s="13"><f>IFERROR(IF(COUNTA(BU13:BU15)&lt;2,"Need≥2",RSQ(LN(IF(ISNUMBER(BU13:BU15),BU13:BU15,1)),LN(IF(ISNUMBER(BG7:BG9),BG7:BG9,1)))),"N/A")</f><v /></c></row><row r="34" ht="15" customHeight="1"><c r="A34" s="11" t="inlineStr"><is><t>Gd</t></is></c><c r="B34" s="15"><f>IFERROR(IF(COUNTA(Q13:Q15)&lt;2,"Need≥2",EXP(INTERCEPT(LN(IF(ISNUMBER(Q13:Q15),Q13:Q15,1)),LN(IF(ISNUMBER(B7:B9),B7:B9,1))))),"N/A")</f><v /></c><c r="C34" s="15"><f>IFERROR(IF(COUNTA(Q13:Q15)&lt;2,"Need≥2",SLOPE(LN(IF(ISNUMBER(Q13:Q15),Q13:Q15,1)),LN(IF(ISNUMBER(B7:B9),B7:B9,1)))),"N/A")</f><v /></c><c r="D34" s="13"><f>IFERROR(IF(COUNTA(Q13:Q15)&lt;2,"Need≥2",RSQ(LN(IF(ISNUMBER(Q13:Q15),Q13:Q15,1)),LN(IF(ISNUMBER(B7:B9),B7:B9,1)))),"N/A")</f><v /></c><c r="E34" s="15"><f>IFERROR(IF(COUNTA(BV13:BV15)&lt;2,"Need≥2",EXP(INTERCEPT(LN(IF(ISNUMBER(BV13:BV15),BV13:BV15,1)),LN(IF(ISNUMBER(BG7:BG9),BG7:BG9,1))))),"N/A")</f><v /></c><c r="F34" s="15"><f>IFERROR(IF(COUNTA(BV13:BV15)&lt;2,"Need≥2",SLOPE(LN(IF(ISNUMBER(BV13:BV15),BV13:BV15,1)),LN(IF(ISNUMBER(BG7:BG9),BG7:BG9,1)))),"N/A")</f><v /></c><c r="G34" s="13"><f>IFERROR(IF(COUNTA(BV13:BV15)&lt;2,"Need≥2",RSQ(LN(IF(ISNUMBER(BV13:BV15),BV13:BV15,1)),LN(IF(ISNUMBER(BG7:BG9),BG7:BG9,1)))),"N/A")</f><v /></c></row><row r="35" ht="15" customHeight="1"><c r="A35" s="11" t="inlineStr"><is><t>Tb</t></is></c><c r="B35" s="15"><f>IFERROR(IF(COUNTA(R13:R15)&lt;2,"Need≥2",EXP(INTERCEPT(LN(IF(ISNUMBER(R13:R15),R13:R15,1)),LN(IF(ISNUMBER(B7:B9),B7:B9,1))))),"N/A")</f><v /></c><c r="C35" s="15"><f>IFERROR(IF(COUNTA(R13:R15)&lt;2,"Need≥2",SLOPE(LN(IF(ISNUMBER(R13:R15),R13:R15,1)),LN(IF(ISNUMBER(B7:B9),B7:B9,1)))),"N/A")</f><v /></c><c r="D35" s="13"><f>IFERROR(IF(COUNTA(R13:R15)&lt;2,"Need≥2",RSQ(LN(IF(ISNUMBER(R13:R15),R13:R15,1)),LN(IF(ISNUMBER(B7:B9),B7:B9,1)))),"N/A")</f><v /></c><c r="E35" s="15"><f>IFERROR(IF(COUNTA(BW13:BW15)&lt;2,"Need≥2",EXP(INTERCEPT(LN(IF(ISNUMBER(BW13:BW15),BW13:BW15,1)),LN(IF(ISNUMBER(BG7:BG9),BG7:BG9,1))))),"N/A")</f><v /></c><c r="F35" s="15"><f>IFERROR(IF(COUNTA(BW13:BW15)&lt;2,"Need≥2",SLOPE(LN(IF(ISNUMBER(BW13:BW15),BW13:BW15,1)),LN(IF(ISNUMBER(BG7:BG9),BG7:BG9,1)))),"N/A")</f><v /></c><c r="G35" s="13"><f>IFERROR(IF(COUNTA(BW13:BW15)&lt;2,"Need≥2",RSQ(LN(IF(ISNUMBER(BW13:BW15),BW13:BW15,1)),LN(IF(ISNUMBER(BG7:BG9),BG7:BG9,1)))),"N/A")</f><v /></c></row><row r="36" ht="15" customHeight="1"><c r="A36" s="11" t="inlineStr"><is><t>Dy</t></is></c><c r="B36" s="15"><f>IFERROR(IF(COUNTA(S13:S15)&lt;2,"Need≥2",EXP(INTERCEPT(LN(IF(ISNUMBER(S13:S15),S13:S15,1)),LN(IF(ISNUMBER(B7:B9),B7:B9,1))))),"N/A")</f><v /></c><c r="C36" s="15"><f>IFERROR(IF(COUNTA(S13:S15)&lt;2,"Need≥2",SLOPE(LN(IF(ISNUMBER(S13:S15),S13:S15,1)),LN(IF(ISNUMBER(B7:B9),B7:B9,1)))),"N/A")</f><v /></c><c r="D36" s="13"><f>IFERROR(IF(COUNTA(S13:S15)&lt;2,"Need≥2",RSQ(LN(IF(ISNUMBER(S13:S15),S13:S15,1)),LN(IF(ISNUMBER(B7:B9),B7:B9,1)))),"N/A")</f><v /></c><c r="E36" s="15"><f>IFERROR(IF(COUNTA(BX13:BX15)&lt;2,"Need≥2",EXP(INTERCEPT(LN(IF(ISNUMBER(BX13:BX15),BX13:BX15,1)),LN(IF(ISNUMBER(BG7:BG9),BG7:BG9,1))))),"N/A")</f><v /></c><c r="F36" s="15"><f>IFERROR(IF(COUNTA(BX13:BX15)&lt;2,"Need≥2",SLOPE(LN(IF(ISNUMBER(BX13:BX15),BX13:BX15,1)),LN(IF(ISNUMBER(BG7:BG9),BG7:BG9,1)))),"N/A")</f><v /></c><c r="G36" s="13"><f>IFERROR(IF(COUNTA(BX13:BX15)&lt;2,"Need≥2",RSQ(LN(IF(ISNUMBER(BX13:BX15),BX13:BX15,1)),LN(IF(ISNUMBER(BG7:BG9),BG7:BG9,1)))),"N/A")</f><v /></c></row><row r="37" ht="15" customHeight="1"><c r="A37" s="11" t="inlineStr"><is><t>Ho</t></is></c><c r="B37" s="15"><f>IFERROR(IF(COUNTA(T13:T15)&lt;2,"Need≥2",EXP(INTERCEPT(LN(IF(ISNUMBER(T13:T15),T13:T15,1)),LN(IF(ISNUMBER(B7:B9),B7:B9,1))))),"N/A")</f><v /></c><c r="C37" s="15"><f>IFERROR(IF(COUNTA(T13:T15)&lt;2,"Need≥2",SLOPE(LN(IF(ISNUMBER(T13:T15),T13:T15,1)),LN(IF(ISNUMBER(B7:B9),B7:B9,1)))),"N/A")</f><v /></c><c r="D37" s="13"><f>IFERROR(IF(COUNTA(T13:T15)&lt;2,"Need≥2",RSQ(LN(IF(ISNUMBER(T13:T15),T13:T15,1)),LN(IF(ISNUMBER(B7:B9),B7:B9,1)))),"N/A")</f><v /></c><c r="E37" s="15"><f>IFERROR(IF(COUNTA(BY13:BY15)&lt;2,"Need≥2",EXP(INTERCEPT(LN(IF(ISNUMBER(BY13:BY15),BY13:BY15,1)),LN(IF(ISNUMBER(BG7:BG9),BG7:BG9,1))))),"N/A")</f><v /></c><c r="F37" s="15"><f>IFERROR(IF(COUNTA(BY13:BY15)&lt;2,"Need≥2",SLOPE(LN(IF(ISNUMBER(BY13:BY15),BY13:BY15,1)),LN(IF(ISNUMBER(BG7:BG9),BG7:BG9,1)))),"N/A")</f><v /></c><c r="G37" s="13"><f>IFERROR(IF(COUNTA(BY13:BY15)&lt;2,"Need≥2",RSQ(LN(IF(ISNUMBER(BY13:BY15),BY13:BY15,1)),LN(IF(ISNUMBER(BG7:BG9),BG7:BG9,1)))),"N/A")</f><v /></c></row><row r="38" ht="15" customHeight="1"><c r="A38" s="11" t="inlineStr"><is><t>Er</t></is></c><c r="B38" s="15"><f>IFERROR(IF(COUNTA(U13:U15)&lt;2,"Need≥2",EXP(INTERCEPT(LN(IF(ISNUMBER(U13:U15),U13:U15,1)),LN(IF(ISNUMBER(B7:B9),B7:B9,1))))),"N/A")</f><v /></c><c r="C38" s="15"><f>IFERROR(IF(COUNTA(U13:U15)&lt;2,"Need≥2",SLOPE(LN(IF(ISNUMBER(U13:U15),U13:U15,1)),LN(IF(ISNUMBER(B7:B9),B7:B9,1)))),"N/A")</f><v /></c><c r="D38" s="13"><f>IFERROR(IF(COUNTA(U13:U15)&lt;2,"Need≥2",RSQ(LN(IF(ISNUMBER(U13:U15),U13:U15,1)),LN(IF(ISNUMBER(B7:B9),B7:B9,1)))),"N/A")</f><v /></c><c r="E38" s="15"><f>IFERROR(IF(COUNTA(BZ13:BZ15)&lt;2,"Need≥2",EXP(INTERCEPT(LN(IF(ISNUMBER(BZ13:BZ15),BZ13:BZ15,1)),LN(IF(ISNUMBER(BG7:BG9),BG7:BG9,1))))),"N/A")</f><v /></c><c r="F38" s="15"><f>IFERROR(IF(COUNTA(BZ13:BZ15)&lt;2,"Need≥2",SLOPE(LN(IF(ISNUMBER(BZ13:BZ15),BZ13:BZ15,1)),LN(IF(ISNUMBER(BG7:BG9),BG7:BG9,1)))),"N/A")</f><v /></c><c r="G38" s="13"><f>IFERROR(IF(COUNTA(BZ13:BZ15)&lt;2,"Need≥2",RSQ(LN(IF(ISNUMBER(BZ13:BZ15),BZ13:BZ15,1)),LN(IF(ISNUMBER(BG7:BG9),BG7:BG9,1)))),"N/A")</f><v /></c></row><row r="39" ht="15" customHeight="1"><c r="A39" s="11" t="inlineStr"><is><t>Tm</t></is></c><c r="B39" s="15"><f>IFERROR(IF(COUNTA(V13:V15)&lt;2,"Need≥2",EXP(INTERCEPT(LN(IF(ISNUMBER(V13:V15),V13:V15,1)),LN(IF(ISNUMBER(B7:B9),B7:B9,1))))),"N/A")</f><v /></c><c r="C39" s="15"><f>IFERROR(IF(COUNTA(V13:V15)&lt;2,"Need≥2",SLOPE(LN(IF(ISNUMBER(V13:V15),V13:V15,1)),LN(IF(ISNUMBER(B7:B9),B7:B9,1)))),"N/A")</f><v /></c><c r="D39" s="13"><f>IFERROR(IF(COUNTA(V13:V15)&lt;2,"Need≥2",RSQ(LN(IF(ISNUMBER(V13:V15),V13:V15,1)),LN(IF(ISNUMBER(B7:B9),B7:B9,1)))),"N/A")</f><v /></c><c r="E39" s="15"><f>IFERROR(IF(COUNTA(CA13:CA15)&lt;2,"Need≥2",EXP(INTERCEPT(LN(IF(ISNUMBER(CA13:CA15),CA13:CA15,1)),LN(IF(ISNUMBER(BG7:BG9),BG7:BG9,1))))),"N/A")</f><v /></c><c r="F39" s="15"><f>IFERROR(IF(COUNTA(CA13:CA15)&lt;2,"Need≥2",SLOPE(LN(IF(ISNUMBER(CA13:CA15),CA13:CA15,1)),LN(IF(ISNUMBER(BG7:BG9),BG7:BG9,1)))),"N/A")</f><v /></c><c r="G39" s="13"><f>IFERROR(IF(COUNTA(CA13:CA15)&lt;2,"Need≥2",RSQ(LN(IF(ISNUMBER(CA13:CA15),CA13:CA15,1)),LN(IF(ISNUMBER(BG7:BG9),BG7:BG9,1)))),"N/A")</f><v /></c></row><row r="40" ht="15" customHeight="1"><c r="A40" s="11" t="inlineStr"><is><t>Yb</t></is></c><c r="B40" s="15"><f>IFERROR(IF(COUNTA(W13:W15)&lt;2,"Need≥2",EXP(INTERCEPT(LN(IF(ISNUMBER(W13:W15),W13:W15,1)),LN(IF(ISNUMBER(B7:B9),B7:B9,1))))),"N/A")</f><v /></c><c r="C40" s="15"><f>IFERROR(IF(COUNTA(W13:W15)&lt;2,"Need≥2",SLOPE(LN(IF(ISNUMBER(W13:W15),W13:W15,1)),LN(IF(ISNUMBER(B7:B9),B7:B9,1)))),"N/A")</f><v /></c><c r="D40" s="13"><f>IFERROR(IF(COUNTA(W13:W15)&lt;2,"Need≥2",RSQ(LN(IF(ISNUMBER(W13:W15),W13:W15,1)),LN(IF(ISNUMBER(B7:B9),B7:B9,1)))),"N/A")</f><v /></c><c r="E40" s="15"><f>IFERROR(IF(COUNTA(CB13:CB15)&lt;2,"Need≥2",EXP(INTERCEPT(LN(IF(ISNUMBER(CB13:CB15),CB13:CB15,1)),LN(IF(ISNUMBER(BG7:BG9),BG7:BG9,1))))),"N/A")</f><v /></c><c r="F40" s="15"><f>IFERROR(IF(COUNTA(CB13:CB15)&lt;2,"Need≥2",SLOPE(LN(IF(ISNUMBER(CB13:CB15),CB13:CB15,1)),LN(IF(ISNUMBER(BG7:BG9),BG7:BG9,1)))),"N/A")</f><v /></c><c r="G40" s="13"><f>IFERROR(IF(COUNTA(CB13:CB15)&lt;2,"Need≥2",RSQ(LN(IF(ISNUMBER(CB13:CB15),CB13:CB15,1)),LN(IF(ISNUMBER(BG7:BG9),BG7:BG9,1)))),"N/A")</f><v /></c></row><row r="41" ht="15" customHeight="1"><c r="A41" s="11" t="inlineStr"><is><t>Lu</t></is></c><c r="B41" s="15"><f>IFERROR(IF(COUNTA(X13:X15)&lt;2,"Need≥2",EXP(INTERCEPT(LN(IF(ISNUMBER(X13:X15),X13:X15,1)),LN(IF(ISNUMBER(B7:B9),B7:B9,1))))),"N/A")</f><v /></c><c r="C41" s="15"><f>IFERROR(IF(COUNTA(X13:X15)&lt;2,"Need≥2",SLOPE(LN(IF(ISNUMBER(X13:X15),X13:X15,1)),LN(IF(ISNUMBER(B7:B9),B7:B9,1)))),"N/A")</f><v /></c><c r="D41" s="13"><f>IFERROR(IF(COUNTA(X13:X15)&lt;2,"Need≥2",RSQ(LN(IF(ISNUMBER(X13:X15),X13:X15,1)),LN(IF(ISNUMBER(B7:B9),B7:B9,1)))),"N/A")</f><v /></c><c r="E41" s="15"><f>IFERROR(IF(COUNTA(CC13:CC15)&lt;2,"Need≥2",EXP(INTERCEPT(LN(IF(ISNUMBER(CC13:CC15),CC13:CC15,1)),LN(IF(ISNUMBER(BG7:BG9),BG7:BG9,1))))),"N/A")</f><v /></c><c r="F41" s="15"><f>IFERROR(IF(COUNTA(CC13:CC15)&lt;2,"Need≥2",SLOPE(LN(IF(ISNUMBER(CC13:CC15),CC13:CC15,1)),LN(IF(ISNUMBER(BG7:BG9),BG7:BG9,1)))),"N/A")</f><v /></c><c r="G41" s="13"><f>IFERROR(IF(COUNTA(CC13:CC15)&lt;2,"Need≥2",RSQ(LN(IF(ISNUMBER(CC13:CC15),CC13:CC15,1)),LN(IF(ISNUMBER(BG7:BG9),BG7:BG9,1)))),"N/A")</f><v /></c></row><row r="42" ht="15" customHeight="1"><c r="A42" s="11" t="inlineStr"><is><t>Hf</t></is></c><c r="B42" s="15"><f>IFERROR(IF(COUNTA(Y13:Y15)&lt;2,"Need≥2",EXP(INTERCEPT(LN(IF(ISNUMBER(Y13:Y15),Y13:Y15,1)),LN(IF(ISNUMBER(B7:B9),B7:B9,1))))),"N/A")</f><v /></c><c r="C42" s="15"><f>IFERROR(IF(COUNTA(Y13:Y15)&lt;2,"Need≥2",SLOPE(LN(IF(ISNUMBER(Y13:Y15),Y13:Y15,1)),LN(IF(ISNUMBER(B7:B9),B7:B9,1)))),"N/A")</f><v /></c><c r="D42" s="13"><f>IFERROR(IF(COUNTA(Y13:Y15)&lt;2,"Need≥2",RSQ(LN(IF(ISNUMBER(Y13:Y15),Y13:Y15,1)),LN(IF(ISNUMBER(B7:B9),B7:B9,1)))),"N/A")</f><v /></c><c r="E42" s="15"><f>IFERROR(IF(COUNTA(CD13:CD15)&lt;2,"Need≥2",EXP(INTERCEPT(LN(IF(ISNUMBER(CD13:CD15),CD13:CD15,1)),LN(IF(ISNUMBER(BG7:BG9),BG7:BG9,1))))),"N/A")</f><v /></c><c r="F42" s="15"><f>IFERROR(IF(COUNTA(CD13:CD15)&lt;2,"Need≥2",SLOPE(LN(IF(ISNUMBER(CD13:CD15),CD13:CD15,1)),LN(IF(ISNUMBER(BG7:BG9),BG7:BG9,1)))),"N/A")</f><v /></c><c r="G42" s="13"><f>IFERROR(IF(COUNTA(CD13:CD15)&lt;2,"Need≥2",RSQ(LN(IF(ISNUMBER(CD13:CD15),CD13:CD15,1)),LN(IF(ISNUMBER(BG7:BG9),BG7:BG9,1)))),"N/A")</f><v /></c></row><row r="43" ht="15" customHeight="1"><c r="A43" s="11" t="inlineStr"><is><t>Th</t></is></c><c r="B43" s="15"><f>IFERROR(IF(COUNTA(Z13:Z15)&lt;2,"Need≥2",EXP(INTERCEPT(LN(IF(ISNUMBER(Z13:Z15),Z13:Z15,1)),LN(IF(ISNUMBER(B7:B9),B7:B9,1))))),"N/A")</f><v /></c><c r="C43" s="15"><f>IFERROR(IF(COUNTA(Z13:Z15)&lt;2,"Need≥2",SLOPE(LN(IF(ISNUMBER(Z13:Z15),Z13:Z15,1)),LN(IF(ISNUMBER(B7:B9),B7:B9,1)))),"N/A")</f><v /></c><c r="D43" s="13"><f>IFERROR(IF(COUNTA(Z13:Z15)&lt;2,"Need≥2",RSQ(LN(IF(ISNUMBER(Z13:Z15),Z13:Z15,1)),LN(IF(ISNUMBER(B7:B9),B7:B9,1)))),"N/A")</f><v /></c><c r="E43" s="15"><f>IFERROR(IF(COUNTA(CE13:CE15)&lt;2,"Need≥2",EXP(INTERCEPT(LN(IF(ISNUMBER(CE13:CE15),CE13:CE15,1)),LN(IF(ISNUMBER(BG7:BG9),BG7:BG9,1))))),"N/A")</f><v /></c><c r="F43" s="15"><f>IFERROR(IF(COUNTA(CE13:CE15)&lt;2,"Need≥2",SLOPE(LN(IF(ISNUMBER(CE13:CE15),CE13:CE15,1)),LN(IF(ISNUMBER(BG7:BG9),BG7:BG9,1)))),"N/A")</f><v /></c><c r="G43" s="13"><f>IFERROR(IF(COUNTA(CE13:CE15)&lt;2,"Need≥2",RSQ(LN(IF(ISNUMBER(CE13:CE15),CE13:CE15,1)),LN(IF(ISNUMBER(BG7:BG9),BG7:BG9,1)))),"N/A")</f><v /></c></row><row r="44" ht="15" customHeight="1"><c r="A44" s="11" t="inlineStr"><is><t>U</t></is></c><c r="B44" s="15"><f>IFERROR(IF(COUNTA(AA13:AA15)&lt;2,"Need≥2",EXP(INTERCEPT(LN(IF(ISNUMBER(AA13:AA15),AA13:AA15,1)),LN(IF(ISNUMBER(B7:B9),B7:B9,1))))),"N/A")</f><v /></c><c r="C44" s="15"><f>IFERROR(IF(COUNTA(AA13:AA15)&lt;2,"Need≥2",SLOPE(LN(IF(ISNUMBER(AA13:AA15),AA13:AA15,1)),LN(IF(ISNUMBER(B7:B9),B7:B9,1)))),"N/A")</f><v /></c><c r="D44" s="13"><f>IFERROR(IF(COUNTA(AA13:AA15)&lt;2,"Need≥2",RSQ(LN(IF(ISNUMBER(AA13:AA15),AA13:AA15,1)),LN(IF(ISNUMBER(B7:B9),B7:B9,1)))),"N/A")</f><v /></c><c r="E44" s="15"><f>IFERROR(IF(COUNTA(CF13:CF15)&lt;2,"Need≥2",EXP(INTERCEPT(LN(IF(ISNUMBER(CF13:CF15),CF13:CF15,1)),LN(IF(ISNUMBER(BG7:BG9),BG7:BG9,1))))),"N/A")</f><v /></c><c r="F44" s="15"><f>IFERROR(IF(COUNTA(CF13:CF15)&lt;2,"Need≥2",SLOPE(LN(IF(ISNUMBER(CF13:CF15),CF13:CF15,1)),LN(IF(ISNUMBER(BG7:BG9),BG7:BG9,1)))),"N/A")</f><v /></c><c r="G44" s="13"><f>IFERROR(IF(COUNTA(CF13:CF15)&lt;2,"Need≥2",RSQ(LN(IF(ISNUMBER(CF13:CF15),CF13:CF15,1)),LN(IF(ISNUMBER(BG7:BG9),BG7:BG9,1)))),"N/A")</f><v /></c></row><row r="47" ht="20" customHeight="1"><c r="A47" s="16" t="inlineStr"><is><t>TDMA SOLVER — INPUT PANELS</t></is></c></row><row r="48"><c r="A48" s="17" t="inlineStr"><is><t>PANEL A — General Inputs</t></is></c><c r="D48" s="17" t="inlineStr"><is><t>PANEL B — Distribution Coefficients (live-linked from Regression)</t></is></c><c r="J48" s="17" t="inlineStr"><is><t>PANEL C — Feed Conc. (g/L)</t></is></c><c r="N48" s="17" t="inlineStr"><is><t>PANEL D — Results Summary</t></is></c><c r="Q48" s="17" t="inlineStr"><is><t>PANEL E — O/A Ratio Tracker</t></is></c></row><row r="49" ht="15" customHeight="1"><c r="A49" s="18" t="inlineStr"><is><t>n_ext (extraction stages)</t></is></c><c r="B49" s="12" t="n"><v>3</v></c><c r="D49" s="10" t="inlineStr"><is><t>Element</t></is></c><c r="E49" s="10" t="inlineStr"><is><t>P_load</t></is></c><c r="F49" s="10" t="inlineStr"><is><t>Q_load</t></is></c><c r="G49" s="10" t="inlineStr"><is><t>P_strip</t></is></c><c r="H49" s="10" t="inlineStr"><is><t>Q_strip</t></is></c><c r="I49" s="10" t="inlineStr"><is><t>Note</t></is></c><c r="J49" s="10" t="inlineStr"><is><t>Element</t></is></c><c r="K49" s="10" t="inlineStr"><is><t>X_feed (g/L)</t></is></c><c r="L49" s="10" t="inlineStr"><is><t>MW (g/mol)</t></is></c><c r="N49" s="10" t="inlineStr"><is><t>Metric</t></is></c><c r="O49" s="10" t="inlineStr"><is><t>Value (g/L)</t></is></c><c r="Q49" s="10" t="inlineStr"><is><t>Section</t></is></c><c r="R49" s="10" t="inlineStr"><is><t>O/A</t></is></c><c r="S49" s="10" t="inlineStr"><is><t>Note</t></is></c></row><row r="50" ht="15" customHeight="1"><c r="A50" s="18" t="inlineStr"><is><t>n_scr (scrub stages)</t></is></c><c r="B50" s="12" t="n"><v>0</v></c><c r="D50" s="11" t="inlineStr"><is><t>Al</t></is></c><c r="E50" s="15"><f>IFERROR(IF(ISNUMBER($B$19),$B$19,1.0),1.0)</f><v /></c><c r="F50" s="15"><f>IFERROR(IF(ISNUMBER($C$19),$C$19,-1.0),-1.0)</f><v /></c><c r="G50" s="15"><f>IFERROR(IF(ISNUMBER($E$19),$E$19,1.0),1.0)</f><v /></c><c r="H50" s="15"><f>IFERROR(IF(ISNUMBER($F$19),$F$19,-1.2),-1.2)</f><v /></c><c r="I50" s="19" t="inlineStr"><is><t>→ regression</t></is></c><c r="J50" s="11" t="inlineStr"><is><t>Al</t></is></c><c r="K50" s="12" t="n"><v>0.1</v></c><c r="L50" s="13" t="n"><v>26.98</v></c><c r="N50" s="18" t="inlineStr"><is><t>Raffinate Al</t></is></c><c r="O50" s="15"><f>HB134</f><v /></c><c r="Q50" s="11" t="inlineStr"><is><t>Extraction</t></is></c><c r="R50" s="15"><f>$B$57/$B$55</f><v /></c><c r="S50" s="13" t="inlineStr"><is><t>O/F</t></is></c></row><row r="51" ht="15" customHeight="1"><c r="A51" s="18" t="inlineStr"><is><t>n_str (strip stages)</t></is></c><c r="B51" s="12" t="n"><v>2</v></c><c r="D51" s="11" t="inlineStr"><is><t>Sc</t></is></c><c r="E51" s="15"><f>IFERROR(IF(ISNUMBER($B$20),$B$20,1.0),1.0)</f><v /></c><c r="F51" s="15"><f>IFERROR(IF(ISNUMBER($C$20),$C$20,-1.0),-1.0)</f><v /></c><c r="G51" s="15"><f>IFERROR(IF(ISNUMBER($E$20),$E$20,1.0),1.0)</f><v /></c><c r="H51" s="15"><f>IFERROR(IF(ISNUMBER($F$20),$F$20,-1.2),-1.2)</f><v /></c><c r="I51" s="19" t="inlineStr"><is><t>→ regression</t></is></c><c r="J51" s="11" t="inlineStr"><is><t>Sc</t></is></c><c r="K51" s="12" t="n"><v>0.1</v></c><c r="L51" s="13" t="n"><v>44.96</v></c><c r="N51" s="18" t="inlineStr"><is><t>Loaded Org Al</t></is></c><c r="O51" s="15"><f>IFERROR(INDEX(I134:I158,$B$49),0)</f><v /></c><c r="Q51" s="11" t="inlineStr"><is><t>Scrub</t></is></c><c r="R51" s="15"><f>$B$57/MAX($B$56*$B$58,0.0001)</f><v /></c><c r="S51" s="13" t="inlineStr"><is><t>O/(S·R)</t></is></c></row><row r="52" ht="15" customHeight="1"><c r="A52" s="18" t="inlineStr"><is><t>[H₂SO₄] Extraction (N)</t></is></c><c r="B52" s="12" t="n"><v>0.5</v></c><c r="D52" s="11" t="inlineStr"><is><t>Fe</t></is></c><c r="E52" s="15"><f>IFERROR(IF(ISNUMBER($B$21),$B$21,1.0),1.0)</f><v /></c><c r="F52" s="15"><f>IFERROR(IF(ISNUMBER($C$21),$C$21,-1.0),-1.0)</f><v /></c><c r="G52" s="15"><f>IFERROR(IF(ISNUMBER($E$21),$E$21,1.0),1.0)</f><v /></c><c r="H52" s="15"><f>IFERROR(IF(ISNUMBER($F$21),$F$21,-1.2),-1.2)</f><v /></c><c r="I52" s="19" t="inlineStr"><is><t>→ regression</t></is></c><c r="J52" s="11" t="inlineStr"><is><t>Fe</t></is></c><c r="K52" s="12" t="n"><v>0.1</v></c><c r="L52" s="13" t="n"><v>55.85</v></c><c r="N52" s="18" t="inlineStr"><is><t>Pregnant Al</t></is></c><c r="O52" s="15"><f>IFERROR(INDEX(HB134:HB158,$B$49+$B$50+$B$51),0)</f><v /></c><c r="Q52" s="11" t="inlineStr"><is><t>Strip</t></is></c><c r="R52" s="15"><f>$B$57/$B$56</f><v /></c><c r="S52" s="13" t="inlineStr"><is><t>O/S</t></is></c></row><row r="53" ht="15" customHeight="1"><c r="A53" s="18" t="inlineStr"><is><t>[H₂SO₄] Scrub (N)</t></is></c><c r="B53" s="12" t="n"><v>1</v></c><c r="D53" s="11" t="inlineStr"><is><t>Co</t></is></c><c r="E53" s="15"><f>IFERROR(IF(ISNUMBER($B$22),$B$22,1.0),1.0)</f><v /></c><c r="F53" s="15"><f>IFERROR(IF(ISNUMBER($C$22),$C$22,-1.0),-1.0)</f><v /></c><c r="G53" s="15"><f>IFERROR(IF(ISNUMBER($E$22),$E$22,1.0),1.0)</f><v /></c><c r="H53" s="15"><f>IFERROR(IF(ISNUMBER($F$22),$F$22,-1.2),-1.2)</f><v /></c><c r="I53" s="19" t="inlineStr"><is><t>→ regression</t></is></c><c r="J53" s="11" t="inlineStr"><is><t>Co</t></is></c><c r="K53" s="12" t="n"><v>0.1</v></c><c r="L53" s="13" t="n"><v>58.93</v></c><c r="N53" s="18" t="inlineStr"><is><t>Raffinate Sc</t></is></c><c r="O53" s="15"><f>HC134</f><v /></c></row><row r="54" ht="15" customHeight="1"><c r="A54" s="18" t="inlineStr"><is><t>[HNO₃] Strip (N)</t></is></c><c r="B54" s="12" t="n"><v>4</v></c><c r="D54" s="11" t="inlineStr"><is><t>Zn</t></is></c><c r="E54" s="15"><f>IFERROR(IF(ISNUMBER($B$23),$B$23,1.0),1.0)</f><v /></c><c r="F54" s="15"><f>IFERROR(IF(ISNUMBER($C$23),$C$23,-1.0),-1.0)</f><v /></c><c r="G54" s="15"><f>IFERROR(IF(ISNUMBER($E$23),$E$23,1.0),1.0)</f><v /></c><c r="H54" s="15"><f>IFERROR(IF(ISNUMBER($F$23),$F$23,-1.2),-1.2)</f><v /></c><c r="I54" s="19" t="inlineStr"><is><t>→ regression</t></is></c><c r="J54" s="11" t="inlineStr"><is><t>Zn</t></is></c><c r="K54" s="12" t="n"><v>0.1</v></c><c r="L54" s="13" t="n"><v>65.38</v></c><c r="N54" s="18" t="inlineStr"><is><t>Loaded Org Sc</t></is></c><c r="O54" s="15"><f>IFERROR(INDEX(Q134:Q158,$B$49),0)</f><v /></c></row><row r="55" ht="15" customHeight="1"><c r="A55" s="18" t="inlineStr"><is><t>F — Feed flow aq (L/min)</t></is></c><c r="B55" s="12" t="n"><v>1</v></c><c r="D55" s="11" t="inlineStr"><is><t>Ga</t></is></c><c r="E55" s="15"><f>IFERROR(IF(ISNUMBER($B$24),$B$24,1.0),1.0)</f><v /></c><c r="F55" s="15"><f>IFERROR(IF(ISNUMBER($C$24),$C$24,-1.0),-1.0)</f><v /></c><c r="G55" s="15"><f>IFERROR(IF(ISNUMBER($E$24),$E$24,1.0),1.0)</f><v /></c><c r="H55" s="15"><f>IFERROR(IF(ISNUMBER($F$24),$F$24,-1.2),-1.2)</f><v /></c><c r="I55" s="19" t="inlineStr"><is><t>→ regression</t></is></c><c r="J55" s="11" t="inlineStr"><is><t>Ga</t></is></c><c r="K55" s="12" t="n"><v>0.1</v></c><c r="L55" s="13" t="n"><v>69.72</v></c><c r="N55" s="18" t="inlineStr"><is><t>Pregnant Sc</t></is></c><c r="O55" s="15"><f>IFERROR(INDEX(HC134:HC158,$B$49+$B$50+$B$51),0)</f><v /></c></row><row r="56" ht="15" customHeight="1"><c r="A56" s="18" t="inlineStr"><is><t>S — Strip flow aq (L/min)</t></is></c><c r="B56" s="12" t="n"><v>1</v></c><c r="D56" s="11" t="inlineStr"><is><t>Rb</t></is></c><c r="E56" s="15"><f>IFERROR(IF(ISNUMBER($B$25),$B$25,1.0),1.0)</f><v /></c><c r="F56" s="15"><f>IFERROR(IF(ISNUMBER($C$25),$C$25,-1.0),-1.0)</f><v /></c><c r="G56" s="15"><f>IFERROR(IF(ISNUMBER($E$25),$E$25,1.0),1.0)</f><v /></c><c r="H56" s="15"><f>IFERROR(IF(ISNUMBER($F$25),$F$25,-1.2),-1.2)</f><v /></c><c r="I56" s="19" t="inlineStr"><is><t>→ regression</t></is></c><c r="J56" s="11" t="inlineStr"><is><t>Rb</t></is></c><c r="K56" s="12" t="n"><v>0.1</v></c><c r="L56" s="13" t="n"><v>85.47</v></c><c r="N56" s="18" t="inlineStr"><is><t>Raffinate Fe</t></is></c><c r="O56" s="15"><f>HD134</f><v /></c></row><row r="57" ht="15" customHeight="1"><c r="A57" s="18" t="inlineStr"><is><t>O — Org flow (L/min)</t></is></c><c r="B57" s="12" t="n"><v>1</v></c><c r="D57" s="11" t="inlineStr"><is><t>Y</t></is></c><c r="E57" s="15"><f>IFERROR(IF(ISNUMBER($B$26),$B$26,1.0),1.0)</f><v /></c><c r="F57" s="15"><f>IFERROR(IF(ISNUMBER($C$26),$C$26,-1.0),-1.0)</f><v /></c><c r="G57" s="15"><f>IFERROR(IF(ISNUMBER($E$26),$E$26,1.0),1.0)</f><v /></c><c r="H57" s="15"><f>IFERROR(IF(ISNUMBER($F$26),$F$26,-1.2),-1.2)</f><v /></c><c r="I57" s="19" t="inlineStr"><is><t>→ regression</t></is></c><c r="J57" s="11" t="inlineStr"><is><t>Y</t></is></c><c r="K57" s="12" t="n"><v>0.2</v></c><c r="L57" s="13" t="n"><v>88.91</v></c><c r="N57" s="18" t="inlineStr"><is><t>Loaded Org Fe</t></is></c><c r="O57" s="15"><f>IFERROR(INDEX(Y134:Y158,$B$49),0)</f><v /></c></row><row r="58" ht="15" customHeight="1"><c r="A58" s="18" t="inlineStr"><is><t>R — Recycle ratio</t></is></c><c r="B58" s="12" t="n"><v>0</v></c><c r="D58" s="11" t="inlineStr"><is><t>Zr</t></is></c><c r="E58" s="15"><f>IFERROR(IF(ISNUMBER($B$27),$B$27,1.0),1.0)</f><v /></c><c r="F58" s="15"><f>IFERROR(IF(ISNUMBER($C$27),$C$27,-1.0),-1.0)</f><v /></c><c r="G58" s="15"><f>IFERROR(IF(ISNUMBER($E$27),$E$27,1.0),1.0)</f><v /></c><c r="H58" s="15"><f>IFERROR(IF(ISNUMBER($F$27),$F$27,-1.2),-1.2)</f><v /></c><c r="I58" s="19" t="inlineStr"><is><t>→ regression</t></is></c><c r="J58" s="11" t="inlineStr"><is><t>Zr</t></is></c><c r="K58" s="12" t="n"><v>1</v></c><c r="L58" s="13" t="n"><v>91.22</v></c><c r="N58" s="18" t="inlineStr"><is><t>Pregnant Fe</t></is></c><c r="O58" s="15"><f>IFERROR(INDEX(HD134:HD158,$B$49+$B$50+$B$51),0)</f><v /></c></row><row r="59" ht="15" customHeight="1"><c r="D59" s="11" t="inlineStr"><is><t>La</t></is></c><c r="E59" s="15"><f>IFERROR(IF(ISNUMBER($B$28),$B$28,1.0),1.0)</f><v /></c><c r="F59" s="15"><f>IFERROR(IF(ISNUMBER($C$28),$C$28,-1.0),-1.0)</f><v /></c><c r="G59" s="15"><f>IFERROR(IF(ISNUMBER($E$28),$E$28,1.0),1.0)</f><v /></c><c r="H59" s="15"><f>IFERROR(IF(ISNUMBER($F$28),$F$28,-1.2),-1.2)</f><v /></c><c r="I59" s="19" t="inlineStr"><is><t>→ regression</t></is></c><c r="J59" s="11" t="inlineStr"><is><t>La</t></is></c><c r="K59" s="12" t="n"><v>0.5</v></c><c r="L59" s="13" t="n"><v>138.91</v></c><c r="N59" s="18" t="inlineStr"><is><t>Raffinate Co</t></is></c><c r="O59" s="15"><f>HE134</f><v /></c></row><row r="60" ht="15" customHeight="1"><c r="D60" s="11" t="inlineStr"><is><t>Ce</t></is></c><c r="E60" s="15"><f>IFERROR(IF(ISNUMBER($B$29),$B$29,1.0),1.0)</f><v /></c><c r="F60" s="15"><f>IFERROR(IF(ISNUMBER($C$29),$C$29,-1.0),-1.0)</f><v /></c><c r="G60" s="15"><f>IFERROR(IF(ISNUMBER($E$29),$E$29,1.0),1.0)</f><v /></c><c r="H60" s="15"><f>IFERROR(IF(ISNUMBER($F$29),$F$29,-1.2),-1.2)</f><v /></c><c r="I60" s="19" t="inlineStr"><is><t>→ regression</t></is></c><c r="J60" s="11" t="inlineStr"><is><t>Ce</t></is></c><c r="K60" s="12" t="n"><v>0.5</v></c><c r="L60" s="13" t="n"><v>140.12</v></c><c r="N60" s="18" t="inlineStr"><is><t>Loaded Org Co</t></is></c><c r="O60" s="15"><f>IFERROR(INDEX(AG134:AG158,$B$49),0)</f><v /></c></row><row r="61" ht="15" customHeight="1"><c r="D61" s="11" t="inlineStr"><is><t>Pr</t></is></c><c r="E61" s="15"><f>IFERROR(IF(ISNUMBER($B$30),$B$30,1.0),1.0)</f><v /></c><c r="F61" s="15"><f>IFERROR(IF(ISNUMBER($C$30),$C$30,-1.0),-1.0)</f><v /></c><c r="G61" s="15"><f>IFERROR(IF(ISNUMBER($E$30),$E$30,1.0),1.0)</f><v /></c><c r="H61" s="15"><f>IFERROR(IF(ISNUMBER($F$30),$F$30,-1.2),-1.2)</f><v /></c><c r="I61" s="19" t="inlineStr"><is><t>→ regression</t></is></c><c r="J61" s="11" t="inlineStr"><is><t>Pr</t></is></c><c r="K61" s="12" t="n"><v>0.1</v></c><c r="L61" s="13" t="n"><v>140.91</v></c><c r="N61" s="18" t="inlineStr"><is><t>Pregnant Co</t></is></c><c r="O61" s="15"><f>IFERROR(INDEX(HE134:HE158,$B$49+$B$50+$B$51),0)</f><v /></c></row><row r="62" ht="15" customHeight="1"><c r="D62" s="11" t="inlineStr"><is><t>Nd</t></is></c><c r="E62" s="15"><f>IFERROR(IF(ISNUMBER($B$31),$B$31,1.0),1.0)</f><v /></c><c r="F62" s="15"><f>IFERROR(IF(ISNUMBER($C$31),$C$31,-1.0),-1.0)</f><v /></c><c r="G62" s="15"><f>IFERROR(IF(ISNUMBER($E$31),$E$31,1.0),1.0)</f><v /></c><c r="H62" s="15"><f>IFERROR(IF(ISNUMBER($F$31),$F$31,-1.2),-1.2)</f><v /></c><c r="I62" s="19" t="inlineStr"><is><t>→ regression</t></is></c><c r="J62" s="11" t="inlineStr"><is><t>Nd</t></is></c><c r="K62" s="12" t="n"><v>0.3</v></c><c r="L62" s="13" t="n"><v>144.24</v></c><c r="N62" s="18" t="inlineStr"><is><t>Raffinate Zn</t></is></c><c r="O62" s="15"><f>HF134</f><v /></c></row><row r="63" ht="15" customHeight="1"><c r="D63" s="11" t="inlineStr"><is><t>Sm</t></is></c><c r="E63" s="15"><f>IFERROR(IF(ISNUMBER($B$32),$B$32,1.0),1.0)</f><v /></c><c r="F63" s="15"><f>IFERROR(IF(ISNUMBER($C$32),$C$32,-1.0),-1.0)</f><v /></c><c r="G63" s="15"><f>IFERROR(IF(ISNUMBER($E$32),$E$32,1.0),1.0)</f><v /></c><c r="H63" s="15"><f>IFERROR(IF(ISNUMBER($F$32),$F$32,-1.2),-1.2)</f><v /></c><c r="I63" s="19" t="inlineStr"><is><t>→ regression</t></is></c><c r="J63" s="11" t="inlineStr"><is><t>Sm</t></is></c><c r="K63" s="12" t="n"><v>0.1</v></c><c r="L63" s="13" t="n"><v>150.36</v></c><c r="N63" s="18" t="inlineStr"><is><t>Loaded Org Zn</t></is></c><c r="O63" s="15"><f>IFERROR(INDEX(AO134:AO158,$B$49),0)</f><v /></c></row><row r="64" ht="15" customHeight="1"><c r="D64" s="11" t="inlineStr"><is><t>Eu</t></is></c><c r="E64" s="15"><f>IFERROR(IF(ISNUMBER($B$33),$B$33,1.0),1.0)</f><v /></c><c r="F64" s="15"><f>IFERROR(IF(ISNUMBER($C$33),$C$33,-1.0),-1.0)</f><v /></c><c r="G64" s="15"><f>IFERROR(IF(ISNUMBER($E$33),$E$33,1.0),1.0)</f><v /></c><c r="H64" s="15"><f>IFERROR(IF(ISNUMBER($F$33),$F$33,-1.2),-1.2)</f><v /></c><c r="I64" s="19" t="inlineStr"><is><t>→ regression</t></is></c><c r="J64" s="11" t="inlineStr"><is><t>Eu</t></is></c><c r="K64" s="12" t="n"><v>0.1</v></c><c r="L64" s="13" t="n"><v>151.96</v></c><c r="N64" s="18" t="inlineStr"><is><t>Pregnant Zn</t></is></c><c r="O64" s="15"><f>IFERROR(INDEX(HF134:HF158,$B$49+$B$50+$B$51),0)</f><v /></c></row><row r="65" ht="15" customHeight="1"><c r="D65" s="11" t="inlineStr"><is><t>Gd</t></is></c><c r="E65" s="15"><f>IFERROR(IF(ISNUMBER($B$34),$B$34,1.0),1.0)</f><v /></c><c r="F65" s="15"><f>IFERROR(IF(ISNUMBER($C$34),$C$34,-1.0),-1.0)</f><v /></c><c r="G65" s="15"><f>IFERROR(IF(ISNUMBER($E$34),$E$34,1.0),1.0)</f><v /></c><c r="H65" s="15"><f>IFERROR(IF(ISNUMBER($F$34),$F$34,-1.2),-1.2)</f><v /></c><c r="I65" s="19" t="inlineStr"><is><t>→ regression</t></is></c><c r="J65" s="11" t="inlineStr"><is><t>Gd</t></is></c><c r="K65" s="12" t="n"><v>0.1</v></c><c r="L65" s="13" t="n"><v>157.25</v></c><c r="N65" s="18" t="inlineStr"><is><t>Raffinate Ga</t></is></c><c r="O65" s="15"><f>HG134</f><v /></c></row><row r="66" ht="15" customHeight="1"><c r="D66" s="11" t="inlineStr"><is><t>Tb</t></is></c><c r="E66" s="15"><f>IFERROR(IF(ISNUMBER($B$35),$B$35,1.0),1.0)</f><v /></c><c r="F66" s="15"><f>IFERROR(IF(ISNUMBER($C$35),$C$35,-1.0),-1.0)</f><v /></c><c r="G66" s="15"><f>IFERROR(IF(ISNUMBER($E$35),$E$35,1.0),1.0)</f><v /></c><c r="H66" s="15"><f>IFERROR(IF(ISNUMBER($F$35),$F$35,-1.2),-1.2)</f><v /></c><c r="I66" s="19" t="inlineStr"><is><t>→ regression</t></is></c><c r="J66" s="11" t="inlineStr"><is><t>Tb</t></is></c><c r="K66" s="12" t="n"><v>0.1</v></c><c r="L66" s="13" t="n"><v>158.93</v></c><c r="N66" s="18" t="inlineStr"><is><t>Loaded Org Ga</t></is></c><c r="O66" s="15"><f>IFERROR(INDEX(AW134:AW158,$B$49),0)</f><v /></c></row><row r="67" ht="15" customHeight="1"><c r="D67" s="11" t="inlineStr"><is><t>Dy</t></is></c><c r="E67" s="15"><f>IFERROR(IF(ISNUMBER($B$36),$B$36,1.0),1.0)</f><v /></c><c r="F67" s="15"><f>IFERROR(IF(ISNUMBER($C$36),$C$36,-1.0),-1.0)</f><v /></c><c r="G67" s="15"><f>IFERROR(IF(ISNUMBER($E$36),$E$36,1.0),1.0)</f><v /></c><c r="H67" s="15"><f>IFERROR(IF(ISNUMBER($F$36),$F$36,-1.2),-1.2)</f><v /></c><c r="I67" s="19" t="inlineStr"><is><t>→ regression</t></is></c><c r="J67" s="11" t="inlineStr"><is><t>Dy</t></is></c><c r="K67" s="12" t="n"><v>0.1</v></c><c r="L67" s="13" t="n"><v>162.5</v></c><c r="N67" s="18" t="inlineStr"><is><t>Pregnant Ga</t></is></c><c r="O67" s="15"><f>IFERROR(INDEX(HG134:HG158,$B$49+$B$50+$B$51),0)</f><v /></c></row><row r="68" ht="15" customHeight="1"><c r="D68" s="11" t="inlineStr"><is><t>Ho</t></is></c><c r="E68" s="15"><f>IFERROR(IF(ISNUMBER($B$37),$B$37,1.0),1.0)</f><v /></c><c r="F68" s="15"><f>IFERROR(IF(ISNUMBER($C$37),$C$37,-1.0),-1.0)</f><v /></c><c r="G68" s="15"><f>IFERROR(IF(ISNUMBER($E$37),$E$37,1.0),1.0)</f><v /></c><c r="H68" s="15"><f>IFERROR(IF(ISNUMBER($F$37),$F$37,-1.2),-1.2)</f><v /></c><c r="I68" s="19" t="inlineStr"><is><t>→ regression</t></is></c><c r="J68" s="11" t="inlineStr"><is><t>Ho</t></is></c><c r="K68" s="12" t="n"><v>0.1</v></c><c r="L68" s="13" t="n"><v>164.93</v></c><c r="N68" s="18" t="inlineStr"><is><t>Raffinate Rb</t></is></c><c r="O68" s="15"><f>HH134</f><v /></c></row><row r="69" ht="15" customHeight="1"><c r="D69" s="11" t="inlineStr"><is><t>Er</t></is></c><c r="E69" s="15"><f>IFERROR(IF(ISNUMBER($B$38),$B$38,1.0),1.0)</f><v /></c><c r="F69" s="15"><f>IFERROR(IF(ISNUMBER($C$38),$C$38,-1.0),-1.0)</f><v /></c><c r="G69" s="15"><f>IFERROR(IF(ISNUMBER($E$38),$E$38,1.0),1.0)</f><v /></c><c r="H69" s="15"><f>IFERROR(IF(ISNUMBER($F$38),$F$38,-1.2),-1.2)</f><v /></c><c r="I69" s="19" t="inlineStr"><is><t>→ regression</t></is></c><c r="J69" s="11" t="inlineStr"><is><t>Er</t></is></c><c r="K69" s="12" t="n"><v>0.1</v></c><c r="L69" s="13" t="n"><v>167.26</v></c><c r="N69" s="18" t="inlineStr"><is><t>Loaded Org Rb</t></is></c><c r="O69" s="15"><f>IFERROR(INDEX(BE134:BE158,$B$49),0)</f><v /></c></row><row r="70" ht="15" customHeight="1"><c r="D70" s="11" t="inlineStr"><is><t>Tm</t></is></c><c r="E70" s="15"><f>IFERROR(IF(ISNUMBER($B$39),$B$39,1.0),1.0)</f><v /></c><c r="F70" s="15"><f>IFERROR(IF(ISNUMBER($C$39),$C$39,-1.0),-1.0)</f><v /></c><c r="G70" s="15"><f>IFERROR(IF(ISNUMBER($E$39),$E$39,1.0),1.0)</f><v /></c><c r="H70" s="15"><f>IFERROR(IF(ISNUMBER($F$39),$F$39,-1.2),-1.2)</f><v /></c><c r="I70" s="19" t="inlineStr"><is><t>→ regression</t></is></c><c r="J70" s="11" t="inlineStr"><is><t>Tm</t></is></c><c r="K70" s="12" t="n"><v>0.1</v></c><c r="L70" s="13" t="n"><v>168.93</v></c><c r="N70" s="18" t="inlineStr"><is><t>Pregnant Rb</t></is></c><c r="O70" s="15"><f>IFERROR(INDEX(HH134:HH158,$B$49+$B$50+$B$51),0)</f><v /></c></row><row r="71" ht="15" customHeight="1"><c r="D71" s="11" t="inlineStr"><is><t>Yb</t></is></c><c r="E71" s="15"><f>IFERROR(IF(ISNUMBER($B$40),$B$40,1.0),1.0)</f><v /></c><c r="F71" s="15"><f>IFERROR(IF(ISNUMBER($C$40),$C$40,-1.0),-1.0)</f><v /></c><c r="G71" s="15"><f>IFERROR(IF(ISNUMBER($E$40),$E$40,1.0),1.0)</f><v /></c><c r="H71" s="15"><f>IFERROR(IF(ISNUMBER($F$40),$F$40,-1.2),-1.2)</f><v /></c><c r="I71" s="19" t="inlineStr"><is><t>→ regression</t></is></c><c r="J71" s="11" t="inlineStr"><is><t>Yb</t></is></c><c r="K71" s="12" t="n"><v>0.1</v></c><c r="L71" s="13" t="n"><v>173.04</v></c><c r="N71" s="18" t="inlineStr"><is><t>Raffinate Y</t></is></c><c r="O71" s="15"><f>HI134</f><v /></c></row><row r="72" ht="15" customHeight="1"><c r="D72" s="11" t="inlineStr"><is><t>Lu</t></is></c><c r="E72" s="15"><f>IFERROR(IF(ISNUMBER($B$41),$B$41,1.0),1.0)</f><v /></c><c r="F72" s="15"><f>IFERROR(IF(ISNUMBER($C$41),$C$41,-1.0),-1.0)</f><v /></c><c r="G72" s="15"><f>IFERROR(IF(ISNUMBER($E$41),$E$41,1.0),1.0)</f><v /></c><c r="H72" s="15"><f>IFERROR(IF(ISNUMBER($F$41),$F$41,-1.2),-1.2)</f><v /></c><c r="I72" s="19" t="inlineStr"><is><t>→ regression</t></is></c><c r="J72" s="11" t="inlineStr"><is><t>Lu</t></is></c><c r="K72" s="12" t="n"><v>0.1</v></c><c r="L72" s="13" t="n"><v>174.97</v></c><c r="N72" s="18" t="inlineStr"><is><t>Loaded Org Y</t></is></c><c r="O72" s="15"><f>IFERROR(INDEX(BM134:BM158,$B$49),0)</f><v /></c></row><row r="73" ht="15" customHeight="1"><c r="D73" s="11" t="inlineStr"><is><t>Hf</t></is></c><c r="E73" s="15"><f>IFERROR(IF(ISNUMBER($B$42),$B$42,1.0),1.0)</f><v /></c><c r="F73" s="15"><f>IFERROR(IF(ISNUMBER($C$42),$C$42,-1.0),-1.0)</f><v /></c><c r="G73" s="15"><f>IFERROR(IF(ISNUMBER($E$42),$E$42,1.0),1.0)</f><v /></c><c r="H73" s="15"><f>IFERROR(IF(ISNUMBER($F$42),$F$42,-1.2),-1.2)</f><v /></c><c r="I73" s="19" t="inlineStr"><is><t>→ regression</t></is></c><c r="J73" s="11" t="inlineStr"><is><t>Hf</t></is></c><c r="K73" s="12" t="n"><v>0.5</v></c><c r="L73" s="13" t="n"><v>178.49</v></c><c r="N73" s="18" t="inlineStr"><is><t>Pregnant Y</t></is></c><c r="O73" s="15"><f>IFERROR(INDEX(HI134:HI158,$B$49+$B$50+$B$51),0)</f><v /></c></row><row r="74" ht="15" customHeight="1"><c r="D74" s="11" t="inlineStr"><is><t>Th</t></is></c><c r="E74" s="15"><f>IFERROR(IF(ISNUMBER($B$43),$B$43,1.0),1.0)</f><v /></c><c r="F74" s="15"><f>IFERROR(IF(ISNUMBER($C$43),$C$43,-1.0),-1.0)</f><v /></c><c r="G74" s="15"><f>IFERROR(IF(ISNUMBER($E$43),$E$43,1.0),1.0)</f><v /></c><c r="H74" s="15"><f>IFERROR(IF(ISNUMBER($F$43),$F$43,-1.2),-1.2)</f><v /></c><c r="I74" s="19" t="inlineStr"><is><t>→ regression</t></is></c><c r="J74" s="11" t="inlineStr"><is><t>Th</t></is></c><c r="K74" s="12" t="n"><v>2</v></c><c r="L74" s="13" t="n"><v>232.04</v></c><c r="N74" s="18" t="inlineStr"><is><t>Raffinate Zr</t></is></c><c r="O74" s="15"><f>HJ134</f><v /></c></row><row r="75" ht="15" customHeight="1"><c r="D75" s="11" t="inlineStr"><is><t>U</t></is></c><c r="E75" s="15"><f>IFERROR(IF(ISNUMBER($B$44),$B$44,1.0),1.0)</f><v /></c><c r="F75" s="15"><f>IFERROR(IF(ISNUMBER($C$44),$C$44,-1.0),-1.0)</f><v /></c><c r="G75" s="15"><f>IFERROR(IF(ISNUMBER($E$44),$E$44,1.0),1.0)</f><v /></c><c r="H75" s="15"><f>IFERROR(IF(ISNUMBER($F$44),$F$44,-1.2),-1.2)</f><v /></c><c r="I75" s="19" t="inlineStr"><is><t>→ regression</t></is></c><c r="J75" s="11" t="inlineStr"><is><t>U</t></is></c><c r="K75" s="12" t="n"><v>5</v></c><c r="L75" s="13" t="n"><v>238.03</v></c><c r="N75" s="18" t="inlineStr"><is><t>Loaded Org Zr</t></is></c><c r="O75" s="15"><f>IFERROR(INDEX(BU134:BU158,$B$49),0)</f><v /></c></row><row r="76" ht="15" customHeight="1"><c r="N76" s="18" t="inlineStr"><is><t>Pregnant Zr</t></is></c><c r="O76" s="15"><f>IFERROR(INDEX(HJ134:HJ158,$B$49+$B$50+$B$51),0)</f><v /></c></row><row r="77" ht="15" customHeight="1"><c r="N77" s="18" t="inlineStr"><is><t>Raffinate La</t></is></c><c r="O77" s="15"><f>HK134</f><v /></c></row><row r="78" ht="15" customHeight="1"><c r="N78" s="18" t="inlineStr"><is><t>Loaded Org La</t></is></c><c r="O78" s="15"><f>IFERROR(INDEX(CC134:CC158,$B$49),0)</f><v /></c></row><row r="79" ht="15" customHeight="1"><c r="N79" s="18" t="inlineStr"><is><t>Pregnant La</t></is></c><c r="O79" s="15"><f>IFERROR(INDEX(HK134:HK158,$B$49+$B$50+$B$51),0)</f><v /></c></row><row r="80" ht="15" customHeight="1"><c r="N80" s="18" t="inlineStr"><is><t>Raffinate Ce</t></is></c><c r="O80" s="15"><f>HL134</f><v /></c></row><row r="81" ht="15" customHeight="1"><c r="N81" s="18" t="inlineStr"><is><t>Loaded Org Ce</t></is></c><c r="O81" s="15"><f>IFERROR(INDEX(CK134:CK158,$B$49),0)</f><v /></c></row><row r="82" ht="15" customHeight="1"><c r="N82" s="18" t="inlineStr"><is><t>Pregnant Ce</t></is></c><c r="O82" s="15"><f>IFERROR(INDEX(HL134:HL158,$B$49+$B$50+$B$51),0)</f><v /></c></row><row r="83" ht="15" customHeight="1"><c r="N83" s="18" t="inlineStr"><is><t>Raffinate Pr</t></is></c><c r="O83" s="15"><f>HM134</f><v /></c></row><row r="84" ht="15" customHeight="1"><c r="N84" s="18" t="inlineStr"><is><t>Loaded Org Pr</t></is></c><c r="O84" s="15"><f>IFERROR(INDEX(CS134:CS158,$B$49),0)</f><v /></c></row><row r="85" ht="15" customHeight="1"><c r="N85" s="18" t="inlineStr"><is><t>Pregnant Pr</t></is></c><c r="O85" s="15"><f>IFERROR(INDEX(HM134:HM158,$B$49+$B$50+$B$51),0)</f><v /></c></row><row r="86" ht="15" customHeight="1"><c r="N86" s="18" t="inlineStr"><is><t>Raffinate Nd</t></is></c><c r="O86" s="15"><f>HN134</f><v /></c></row><row r="87" ht="15" customHeight="1"><c r="N87" s="18" t="inlineStr"><is><t>Loaded Org Nd</t></is></c><c r="O87" s="15"><f>IFERROR(INDEX(DA134:DA158,$B$49),0)</f><v /></c></row><row r="88" ht="15" customHeight="1"><c r="N88" s="18" t="inlineStr"><is><t>Pregnant Nd</t></is></c><c r="O88" s="15"><f>IFERROR(INDEX(HN134:HN158,$B$49+$B$50+$B$51),0)</f><v /></c></row><row r="89" ht="15" customHeight="1"><c r="N89" s="18" t="inlineStr"><is><t>Raffinate Sm</t></is></c><c r="O89" s="15"><f>HO134</f><v /></c></row><row r="90" ht="15" customHeight="1"><c r="N90" s="18" t="inlineStr"><is><t>Loaded Org Sm</t></is></c><c r="O90" s="15"><f>IFERROR(INDEX(DI134:DI158,$B$49),0)</f><v /></c></row><row r="91" ht="15" customHeight="1"><c r="N91" s="18" t="inlineStr"><is><t>Pregnant Sm</t></is></c><c r="O91" s="15"><f>IFERROR(INDEX(HO134:HO158,$B$49+$B$50+$B$51),0)</f><v /></c></row><row r="92" ht="15" customHeight="1"><c r="N92" s="18" t="inlineStr"><is><t>Raffinate Eu</t></is></c><c r="O92" s="15"><f>HP134</f><v /></c></row><row r="93" ht="15" customHeight="1"><c r="N93" s="18" t="inlineStr"><is><t>Loaded Org Eu</t></is></c><c r="O93" s="15"><f>IFERROR(INDEX(DQ134:DQ158,$B$49),0)</f><v /></c></row><row r="94" ht="15" customHeight="1"><c r="N94" s="18" t="inlineStr"><is><t>Pregnant Eu</t></is></c><c r="O94" s="15"><f>IFERROR(INDEX(HP134:HP158,$B$49+$B$50+$B$51),0)</f><v /></c></row><row r="95" ht="15" customHeight="1"><c r="N95" s="18" t="inlineStr"><is><t>Raffinate Gd</t></is></c><c r="O95" s="15"><f>HQ134</f><v /></c></row><row r="96" ht="15" customHeight="1"><c r="N96" s="18" t="inlineStr"><is><t>Loaded Org Gd</t></is></c><c r="O96" s="15"><f>IFERROR(INDEX(DY134:DY158,$B$49),0)</f><v /></c></row><row r="97" ht="15" customHeight="1"><c r="N97" s="18" t="inlineStr"><is><t>Pregnant Gd</t></is></c><c r="O97" s="15"><f>IFERROR(INDEX(HQ134:HQ158,$B$49+$B$50+$B$51),0)</f><v /></c></row><row r="98" ht="15" customHeight="1"><c r="N98" s="18" t="inlineStr"><is><t>Raffinate Tb</t></is></c><c r="O98" s="15"><f>HR134</f><v /></c></row><row r="99" ht="15" customHeight="1"><c r="N99" s="18" t="inlineStr"><is><t>Loaded Org Tb</t></is></c><c r="O99" s="15"><f>IFERROR(INDEX(EG134:EG158,$B$49),0)</f><v /></c></row><row r="100" ht="15" customHeight="1"><c r="N100" s="18" t="inlineStr"><is><t>Pregnant Tb</t></is></c><c r="O100" s="15"><f>IFERROR(INDEX(HR134:HR158,$B$49+$B$50+$B$51),0)</f><v /></c></row><row r="101" ht="15" customHeight="1"><c r="N101" s="18" t="inlineStr"><is><t>Raffinate Dy</t></is></c><c r="O101" s="15"><f>HS134</f><v /></c></row><row r="102" ht="15" customHeight="1"><c r="N102" s="18" t="inlineStr"><is><t>Loaded Org Dy</t></is></c><c r="O102" s="15"><f>IFERROR(INDEX(EO134:EO158,$B$49),0)</f><v /></c></row><row r="103" ht="15" customHeight="1"><c r="N103" s="18" t="inlineStr"><is><t>Pregnant Dy</t></is></c><c r="O103" s="15"><f>IFERROR(INDEX(HS134:HS158,$B$49+$B$50+$B$51),0)</f><v /></c></row><row r="104" ht="15" customHeight="1"><c r="N104" s="18" t="inlineStr"><is><t>Raffinate Ho</t></is></c><c r="O104" s="15"><f>HT134</f><v /></c></row><row r="105" ht="15" customHeight="1"><c r="N105" s="18" t="inlineStr"><is><t>Loaded Org Ho</t></is></c><c r="O105" s="15"><f>IFERROR(INDEX(EW134:EW158,$B$49),0)</f><v /></c></row><row r="106" ht="15" customHeight="1"><c r="N106" s="18" t="inlineStr"><is><t>Pregnant Ho</t></is></c><c r="O106" s="15"><f>IFERROR(INDEX(HT134:HT158,$B$49+$B$50+$B$51),0)</f><v /></c></row><row r="107" ht="15" customHeight="1"><c r="N107" s="18" t="inlineStr"><is><t>Raffinate Er</t></is></c><c r="O107" s="15"><f>HU134</f><v /></c></row><row r="108" ht="15" customHeight="1"><c r="N108" s="18" t="inlineStr"><is><t>Loaded Org Er</t></is></c><c r="O108" s="15"><f>IFERROR(INDEX(FE134:FE158,$B$49),0)</f><v /></c></row><row r="109" ht="15" customHeight="1"><c r="N109" s="18" t="inlineStr"><is><t>Pregnant Er</t></is></c><c r="O109" s="15"><f>IFERROR(INDEX(HU134:HU158,$B$49+$B$50+$B$51),0)</f><v /></c></row><row r="110" ht="15" customHeight="1"><c r="N110" s="18" t="inlineStr"><is><t>Raffinate Tm</t></is></c><c r="O110" s="15"><f>HV134</f><v /></c></row><row r="111" ht="15" customHeight="1"><c r="N111" s="18" t="inlineStr"><is><t>Loaded Org Tm</t></is></c><c r="O111" s="15"><f>IFERROR(INDEX(FM134:FM158,$B$49),0)</f><v /></c></row><row r="112" ht="15" customHeight="1"><c r="N112" s="18" t="inlineStr"><is><t>Pregnant Tm</t></is></c><c r="O112" s="15"><f>IFERROR(INDEX(HV134:HV158,$B$49+$B$50+$B$51),0)</f><v /></c></row><row r="113" ht="15" customHeight="1"><c r="N113" s="18" t="inlineStr"><is><t>Raffinate Yb</t></is></c><c r="O113" s="15"><f>HW134</f><v /></c></row><row r="114" ht="15" customHeight="1"><c r="N114" s="18" t="inlineStr"><is><t>Loaded Org Yb</t></is></c><c r="O114" s="15"><f>IFERROR(INDEX(FU134:FU158,$B$49),0)</f><v /></c></row><row r="115" ht="15" customHeight="1"><c r="N115" s="18" t="inlineStr"><is><t>Pregnant Yb</t></is></c><c r="O115" s="15"><f>IFERROR(INDEX(HW134:HW158,$B$49+$B$50+$B$51),0)</f><v /></c></row><row r="116" ht="15" customHeight="1"><c r="N116" s="18" t="inlineStr"><is><t>Raffinate Lu</t></is></c><c r="O116" s="15"><f>HX134</f><v /></c></row><row r="117" ht="15" customHeight="1"><c r="N117" s="18" t="inlineStr"><is><t>Loaded Org Lu</t></is></c><c r="O117" s="15"><f>IFERROR(INDEX(GC134:GC158,$B$49),0)</f><v /></c></row><row r="118" ht="15" customHeight="1"><c r="N118" s="18" t="inlineStr"><is><t>Pregnant Lu</t></is></c><c r="O118" s="15"><f>IFERROR(INDEX(HX134:HX158,$B$49+$B$50+$B$51),0)</f><v /></c></row><row r="119" ht="15" customHeight="1"><c r="N119" s="18" t="inlineStr"><is><t>Raffinate Hf</t></is></c><c r="O119" s="15"><f>HY134</f><v /></c></row><row r="120" ht="15" customHeight="1"><c r="N120" s="18" t="inlineStr"><is><t>Loaded Org Hf</t></is></c><c r="O120" s="15"><f>IFERROR(INDEX(GK134:GK158,$B$49),0)</f><v /></c></row><row r="121" ht="15" customHeight="1"><c r="N121" s="18" t="inlineStr"><is><t>Pregnant Hf</t></is></c><c r="O121" s="15"><f>IFERROR(INDEX(HY134:HY158,$B$49+$B$50+$B$51),0)</f><v /></c></row><row r="122" ht="15" customHeight="1"><c r="N122" s="18" t="inlineStr"><is><t>Raffinate Th</t></is></c><c r="O122" s="15"><f>HZ134</f><v /></c></row><row r="123" ht="15" customHeight="1"><c r="N123" s="18" t="inlineStr"><is><t>Loaded Org Th</t></is></c><c r="O123" s="15"><f>IFERROR(INDEX(GS134:GS158,$B$49),0)</f><v /></c></row><row r="124" ht="15" customHeight="1"><c r="N124" s="18" t="inlineStr"><is><t>Pregnant Th</t></is></c><c r="O124" s="15"><f>IFERROR(INDEX(HZ134:HZ158,$B$49+$B$50+$B$51),0)</f><v /></c></row><row r="125" ht="15" customHeight="1"><c r="N125" s="18" t="inlineStr"><is><t>Raffinate U</t></is></c><c r="O125" s="15"><f>IA134</f><v /></c></row><row r="126" ht="15" customHeight="1"><c r="N126" s="18" t="inlineStr"><is><t>Loaded Org U</t></is></c><c r="O126" s="15"><f>IFERROR(INDEX(HA134:HA158,$B$49),0)</f><v /></c></row><row r="127" ht="15" customHeight="1"><c r="N127" s="18" t="inlineStr"><is><t>Pregnant U</t></is></c><c r="O127" s="15"><f>IFERROR(INDEX(IA134:IA158,$B$49+$B$50+$B$51),0)</f><v /></c></row><row r="131" ht="20" customHeight="1"><c r="A131" s="16" t="inlineStr"><is><t>TDMA SOLVER — 25 STAGES × 26 ELEMENTS</t></is></c></row><row r="132" ht="16" customHeight="1"><c r="A132" s="17" t="inlineStr"><is><t>Stage</t></is></c><c r="B132" s="10" t="inlineStr"><is><t>Al</t></is></c><c r="J132" s="10" t="inlineStr"><is><t>Sc</t></is></c><c r="R132" s="10" t="inlineStr"><is><t>Fe</t></is></c><c r="Z132" s="10" t="inlineStr"><is><t>Co</t></is></c><c r="AH132" s="10" t="inlineStr"><is><t>Zn</t></is></c><c r="AP132" s="10" t="inlineStr"><is><t>Ga</t></is></c><c r="AX132" s="10" t="inlineStr"><is><t>Rb</t></is></c><c r="BF132" s="10" t="inlineStr"><is><t>Y</t></is></c><c r="BN132" s="10" t="inlineStr"><is><t>Zr</t></is></c><c r="BV132" s="10" t="inlineStr"><is><t>La</t></is></c><c r="CD132" s="10" t="inlineStr"><is><t>Ce</t></is></c><c r="CL132" s="10" t="inlineStr"><is><t>Pr</t></is></c><c r="CT132" s="10" t="inlineStr"><is><t>Nd</t></is></c><c r="DB132" s="10" t="inlineStr"><is><t>Sm</t></is></c><c r="DJ132" s="10" t="inlineStr"><is><t>Eu</t></is></c><c r="DR132" s="10" t="inlineStr"><is><t>Gd</t></is></c><c r="DZ132" s="10" t="inlineStr"><is><t>Tb</t></is></c><c r="EH132" s="10" t="inlineStr"><is><t>Dy</t></is></c><c r="EP132" s="10" t="inlineStr"><is><t>Ho</t></is></c><c r="EX132" s="10" t="inlineStr"><is><t>Er</t></is></c><c r="FF132" s="10" t="inlineStr"><is><t>Tm</t></is></c><c r="FN132" s="10" t="inlineStr"><is><t>Yb</t></is></c><c r="FV132" s="10" t="inlineStr"><is><t>Lu</t></is></c><c r="GD132" s="10" t="inlineStr"><is><t>Hf</t></is></c><c r="GL132" s="10" t="inlineStr"><is><t>Th</t></is></c><c r="GT132" s="10" t="inlineStr"><is><t>U</t></is></c><c r="HB132" s="20" t="inlineStr"><is><t>x_aq
Al</t></is></c><c r="HC132" s="20" t="inlineStr"><is><t>x_aq
Sc</t></is></c><c r="HD132" s="20" t="inlineStr"><is><t>x_aq
Fe</t></is></c><c r="HE132" s="20" t="inlineStr"><is><t>x_aq
Co</t></is></c><c r="HF132" s="20" t="inlineStr"><is><t>x_aq
Zn</t></is></c><c r="HG132" s="20" t="inlineStr"><is><t>x_aq
Ga</t></is></c><c r="HH132" s="20" t="inlineStr"><is><t>x_aq
Rb</t></is></c><c r="HI132" s="20" t="inlineStr"><is><t>x_aq
Y</t></is></c><c r="HJ132" s="20" t="inlineStr"><is><t>x_aq
Zr</t></is></c><c r="HK132" s="20" t="inlineStr"><is><t>x_aq
La</t></is></c><c r="HL132" s="20" t="inlineStr"><is><t>x_aq
Ce</t></is></c><c r="HM132" s="20" t="inlineStr"><is><t>x_aq
Pr</t></is></c><c r="HN132" s="20" t="inlineStr"><is><t>x_aq
Nd</t></is></c><c r="HO132" s="20" t="inlineStr"><is><t>x_aq
Sm</t></is></c><c r="HP132" s="20" t="inlineStr"><is><t>x_aq
Eu</t></is></c><c r="HQ132" s="20" t="inlineStr"><is><t>x_aq
Gd</t></is></c><c r="HR132" s="20" t="inlineStr"><is><t>x_aq
Tb</t></is></c><c r="HS132" s="20" t="inlineStr"><is><t>x_aq
Dy</t></is></c><c r="HT132" s="20" t="inlineStr"><is><t>x_aq
Ho</t></is></c><c r="HU132" s="20" t="inlineStr"><is><t>x_aq
Er</t></is></c><c r="HV132" s="20" t="inlineStr"><is><t>x_aq
Tm</t></is></c><c r="HW132" s="20" t="inlineStr"><is><t>x_aq
Yb</t></is></c><c r="HX132" s="20" t="inlineStr"><is><t>x_aq
Lu</t></is></c><c r="HY132" s="20" t="inlineStr"><is><t>x_aq
Hf</t></is></c><c r="HZ132" s="20" t="inlineStr"><is><t>x_aq
Th</t></is></c><c r="IA132" s="20" t="inlineStr"><is><t>x_aq
U</t></is></c><c r="IB132" s="21" t="inlineStr"><is><t>ΣOrg</t></is></c><c r="IC132" s="21" t="inlineStr"><is><t>ΣAq</t></is></c></row><row r="133" ht="28" customHeight="1"><c r="A133" s="22" t="n" /><c r="B133" s="21" t="inlineStr"><is><t>D_n</t></is></c><c r="C133" s="21" t="inlineStr"><is><t>a_n</t></is></c><c r="D133" s="21" t="inlineStr"><is><t>b_n</t></is></c><c r="E133" s="21" t="inlineStr"><is><t>c_n</t></is></c><c r="F133" s="21" t="inlineStr"><is><t>d_n</t></is></c><c r="G133" s="21" t="inlineStr"><is><t>c'_n</t></is></c><c r="H133" s="21" t="inlineStr"><is><t>d'_n</t></is></c><c r="I133" s="21" t="inlineStr"><is><t>y_org</t></is></c><c r="J133" s="21" t="inlineStr"><is><t>D_n</t></is></c><c r="K133" s="21" t="inlineStr"><is><t>a_n</t></is></c><c r="L133" s="21" t="inlineStr"><is><t>b_n</t></is></c><c r="M133" s="21" t="inlineStr"><is><t>c_n</t></is></c><c r="N133" s="21" t="inlineStr"><is><t>d_n</t></is></c><c r="O133" s="21" t="inlineStr"><is><t>c'_n</t></is></c><c r="P133" s="21" t="inlineStr"><is><t>d'_n</t></is></c><c r="Q133" s="21" t="inlineStr"><is><t>y_org</t></is></c><c r="R133" s="21" t="inlineStr"><is><t>D_n</t></is></c><c r="S133" s="21" t="inlineStr"><is><t>a_n</t></is></c><c r="T133" s="21" t="inlineStr"><is><t>b_n</t></is></c><c r="U133" s="21" t="inlineStr"><is><t>c_n</t></is></c><c r="V133" s="21" t="inlineStr"><is><t>d_n</t></is></c><c r="W133" s="21" t="inlineStr"><is><t>c'_n</t></is></c><c r="X133" s="21" t="inlineStr"><is><t>d'_n</t></is></c><c r="Y133" s="21" t="inlineStr"><is><t>y_org</t></is></c><c r="Z133" s="21" t="inlineStr"><is><t>D_n</t></is></c><c r="AA133" s="21" t="inlineStr"><is><t>a_n</t></is></c><c r="AB133" s="21" t="inlineStr"><is><t>b_n</t></is></c><c r="AC133" s="21" t="inlineStr"><is><t>c_n</t></is></c><c r="AD133" s="21" t="inlineStr"><is><t>d_n</t></is></c><c r="AE133" s="21" t="inlineStr"><is><t>c'_n</t></is></c><c r="AF133" s="21" t="inlineStr"><is><t>d'_n</t></is></c><c r="AG133" s="21" t="inlineStr"><is><t>y_org</t></is></c><c r="AH133" s="21" t="inlineStr"><is><t>D_n</t></is></c><c r="AI133" s="21" t="inlineStr"><is><t>a_n</t></is></c><c r="AJ133" s="21" t="inlineStr"><is><t>b_n</t></is></c><c r="AK133" s="21" t="inlineStr"><is><t>c_n</t></is></c><c r="AL133" s="21" t="inlineStr"><is><t>d_n</t></is></c><c r="AM133" s="21" t="inlineStr"><is><t>c'_n</t></is></c><c r="AN133" s="21" t="inlineStr"><is><t>d'_n</t></is></c><c r="AO133" s="21" t="inlineStr"><is><t>y_org</t></is></c><c r="AP133" s="21" t="inlineStr"><is><t>D_n</t></is></c><c r="AQ133" s="21" t="inlineStr"><is><t>a_n</t></is></c><c r="AR133" s="21" t="inlineStr"><is><t>b_n</t></is></c><c r="AS133" s="21" t="inlineStr"><is><t>c_n</t></is></c><c r="AT133" s="21" t="inlineStr"><is><t>d_n</t></is></c><c r="AU133" s="21" t="inlineStr"><is><t>c'_n</t></is></c><c r="AV133" s="21" t="inlineStr"><is><t>d'_n</t></is></c><c r="AW133" s="21" t="inlineStr"><is><t>y_org</t></is></c><c r="AX133" s="21" t="inlineStr"><is><t>D_n</t></is></c><c r="AY133" s="21" t="inlineStr"><is><t>a_n</t></is></c><c r="AZ133" s="21" t="inlineStr"><is><t>b_n</t></is></c><c r="BA133" s="21" t="inlineStr"><is><t>c_n</t></is></c><c r="BB133" s="21" t="inlineStr"><is><t>d_n</t></is></c><c r="BC133" s="21" t="inlineStr"><is><t>c'_n</t></is></c><c r="BD133" s="21" t="inlineStr"><is><t>d'_n</t></is></c><c r="BE133" s="21" t="inlineStr"><is><t>y_org</t></is></c><c r="BF133" s="21" t="inlineStr"><is><t>D_n</t></is></c><c r="BG133" s="21" t="inlineStr"><is><t>a_n</t></is></c><c r="BH133" s="21" t="inlineStr"><is><t>b_n</t></is></c><c r="BI133" s="21" t="inlineStr"><is><t>c_n</t></is></c><c r="BJ133" s="21" t="inlineStr"><is><t>d_n</t></is></c><c r="BK133" s="21" t="inlineStr"><is><t>c'_n</t></is></c><c r="BL133" s="21" t="inlineStr"><is><t>d'_n</t></is></c><c r="BM133" s="21" t="inlineStr"><is><t>y_org</t></is></c><c r="BN133" s="21" t="inlineStr"><is><t>D_n</t></is></c><c r="BO133" s="21" t="inlineStr"><is><t>a_n</t></is></c><c r="BP133" s="21" t="inlineStr"><is><t>b_n</t></is></c><c r="BQ133" s="21" t="inlineStr"><is><t>c_n</t></is></c><c r="BR133" s="21" t="inlineStr"><is><t>d_n</t></is></c><c r="BS133" s="21" t="inlineStr"><is><t>c'_n</t></is></c><c r="BT133" s="21" t="inlineStr"><is><t>d'_n</t></is></c><c r="BU133" s="21" t="inlineStr"><is><t>y_org</t></is></c><c r="BV133" s="21" t="inlineStr"><is><t>D_n</t></is></c><c r="BW133" s="21" t="inlineStr"><is><t>a_n</t></is></c><c r="BX133" s="21" t="inlineStr"><is><t>b_n</t></is></c><c r="BY133" s="21" t="inlineStr"><is><t>c_n</t></is></c><c r="BZ133" s="21" t="inlineStr"><is><t>d_n</t></is></c><c r="CA133" s="21" t="inlineStr"><is><t>c'_n</t></is></c><c r="CB133" s="21" t="inlineStr"><is><t>d'_n</t></is></c><c r="CC133" s="21" t="inlineStr"><is><t>y_org</t></is></c><c r="CD133" s="21" t="inlineStr"><is><t>D_n</t></is></c><c r="CE133" s="21" t="inlineStr"><is><t>a_n</t></is></c><c r="CF133" s="21" t="inlineStr"><is><t>b_n</t></is></c><c r="CG133" s="21" t="inlineStr"><is><t>c_n</t></is></c><c r="CH133" s="21" t="inlineStr"><is><t>d_n</t></is></c><c r="CI133" s="21" t="inlineStr"><is><t>c'_n</t></is></c><c r="CJ133" s="21" t="inlineStr"><is><t>d'_n</t></is></c><c r="CK133" s="21" t="inlineStr"><is><t>y_org</t></is></c><c r="CL133" s="21" t="inlineStr"><is><t>D_n</t></is></c><c r="CM133" s="21" t="inlineStr"><is><t>a_n</t></is></c><c r="CN133" s="21" t="inlineStr"><is><t>b_n</t></is></c><c r="CO133" s="21" t="inlineStr"><is><t>c_n</t></is></c><c r="CP133" s="21" t="inlineStr"><is><t>d_n</t></is></c><c r="CQ133" s="21" t="inlineStr"><is><t>c'_n</t></is></c><c r="CR133" s="21" t="inlineStr"><is><t>d'_n</t></is></c><c r="CS133" s="21" t="inlineStr"><is><t>y_org</t></is></c><c r="CT133" s="21" t="inlineStr"><is><t>D_n</t></is></c><c r="CU133" s="21" t="inlineStr"><is><t>a_n</t></is></c><c r="CV133" s="21" t="inlineStr"><is><t>b_n</t></is></c><c r="CW133" s="21" t="inlineStr"><is><t>c_n</t></is></c><c r="CX133" s="21" t="inlineStr"><is><t>d_n</t></is></c><c r="CY133" s="21" t="inlineStr"><is><t>c'_n</t></is></c><c r="CZ133" s="21" t="inlineStr"><is><t>d'_n</t></is></c><c r="DA133" s="21" t="inlineStr"><is><t>y_org</t></is></c><c r="DB133" s="21" t="inlineStr"><is><t>D_n</t></is></c><c r="DC133" s="21" t="inlineStr"><is><t>a_n</t></is></c><c r="DD133" s="21" t="inlineStr"><is><t>b_n</t></is></c><c r="DE133" s="21" t="inlineStr"><is><t>c_n</t></is></c><c r="DF133" s="21" t="inlineStr"><is><t>d_n</t></is></c><c r="DG133" s="21" t="inlineStr"><is><t>c'_n</t></is></c><c r="DH133" s="21" t="inlineStr"><is><t>d'_n</t></is></c><c r="DI133" s="21" t="inlineStr"><is><t>y_org</t></is></c><c r="DJ133" s="21" t="inlineStr"><is><t>D_n</t></is></c><c r="DK133" s="21" t="inlineStr"><is><t>a_n</t></is></c><c r="DL133" s="21" t="inlineStr"><is><t>b_n</t></is></c><c r="DM133" s="21" t="inlineStr"><is><t>c_n</t></is></c><c r="DN133" s="21" t="inlineStr"><is><t>d_n</t></is></c><c r="DO133" s="21" t="inlineStr"><is><t>c'_n</t></is></c><c r="DP133" s="21" t="inlineStr"><is><t>d'_n</t></is></c><c r="DQ133" s="21" t="inlineStr"><is><t>y_org</t></is></c><c r="DR133" s="21" t="inlineStr"><is><t>D_n</t></is></c><c r="DS133" s="21" t="inlineStr"><is><t>a_n</t></is></c><c r="DT133" s="21" t="inlineStr"><is><t>b_n</t></is></c><c r="DU133" s="21" t="inlineStr"><is><t>c_n</t></is></c><c r="DV133" s="21" t="inlineStr"><is><t>d_n</t></is></c><c r="DW133" s="21" t="inlineStr"><is><t>c'_n</t></is></c><c r="DX133" s="21" t="inlineStr"><is><t>d'_n</t></is></c><c r="DY133" s="21" t="inlineStr"><is><t>y_org</t></is></c><c r="DZ133" s="21" t="inlineStr"><is><t>D_n</t></is></c><c r="EA133" s="21" t="inlineStr"><is><t>a_n</t></is></c><c r="EB133" s="21" t="inlineStr"><is><t>b_n</t></is></c><c r="EC133" s="21" t="inlineStr"><is><t>c_n</t></is></c><c r="ED133" s="21" t="inlineStr"><is><t>d_n</t></is></c><c r="EE133" s="21" t="inlineStr"><is><t>c'_n</t></is></c><c r="EF133" s="21" t="inlineStr"><is><t>d'_n</t></is></c><c r="EG133" s="21" t="inlineStr"><is><t>y_org</t></is></c><c r="EH133" s="21" t="inlineStr"><is><t>D_n</t></is></c><c r="EI133" s="21" t="inlineStr"><is><t>a_n</t></is></c><c r="EJ133" s="21" t="inlineStr"><is><t>b_n</t></is></c><c r="EK133" s="21" t="inlineStr"><is><t>c_n</t></is></c><c r="EL133" s="21" t="inlineStr"><is><t>d_n</t></is></c><c r="EM133" s="21" t="inlineStr"><is><t>c'_n</t></is></c><c r="EN133" s="21" t="inlineStr"><is><t>d'_n</t></is></c><c r="EO133" s="21" t="inlineStr"><is><t>y_org</t></is></c><c r="EP133" s="21" t="inlineStr"><is><t>D_n</t></is></c><c r="EQ133" s="21" t="inlineStr"><is><t>a_n</t></is></c><c r="ER133" s="21" t="inlineStr"><is><t>b_n</t></is></c><c r="ES133" s="21" t="inlineStr"><is><t>c_n</t></is></c><c r="ET133" s="21" t="inlineStr"><is><t>d_n</t></is></c><c r="EU133" s="21" t="inlineStr"><is><t>c'_n</t></is></c><c r="EV133" s="21" t="inlineStr"><is><t>d'_n</t></is></c><c r="EW133" s="21" t="inlineStr"><is><t>y_org</t></is></c><c r="EX133" s="21" t="inlineStr"><is><t>D_n</t></is></c><c r="EY133" s="21" t="inlineStr"><is><t>a_n</t></is></c><c r="EZ133" s="21" t="inlineStr"><is><t>b_n</t></is></c><c r="FA133" s="21" t="inlineStr"><is><t>c_n</t></is></c><c r="FB133" s="21" t="inlineStr"><is><t>d_n</t></is></c><c r="FC133" s="21" t="inlineStr"><is><t>c'_n</t></is></c><c r="FD133" s="21" t="inlineStr"><is><t>d'_n</t></is></c><c r="FE133" s="21" t="inlineStr"><is><t>y_org</t></is></c><c r="FF133" s="21" t="inlineStr"><is><t>D_n</t></is></c><c r="FG133" s="21" t="inlineStr"><is><t>a_n</t></is></c><c r="FH133" s="21" t="inlineStr"><is><t>b_n</t></is></c><c r="FI133" s="21" t="inlineStr"><is><t>c_n</t></is></c><c r="FJ133" s="21" t="inlineStr"><is><t>d_n</t></is></c><c r="FK133" s="21" t="inlineStr"><is><t>c'_n</t></is></c><c r="FL133" s="21" t="inlineStr"><is><t>d'_n</t></is></c><c r="FM133" s="21" t="inlineStr"><is><t>y_org</t></is></c><c r="FN133" s="21" t="inlineStr"><is><t>D_n</t></is></c><c r="FO133" s="21" t="inlineStr"><is><t>a_n</t></is></c><c r="FP133" s="21" t="inlineStr"><is><t>b_n</t></is></c><c r="FQ133" s="21" t="inlineStr"><is><t>c_n</t></is></c><c r="FR133" s="21" t="inlineStr"><is><t>d_n</t></is></c><c r="FS133" s="21" t="inlineStr"><is><t>c'_n</t></is></c><c r="FT133" s="21" t="inlineStr"><is><t>d'_n</t></is></c><c r="FU133" s="21" t="inlineStr"><is><t>y_org</t></is></c><c r="FV133" s="21" t="inlineStr"><is><t>D_n</t></is></c><c r="FW133" s="21" t="inlineStr"><is><t>a_n</t></is></c><c r="FX133" s="21" t="inlineStr"><is><t>b_n</t></is></c><c r="FY133" s="21" t="inlineStr"><is><t>c_n</t></is></c><c r="FZ133" s="21" t="inlineStr"><is><t>d_n</t></is></c><c r="GA133" s="21" t="inlineStr"><is><t>c'_n</t></is></c><c r="GB133" s="21" t="inlineStr"><is><t>d'_n</t></is></c><c r="GC133" s="21" t="inlineStr"><is><t>y_org</t></is></c><c r="GD133" s="21" t="inlineStr"><is><t>D_n</t></is></c><c r="GE133" s="21" t="inlineStr"><is><t>a_n</t></is></c><c r="GF133" s="21" t="inlineStr"><is><t>b_n</t></is></c><c r="GG133" s="21" t="inlineStr"><is><t>c_n</t></is></c><c r="GH133" s="21" t="inlineStr"><is><t>d_n</t></is></c><c r="GI133" s="21" t="inlineStr"><is><t>c'_n</t></is></c><c r="GJ133" s="21" t="inlineStr"><is><t>d'_n</t></is></c><c r="GK133" s="21" t="inlineStr"><is><t>y_org</t></is></c><c r="GL133" s="21" t="inlineStr"><is><t>D_n</t></is></c><c r="GM133" s="21" t="inlineStr"><is><t>a_n</t></is></c><c r="GN133" s="21" t="inlineStr"><is><t>b_n</t></is></c><c r="GO133" s="21" t="inlineStr"><is><t>c_n</t></is></c><c r="GP133" s="21" t="inlineStr"><is><t>d_n</t></is></c><c r="GQ133" s="21" t="inlineStr"><is><t>c'_n</t></is></c><c r="GR133" s="21" t="inlineStr"><is><t>d'_n</t></is></c><c r="GS133" s="21" t="inlineStr"><is><t>y_org</t></is></c><c r="GT133" s="21" t="inlineStr"><is><t>D_n</t></is></c><c r="GU133" s="21" t="inlineStr"><is><t>a_n</t></is></c><c r="GV133" s="21" t="inlineStr"><is><t>b_n</t></is></c><c r="GW133" s="21" t="inlineStr"><is><t>c_n</t></is></c><c r="GX133" s="21" t="inlineStr"><is><t>d_n</t></is></c><c r="GY133" s="21" t="inlineStr"><is><t>c'_n</t></is></c><c r="GZ133" s="21" t="inlineStr"><is><t>d'_n</t></is></c><c r="HA133" s="21" t="inlineStr"><is><t>y_org</t></is></c></row><row r="134" ht="14" customHeight="1"><c r="A134" s="23" t="n"><v>1</v></c><c r="B134" s="11"><f>IF(1&gt;$B$49+$B$50,$G$50*$B$54^$H$50,$E$50*$B$52^$F$50)</f><v /></c><c r="C134" s="11"><f>IF(1=1,0,$B$57)</f><v /></c><c r="D134" s="11"><f>-($B$57+(IF(1&lt;=$B$49,$B$56*$B$58+$B$55,IF(1&lt;=$B$49+$B$50,$B$56*$B$58,$B$56)))/B134)</f><v /></c><c r="E134" s="11"><f>IF(1=$B$49+$B$50,0,IF(1&gt;$B$49+$B$50,$B$56/B135,IF(1&gt;=$B$49,$B$56*$B$58/B135,($B$56*$B$58+$B$55)/B135)))</f><v /></c><c r="F134" s="11"><f>IF(1=$B$49,-$K$50*$B$55,0)</f><v /></c><c r="G134" s="11"><f>E134/D134</f><v /></c><c r="H134" s="11"><f>F134/D134</f><v /></c><c r="I134" s="15"><f>H134-G134*I135</f><v /></c><c r="J134" s="11"><f>IF(1&gt;$B$49+$B$50,$G$51*$B$54^$H$51,$E$51*$B$52^$F$51)</f><v /></c><c r="K134" s="11"><f>IF(1=1,0,$B$57)</f><v /></c><c r="L134" s="11"><f>-($B$57+(IF(1&lt;=$B$49,$B$56*$B$58+$B$55,IF(1&lt;=$B$49+$B$50,$B$56*$B$58,$B$56)))/J134)</f><v /></c><c r="M134" s="11"><f>IF(1=$B$49+$B$50,0,IF(1&gt;$B$49+$B$50,$B$56/J135,IF(1&gt;=$B$49,$B$56*$B$58/J135,($B$56*$B$58+$B$55)/J135)))</f><v /></c><c r="N134" s="11"><f>IF(1=$B$49,-$K$51*$B$55,0)</f><v /></c><c r="O134" s="11"><f>M134/L134</f><v /></c><c r="P134" s="11"><f>N134/L134</f><v /></c><c r="Q134" s="15"><f>P134-O134*Q135</f><v /></c><c r="R134" s="11"><f>IF(1&gt;$B$49+$B$50,$G$52*$B$54^$H$52,$E$52*$B$52^$F$52)</f><v /></c><c r="S134" s="11"><f>IF(1=1,0,$B$57)</f><v /></c><c r="T134" s="11"><f>-($B$57+(IF(1&lt;=$B$49,$B$56*$B$58+$B$55,IF(1&lt;=$B$49+$B$50,$B$56*$B$58,$B$56)))/R134)</f><v /></c><c r="U134" s="11"><f>IF(1=$B$49+$B$50,0,IF(1&gt;$B$49+$B$50,$B$56/R135,IF(1&gt;=$B$49,$B$56*$B$58/R135,($B$56*$B$58+$B$55)/R135)))</f><v /></c><c r="V134" s="11"><f>IF(1=$B$49,-$K$52*$B$55,0)</f><v /></c><c r="W134" s="11"><f>U134/T134</f><v /></c><c r="X134" s="11"><f>V134/T134</f><v /></c><c r="Y134" s="15"><f>X134-W134*Y135</f><v /></c><c r="Z134" s="11"><f>IF(1&gt;$B$49+$B$50,$G$53*$B$54^$H$53,$E$53*$B$52^$F$53)</f><v /></c><c r="AA134" s="11"><f>IF(1=1,0,$B$57)</f><v /></c><c r="AB134" s="11"><f>-($B$57+(IF(1&lt;=$B$49,$B$56*$B$58+$B$55,IF(1&lt;=$B$49+$B$50,$B$56*$B$58,$B$56)))/Z134)</f><v /></c><c r="AC134" s="11"><f>IF(1=$B$49+$B$50,0,IF(1&gt;$B$49+$B$50,$B$56/Z135,IF(1&gt;=$B$49,$B$56*$B$58/Z135,($B$56*$B$58+$B$55)/Z135)))</f><v /></c><c r="AD134" s="11"><f>IF(1=$B$49,-$K$53*$B$55,0)</f><v /></c><c r="AE134" s="11"><f>AC134/AB134</f><v /></c><c r="AF134" s="11"><f>AD134/AB134</f><v /></c><c r="AG134" s="15"><f>AF134-AE134*AG135</f><v /></c><c r="AH134" s="11"><f>IF(1&gt;$B$49+$B$50,$G$54*$B$54^$H$54,$E$54*$B$52^$F$54)</f><v /></c><c r="AI134" s="11"><f>IF(1=1,0,$B$57)</f><v /></c><c r="AJ134" s="11"><f>-($B$57+(IF(1&lt;=$B$49,$B$56*$B$58+$B$55,IF(1&lt;=$B$49+$B$50,$B$56*$B$58,$B$56)))/AH134)</f><v /></c><c r="AK134" s="11"><f>IF(1=$B$49+$B$50,0,IF(1&gt;$B$49+$B$50,$B$56/AH135,IF(1&gt;=$B$49,$B$56*$B$58/AH135,($B$56*$B$58+$B$55)/AH135)))</f><v /></c><c r="AL134" s="11"><f>IF(1=$B$49,-$K$54*$B$55,0)</f><v /></c><c r="AM134" s="11"><f>AK134/AJ134</f><v /></c><c r="AN134" s="11"><f>AL134/AJ134</f><v /></c><c r="AO134" s="15"><f>AN134-AM134*AO135</f><v /></c><c r="AP134" s="11"><f>IF(1&gt;$B$49+$B$50,$G$55*$B$54^$H$55,$E$55*$B$52^$F$55)</f><v /></c><c r="AQ134" s="11"><f>IF(1=1,0,$B$57)</f><v /></c><c r="AR134" s="11"><f>-($B$57+(IF(1&lt;=$B$49,$B$56*$B$58+$B$55,IF(1&lt;=$B$49+$B$50,$B$56*$B$58,$B$56)))/AP134)</f><v /></c><c r="AS134" s="11"><f>IF(1=$B$49+$B$50,0,IF(1&gt;$B$49+$B$50,$B$56/AP135,IF(1&gt;=$B$49,$B$56*$B$58/AP135,($B$56*$B$58+$B$55)/AP135)))</f><v /></c><c r="AT134" s="11"><f>IF(1=$B$49,-$K$55*$B$55,0)</f><v /></c><c r="AU134" s="11"><f>AS134/AR134</f><v /></c><c r="AV134" s="11"><f>AT134/AR134</f><v /></c><c r="AW134" s="15"><f>AV134-AU134*AW135</f><v /></c><c r="AX134" s="11"><f>IF(1&gt;$B$49+$B$50,$G$56*$B$54^$H$56,$E$56*$B$52^$F$56)</f><v /></c><c r="AY134" s="11"><f>IF(1=1,0,$B$57)</f><v /></c><c r="AZ134" s="11"><f>-($B$57+(IF(1&lt;=$B$49,$B$56*$B$58+$B$55,IF(1&lt;=$B$49+$B$50,$B$56*$B$58,$B$56)))/AX134)</f><v /></c><c r="BA134" s="11"><f>IF(1=$B$49+$B$50,0,IF(1&gt;$B$49+$B$50,$B$56/AX135,IF(1&gt;=$B$49,$B$56*$B$58/AX135,($B$56*$B$58+$B$55)/AX135)))</f><v /></c><c r="BB134" s="11"><f>IF(1=$B$49,-$K$56*$B$55,0)</f><v /></c><c r="BC134" s="11"><f>BA134/AZ134</f><v /></c><c r="BD134" s="11"><f>BB134/AZ134</f><v /></c><c r="BE134" s="15"><f>BD134-BC134*BE135</f><v /></c><c r="BF134" s="11"><f>IF(1&gt;$B$49+$B$50,$G$57*$B$54^$H$57,$E$57*$B$52^$F$57)</f><v /></c><c r="BG134" s="11"><f>IF(1=1,0,$B$57)</f><v /></c><c r="BH134" s="11"><f>-($B$57+(IF(1&lt;=$B$49,$B$56*$B$58+$B$55,IF(1&lt;=$B$49+$B$50,$B$56*$B$58,$B$56)))/BF134)</f><v /></c><c r="BI134" s="11"><f>IF(1=$B$49+$B$50,0,IF(1&gt;$B$49+$B$50,$B$56/BF135,IF(1&gt;=$B$49,$B$56*$B$58/BF135,($B$56*$B$58+$B$55)/BF135)))</f><v /></c><c r="BJ134" s="11"><f>IF(1=$B$49,-$K$57*$B$55,0)</f><v /></c><c r="BK134" s="11"><f>BI134/BH134</f><v /></c><c r="BL134" s="11"><f>BJ134/BH134</f><v /></c><c r="BM134" s="15"><f>BL134-BK134*BM135</f><v /></c><c r="BN134" s="11"><f>IF(1&gt;$B$49+$B$50,$G$58*$B$54^$H$58,$E$58*$B$52^$F$58)</f><v /></c><c r="BO134" s="11"><f>IF(1=1,0,$B$57)</f><v /></c><c r="BP134" s="11"><f>-($B$57+(IF(1&lt;=$B$49,$B$56*$B$58+$B$55,IF(1&lt;=$B$49+$B$50,$B$56*$B$58,$B$56)))/BN134)</f><v /></c><c r="BQ134" s="11"><f>IF(1=$B$49+$B$50,0,IF(1&gt;$B$49+$B$50,$B$56/BN135,IF(1&gt;=$B$49,$B$56*$B$58/BN135,($B$56*$B$58+$B$55)/BN135)))</f><v /></c><c r="BR134" s="11"><f>IF(1=$B$49,-$K$58*$B$55,0)</f><v /></c><c r="BS134" s="11"><f>BQ134/BP134</f><v /></c><c r="BT134" s="11"><f>BR134/BP134</f><v /></c><c r="BU134" s="15"><f>BT134-BS134*BU135</f><v /></c><c r="BV134" s="11"><f>IF(1&gt;$B$49+$B$50,$G$59*$B$54^$H$59,$E$59*$B$52^$F$59)</f><v /></c><c r="BW134" s="11"><f>IF(1=1,0,$B$57)</f><v /></c><c r="BX134" s="11"><f>-($B$57+(IF(1&lt;=$B$49,$B$56*$B$58+$B$55,IF(1&lt;=$B$49+$B$50,$B$56*$B$58,$B$56)))/BV134)</f><v /></c><c r="BY134" s="11"><f>IF(1=$B$49+$B$50,0,IF(1&gt;$B$49+$B$50,$B$56/BV135,IF(1&gt;=$B$49,$B$56*$B$58/BV135,($B$56*$B$58+$B$55)/BV135)))</f><v /></c><c r="BZ134" s="11"><f>IF(1=$B$49,-$K$59*$B$55,0)</f><v /></c><c r="CA134" s="11"><f>BY134/BX134</f><v /></c><c r="CB134" s="11"><f>BZ134/BX134</f><v /></c><c r="CC134" s="15"><f>CB134-CA134*CC135</f><v /></c><c r="CD134" s="11"><f>IF(1&gt;$B$49+$B$50,$G$60*$B$54^$H$60,$E$60*$B$52^$F$60)</f><v /></c><c r="CE134" s="11"><f>IF(1=1,0,$B$57)</f><v /></c><c r="CF134" s="11"><f>-($B$57+(IF(1&lt;=$B$49,$B$56*$B$58+$B$55,IF(1&lt;=$B$49+$B$50,$B$56*$B$58,$B$56)))/CD134)</f><v /></c><c r="CG134" s="11"><f>IF(1=$B$49+$B$50,0,IF(1&gt;$B$49+$B$50,$B$56/CD135,IF(1&gt;=$B$49,$B$56*$B$58/CD135,($B$56*$B$58+$B$55)/CD135)))</f><v /></c><c r="CH134" s="11"><f>IF(1=$B$49,-$K$60*$B$55,0)</f><v /></c><c r="CI134" s="11"><f>CG134/CF134</f><v /></c><c r="CJ134" s="11"><f>CH134/CF134</f><v /></c><c r="CK134" s="15"><f>CJ134-CI134*CK135</f><v /></c><c r="CL134" s="11"><f>IF(1&gt;$B$49+$B$50,$G$61*$B$54^$H$61,$E$61*$B$52^$F$61)</f><v /></c><c r="CM134" s="11"><f>IF(1=1,0,$B$57)</f><v /></c><c r="CN134" s="11"><f>-($B$57+(IF(1&lt;=$B$49,$B$56*$B$58+$B$55,IF(1&lt;=$B$49+$B$50,$B$56*$B$58,$B$56)))/CL134)</f><v /></c><c r="CO134" s="11"><f>IF(1=$B$49+$B$50,0,IF(1&gt;$B$49+$B$50,$B$56/CL135,IF(1&gt;=$B$49,$B$56*$B$58/CL135,($B$56*$B$58+$B$55)/CL135)))</f><v /></c><c r="CP134" s="11"><f>IF(1=$B$49,-$K$61*$B$55,0)</f><v /></c><c r="CQ134" s="11"><f>CO134/CN134</f><v /></c><c r="CR134" s="11"><f>CP134/CN134</f><v /></c><c r="CS134" s="15"><f>CR134-CQ134*CS135</f><v /></c><c r="CT134" s="11"><f>IF(1&gt;$B$49+$B$50,$G$62*$B$54^$H$62,$E$62*$B$52^$F$62)</f><v /></c><c r="CU134" s="11"><f>IF(1=1,0,$B$57)</f><v /></c><c r="CV134" s="11"><f>-($B$57+(IF(1&lt;=$B$49,$B$56*$B$58+$B$55,IF(1&lt;=$B$49+$B$50,$B$56*$B$58,$B$56)))/CT134)</f><v /></c><c r="CW134" s="11"><f>IF(1=$B$49+$B$50,0,IF(1&gt;$B$49+$B$50,$B$56/CT135,IF(1&gt;=$B$49,$B$56*$B$58/CT135,($B$56*$B$58+$B$55)/CT135)))</f><v /></c><c r="CX134" s="11"><f>IF(1=$B$49,-$K$62*$B$55,0)</f><v /></c><c r="CY134" s="11"><f>CW134/CV134</f><v /></c><c r="CZ134" s="11"><f>CX134/CV134</f><v /></c><c r="DA134" s="15"><f>CZ134-CY134*DA135</f><v /></c><c r="DB134" s="11"><f>IF(1&gt;$B$49+$B$50,$G$63*$B$54^$H$63,$E$63*$B$52^$F$63)</f><v /></c><c r="DC134" s="11"><f>IF(1=1,0,$B$57)</f><v /></c><c r="DD134" s="11"><f>-($B$57+(IF(1&lt;=$B$49,$B$56*$B$58+$B$55,IF(1&lt;=$B$49+$B$50,$B$56*$B$58,$B$56)))/DB134)</f><v /></c><c r="DE134" s="11"><f>IF(1=$B$49+$B$50,0,IF(1&gt;$B$49+$B$50,$B$56/DB135,IF(1&gt;=$B$49,$B$56*$B$58/DB135,($B$56*$B$58+$B$55)/DB135)))</f><v /></c><c r="DF134" s="11"><f>IF(1=$B$49,-$K$63*$B$55,0)</f><v /></c><c r="DG134" s="11"><f>DE134/DD134</f><v /></c><c r="DH134" s="11"><f>DF134/DD134</f><v /></c><c r="DI134" s="15"><f>DH134-DG134*DI135</f><v /></c><c r="DJ134" s="11"><f>IF(1&gt;$B$49+$B$50,$G$64*$B$54^$H$64,$E$64*$B$52^$F$64)</f><v /></c><c r="DK134" s="11"><f>IF(1=1,0,$B$57)</f><v /></c><c r="DL134" s="11"><f>-($B$57+(IF(1&lt;=$B$49,$B$56*$B$58+$B$55,IF(1&lt;=$B$49+$B$50,$B$56*$B$58,$B$56)))/DJ134)</f><v /></c><c r="DM134" s="11"><f>IF(1=$B$49+$B$50,0,IF(1&gt;$B$49+$B$50,$B$56/DJ135,IF(1&gt;=$B$49,$B$56*$B$58/DJ135,($B$56*$B$58+$B$55)/DJ135)))</f><v /></c><c r="DN134" s="11"><f>IF(1=$B$49,-$K$64*$B$55,0)</f><v /></c><c r="DO134" s="11"><f>DM134/DL134</f><v /></c><c r="DP134" s="11"><f>DN134/DL134</f><v /></c><c r="DQ134" s="15"><f>DP134-DO134*DQ135</f><v /></c><c r="DR134" s="11"><f>IF(1&gt;$B$49+$B$50,$G$65*$B$54^$H$65,$E$65*$B$52^$F$65)</f><v /></c><c r="DS134" s="11"><f>IF(1=1,0,$B$57)</f><v /></c><c r="DT134" s="11"><f>-($B$57+(IF(1&lt;=$B$49,$B$56*$B$58+$B$55,IF(1&lt;=$B$49+$B$50,$B$56*$B$58,$B$56)))/DR134)</f><v /></c><c r="DU134" s="11"><f>IF(1=$B$49+$B$50,0,IF(1&gt;$B$49+$B$50,$B$56/DR135,IF(1&gt;=$B$49,$B$56*$B$58/DR135,($B$56*$B$58+$B$55)/DR135)))</f><v /></c><c r="DV134" s="11"><f>IF(1=$B$49,-$K$65*$B$55,0)</f><v /></c><c r="DW134" s="11"><f>DU134/DT134</f><v /></c><c r="DX134" s="11"><f>DV134/DT134</f><v /></c><c r="DY134" s="15"><f>DX134-DW134*DY135</f><v /></c><c r="DZ134" s="11"><f>IF(1&gt;$B$49+$B$50,$G$66*$B$54^$H$66,$E$66*$B$52^$F$66)</f><v /></c><c r="EA134" s="11"><f>IF(1=1,0,$B$57)</f><v /></c><c r="EB134" s="11"><f>-($B$57+(IF(1&lt;=$B$49,$B$56*$B$58+$B$55,IF(1&lt;=$B$49+$B$50,$B$56*$B$58,$B$56)))/DZ134)</f><v /></c><c r="EC134" s="11"><f>IF(1=$B$49+$B$50,0,IF(1&gt;$B$49+$B$50,$B$56/DZ135,IF(1&gt;=$B$49,$B$56*$B$58/DZ135,($B$56*$B$58+$B$55)/DZ135)))</f><v /></c><c r="ED134" s="11"><f>IF(1=$B$49,-$K$66*$B$55,0)</f><v /></c><c r="EE134" s="11"><f>EC134/EB134</f><v /></c><c r="EF134" s="11"><f>ED134/EB134</f><v /></c><c r="EG134" s="15"><f>EF134-EE134*EG135</f><v /></c><c r="EH134" s="11"><f>IF(1&gt;$B$49+$B$50,$G$67*$B$54^$H$67,$E$67*$B$52^$F$67)</f><v /></c><c r="EI134" s="11"><f>IF(1=1,0,$B$57)</f><v /></c><c r="EJ134" s="11"><f>-($B$57+(IF(1&lt;=$B$49,$B$56*$B$58+$B$55,IF(1&lt;=$B$49+$B$50,$B$56*$B$58,$B$56)))/EH134)</f><v /></c><c r="EK134" s="11"><f>IF(1=$B$49+$B$50,0,IF(1&gt;$B$49+$B$50,$B$56/EH135,IF(1&gt;=$B$49,$B$56*$B$58/EH135,($B$56*$B$58+$B$55)/EH135)))</f><v /></c><c r="EL134" s="11"><f>IF(1=$B$49,-$K$67*$B$55,0)</f><v /></c><c r="EM134" s="11"><f>EK134/EJ134</f><v /></c><c r="EN134" s="11"><f>EL134/EJ134</f><v /></c><c r="EO134" s="15"><f>EN134-EM134*EO135</f><v /></c><c r="EP134" s="11"><f>IF(1&gt;$B$49+$B$50,$G$68*$B$54^$H$68,$E$68*$B$52^$F$68)</f><v /></c><c r="EQ134" s="11"><f>IF(1=1,0,$B$57)</f><v /></c><c r="ER134" s="11"><f>-($B$57+(IF(1&lt;=$B$49,$B$56*$B$58+$B$55,IF(1&lt;=$B$49+$B$50,$B$56*$B$58,$B$56)))/EP134)</f><v /></c><c r="ES134" s="11"><f>IF(1=$B$49+$B$50,0,IF(1&gt;$B$49+$B$50,$B$56/EP135,IF(1&gt;=$B$49,$B$56*$B$58/EP135,($B$56*$B$58+$B$55)/EP135)))</f><v /></c><c r="ET134" s="11"><f>IF(1=$B$49,-$K$68*$B$55,0)</f><v /></c><c r="EU134" s="11"><f>ES134/ER134</f><v /></c><c r="EV134" s="11"><f>ET134/ER134</f><v /></c><c r="EW134" s="15"><f>EV134-EU134*EW135</f><v /></c><c r="EX134" s="11"><f>IF(1&gt;$B$49+$B$50,$G$69*$B$54^$H$69,$E$69*$B$52^$F$69)</f><v /></c><c r="EY134" s="11"><f>IF(1=1,0,$B$57)</f><v /></c><c r="EZ134" s="11"><f>-($B$57+(IF(1&lt;=$B$49,$B$56*$B$58+$B$55,IF(1&lt;=$B$49+$B$50,$B$56*$B$58,$B$56)))/EX134)</f><v /></c><c r="FA134" s="11"><f>IF(1=$B$49+$B$50,0,IF(1&gt;$B$49+$B$50,$B$56/EX135,IF(1&gt;=$B$49,$B$56*$B$58/EX135,($B$56*$B$58+$B$55)/EX135)))</f><v /></c><c r="FB134" s="11"><f>IF(1=$B$49,-$K$69*$B$55,0)</f><v /></c><c r="FC134" s="11"><f>FA134/EZ134</f><v /></c><c r="FD134" s="11"><f>FB134/EZ134</f><v /></c><c r="FE134" s="15"><f>FD134-FC134*FE135</f><v /></c><c r="FF134" s="11"><f>IF(1&gt;$B$49+$B$50,$G$70*$B$54^$H$70,$E$70*$B$52^$F$70)</f><v /></c><c r="FG134" s="11"><f>IF(1=1,0,$B$57)</f><v /></c><c r="FH134" s="11"><f>-($B$57+(IF(1&lt;=$B$49,$B$56*$B$58+$B$55,IF(1&lt;=$B$49+$B$50,$B$56*$B$58,$B$56)))/FF134)</f><v /></c><c r="FI134" s="11"><f>IF(1=$B$49+$B$50,0,IF(1&gt;$B$49+$B$50,$B$56/FF135,IF(1&gt;=$B$49,$B$56*$B$58/FF135,($B$56*$B$58+$B$55)/FF135)))</f><v /></c><c r="FJ134" s="11"><f>IF(1=$B$49,-$K$70*$B$55,0)</f><v /></c><c r="FK134" s="11"><f>FI134/FH134</f><v /></c><c r="FL134" s="11"><f>FJ134/FH134</f><v /></c><c r="FM134" s="15"><f>FL134-FK134*FM135</f><v /></c><c r="FN134" s="11"><f>IF(1&gt;$B$49+$B$50,$G$71*$B$54^$H$71,$E$71*$B$52^$F$71)</f><v /></c><c r="FO134" s="11"><f>IF(1=1,0,$B$57)</f><v /></c><c r="FP134" s="11"><f>-($B$57+(IF(1&lt;=$B$49,$B$56*$B$58+$B$55,IF(1&lt;=$B$49+$B$50,$B$56*$B$58,$B$56)))/FN134)</f><v /></c><c r="FQ134" s="11"><f>IF(1=$B$49+$B$50,0,IF(1&gt;$B$49+$B$50,$B$56/FN135,IF(1&gt;=$B$49,$B$56*$B$58/FN135,($B$56*$B$58+$B$55)/FN135)))</f><v /></c><c r="FR134" s="11"><f>IF(1=$B$49,-$K$71*$B$55,0)</f><v /></c><c r="FS134" s="11"><f>FQ134/FP134</f><v /></c><c r="FT134" s="11"><f>FR134/FP134</f><v /></c><c r="FU134" s="15"><f>FT134-FS134*FU135</f><v /></c><c r="FV134" s="11"><f>IF(1&gt;$B$49+$B$50,$G$72*$B$54^$H$72,$E$72*$B$52^$F$72)</f><v /></c><c r="FW134" s="11"><f>IF(1=1,0,$B$57)</f><v /></c><c r="FX134" s="11"><f>-($B$57+(IF(1&lt;=$B$49,$B$56*$B$58+$B$55,IF(1&lt;=$B$49+$B$50,$B$56*$B$58,$B$56)))/FV134)</f><v /></c><c r="FY134" s="11"><f>IF(1=$B$49+$B$50,0,IF(1&gt;$B$49+$B$50,$B$56/FV135,IF(1&gt;=$B$49,$B$56*$B$58/FV135,($B$56*$B$58+$B$55)/FV135)))</f><v /></c><c r="FZ134" s="11"><f>IF(1=$B$49,-$K$72*$B$55,0)</f><v /></c><c r="GA134" s="11"><f>FY134/FX134</f><v /></c><c r="GB134" s="11"><f>FZ134/FX134</f><v /></c><c r="GC134" s="15"><f>GB134-GA134*GC135</f><v /></c><c r="GD134" s="11"><f>IF(1&gt;$B$49+$B$50,$G$73*$B$54^$H$73,$E$73*$B$52^$F$73)</f><v /></c><c r="GE134" s="11"><f>IF(1=1,0,$B$57)</f><v /></c><c r="GF134" s="11"><f>-($B$57+(IF(1&lt;=$B$49,$B$56*$B$58+$B$55,IF(1&lt;=$B$49+$B$50,$B$56*$B$58,$B$56)))/GD134)</f><v /></c><c r="GG134" s="11"><f>IF(1=$B$49+$B$50,0,IF(1&gt;$B$49+$B$50,$B$56/GD135,IF(1&gt;=$B$49,$B$56*$B$58/GD135,($B$56*$B$58+$B$55)/GD135)))</f><v /></c><c r="GH134" s="11"><f>IF(1=$B$49,-$K$73*$B$55,0)</f><v /></c><c r="GI134" s="11"><f>GG134/GF134</f><v /></c><c r="GJ134" s="11"><f>GH134/GF134</f><v /></c><c r="GK134" s="15"><f>GJ134-GI134*GK135</f><v /></c><c r="GL134" s="11"><f>IF(1&gt;$B$49+$B$50,$G$74*$B$54^$H$74,$E$74*$B$52^$F$74)</f><v /></c><c r="GM134" s="11"><f>IF(1=1,0,$B$57)</f><v /></c><c r="GN134" s="11"><f>-($B$57+(IF(1&lt;=$B$49,$B$56*$B$58+$B$55,IF(1&lt;=$B$49+$B$50,$B$56*$B$58,$B$56)))/GL134)</f><v /></c><c r="GO134" s="11"><f>IF(1=$B$49+$B$50,0,IF(1&gt;$B$49+$B$50,$B$56/GL135,IF(1&gt;=$B$49,$B$56*$B$58/GL135,($B$56*$B$58+$B$55)/GL135)))</f><v /></c><c r="GP134" s="11"><f>IF(1=$B$49,-$K$74*$B$55,0)</f><v /></c><c r="GQ134" s="11"><f>GO134/GN134</f><v /></c><c r="GR134" s="11"><f>GP134/GN134</f><v /></c><c r="GS134" s="15"><f>GR134-GQ134*GS135</f><v /></c><c r="GT134" s="11"><f>IF(1&gt;$B$49+$B$50,$G$75*$B$54^$H$75,$E$75*$B$52^$F$75)</f><v /></c><c r="GU134" s="11"><f>IF(1=1,0,$B$57)</f><v /></c><c r="GV134" s="11"><f>-($B$57+(IF(1&lt;=$B$49,$B$56*$B$58+$B$55,IF(1&lt;=$B$49+$B$50,$B$56*$B$58,$B$56)))/GT134)</f><v /></c><c r="GW134" s="11"><f>IF(1=$B$49+$B$50,0,IF(1&gt;$B$49+$B$50,$B$56/GT135,IF(1&gt;=$B$49,$B$56*$B$58/GT135,($B$56*$B$58+$B$55)/GT135)))</f><v /></c><c r="GX134" s="11"><f>IF(1=$B$49,-$K$75*$B$55,0)</f><v /></c><c r="GY134" s="11"><f>GW134/GV134</f><v /></c><c r="GZ134" s="11"><f>GX134/GV134</f><v /></c><c r="HA134" s="15"><f>GZ134-GY134*HA135</f><v /></c><c r="HB134" s="13"><f>IFERROR(I134/B134,0)</f><v /></c><c r="HC134" s="13"><f>IFERROR(Q134/J134,0)</f><v /></c><c r="HD134" s="13"><f>IFERROR(Y134/R134,0)</f><v /></c><c r="HE134" s="13"><f>IFERROR(AG134/Z134,0)</f><v /></c><c r="HF134" s="13"><f>IFERROR(AO134/AH134,0)</f><v /></c><c r="HG134" s="13"><f>IFERROR(AW134/AP134,0)</f><v /></c><c r="HH134" s="13"><f>IFERROR(BE134/AX134,0)</f><v /></c><c r="HI134" s="13"><f>IFERROR(BM134/BF134,0)</f><v /></c><c r="HJ134" s="13"><f>IFERROR(BU134/BN134,0)</f><v /></c><c r="HK134" s="13"><f>IFERROR(CC134/BV134,0)</f><v /></c><c r="HL134" s="13"><f>IFERROR(CK134/CD134,0)</f><v /></c><c r="HM134" s="13"><f>IFERROR(CS134/CL134,0)</f><v /></c><c r="HN134" s="13"><f>IFERROR(DA134/CT134,0)</f><v /></c><c r="HO134" s="13"><f>IFERROR(DI134/DB134,0)</f><v /></c><c r="HP134" s="13"><f>IFERROR(DQ134/DJ134,0)</f><v /></c><c r="HQ134" s="13"><f>IFERROR(DY134/DR134,0)</f><v /></c><c r="HR134" s="13"><f>IFERROR(EG134/DZ134,0)</f><v /></c><c r="HS134" s="13"><f>IFERROR(EO134/EH134,0)</f><v /></c><c r="HT134" s="13"><f>IFERROR(EW134/EP134,0)</f><v /></c><c r="HU134" s="13"><f>IFERROR(FE134/EX134,0)</f><v /></c><c r="HV134" s="13"><f>IFERROR(FM134/FF134,0)</f><v /></c><c r="HW134" s="13"><f>IFERROR(FU134/FN134,0)</f><v /></c><c r="HX134" s="13"><f>IFERROR(GC134/FV134,0)</f><v /></c><c r="HY134" s="13"><f>IFERROR(GK134/GD134,0)</f><v /></c><c r="HZ134" s="13"><f>IFERROR(GS134/GL134,0)</f><v /></c><c r="IA134" s="13"><f>IFERROR(HA134/GT134,0)</f><v /></c><c r="IB134" s="13"><f>I134+Q134+Y134+AG134+AO134+AW134+BE134+BM134+BU134+CC134+CK134+CS134+DA134+DI134+DQ134+DY134+EG134+EO134+EW134+FE134+FM134+FU134+GC134+GK134+GS134+HA134</f><v /></c><c r="IC134" s="13"><f>HB134+HC134+HD134+HE134+HF134+HG134+HH134+HI134+HJ134+HK134+HL134+HM134+HN134+HO134+HP134+HQ134+HR134+HS134+HT134+HU134+HV134+HW134+HX134+HY134+HZ134+IA134</f><v /></c></row><row r="135" ht="14" customHeight="1"><c r="A135" s="23" t="n"><v>2</v></c><c r="B135" s="11"><f>IF(2&gt;$B$49+$B$50,$G$50*$B$54^$H$50,$E$50*$B$52^$F$50)</f><v /></c><c r="C135" s="11"><f>IF(2=1,0,$B$57)</f><v /></c><c r="D135" s="11"><f>-($B$57+(IF(2&lt;=$B$49,$B$56*$B$58+$B$55,IF(2&lt;=$B$49+$B$50,$B$56*$B$58,$B$56)))/B135)</f><v /></c><c r="E135" s="11"><f>IF(2=$B$49+$B$50,0,IF(2&gt;$B$49+$B$50,$B$56/B136,IF(2&gt;=$B$49,$B$56*$B$58/B136,($B$56*$B$58+$B$55)/B136)))</f><v /></c><c r="F135" s="11"><f>IF(2=$B$49,-$K$50*$B$55,0)</f><v /></c><c r="G135" s="11"><f>E135/(D135-C135*G134)</f><v /></c><c r="H135" s="11"><f>(F135-C135*H134)/(D135-C135*G134)</f><v /></c><c r="I135" s="15"><f>H135-G135*I136</f><v /></c><c r="J135" s="11"><f>IF(2&gt;$B$49+$B$50,$G$51*$B$54^$H$51,$E$51*$B$52^$F$51)</f><v /></c><c r="K135" s="11"><f>IF(2=1,0,$B$57)</f><v /></c><c r="L135" s="11"><f>-($B$57+(IF(2&lt;=$B$49,$B$56*$B$58+$B$55,IF(2&lt;=$B$49+$B$50,$B$56*$B$58,$B$56)))/J135)</f><v /></c><c r="M135" s="11"><f>IF(2=$B$49+$B$50,0,IF(2&gt;$B$49+$B$50,$B$56/J136,IF(2&gt;=$B$49,$B$56*$B$58/J136,($B$56*$B$58+$B$55)/J136)))</f><v /></c><c r="N135" s="11"><f>IF(2=$B$49,-$K$51*$B$55,0)</f><v /></c><c r="O135" s="11"><f>M135/(L135-K135*O134)</f><v /></c><c r="P135" s="11"><f>(N135-K135*P134)/(L135-K135*O134)</f><v /></c><c r="Q135" s="15"><f>P135-O135*Q136</f><v /></c><c r="R135" s="11"><f>IF(2&gt;$B$49+$B$50,$G$52*$B$54^$H$52,$E$52*$B$52^$F$52)</f><v /></c><c r="S135" s="11"><f>IF(2=1,0,$B$57)</f><v /></c><c r="T135" s="11"><f>-($B$57+(IF(2&lt;=$B$49,$B$56*$B$58+$B$55,IF(2&lt;=$B$49+$B$50,$B$56*$B$58,$B$56)))/R135)</f><v /></c><c r="U135" s="11"><f>IF(2=$B$49+$B$50,0,IF(2&gt;$B$49+$B$50,$B$56/R136,IF(2&gt;=$B$49,$B$56*$B$58/R136,($B$56*$B$58+$B$55)/R136)))</f><v /></c><c r="V135" s="11"><f>IF(2=$B$49,-$K$52*$B$55,0)</f><v /></c><c r="W135" s="11"><f>U135/(T135-S135*W134)</f><v /></c><c r="X135" s="11"><f>(V135-S135*X134)/(T135-S135*W134)</f><v /></c><c r="Y135" s="15"><f>X135-W135*Y136</f><v /></c><c r="Z135" s="11"><f>IF(2&gt;$B$49+$B$50,$G$53*$B$54^$H$53,$E$53*$B$52^$F$53)</f><v /></c><c r="AA135" s="11"><f>IF(2=1,0,$B$57)</f><v /></c><c r="AB135" s="11"><f>-($B$57+(IF(2&lt;=$B$49,$B$56*$B$58+$B$55,IF(2&lt;=$B$49+$B$50,$B$56*$B$58,$B$56)))/Z135)</f><v /></c><c r="AC135" s="11"><f>IF(2=$B$49+$B$50,0,IF(2&gt;$B$49+$B$50,$B$56/Z136,IF(2&gt;=$B$49,$B$56*$B$58/Z136,($B$56*$B$58+$B$55)/Z136)))</f><v /></c><c r="AD135" s="11"><f>IF(2=$B$49,-$K$53*$B$55,0)</f><v /></c><c r="AE135" s="11"><f>AC135/(AB135-AA135*AE134)</f><v /></c><c r="AF135" s="11"><f>(AD135-AA135*AF134)/(AB135-AA135*AE134)</f><v /></c><c r="AG135" s="15"><f>AF135-AE135*AG136</f><v /></c><c r="AH135" s="11"><f>IF(2&gt;$B$49+$B$50,$G$54*$B$54^$H$54,$E$54*$B$52^$F$54)</f><v /></c><c r="AI135" s="11"><f>IF(2=1,0,$B$57)</f><v /></c><c r="AJ135" s="11"><f>-($B$57+(IF(2&lt;=$B$49,$B$56*$B$58+$B$55,IF(2&lt;=$B$49+$B$50,$B$56*$B$58,$B$56)))/AH135)</f><v /></c><c r="AK135" s="11"><f>IF(2=$B$49+$B$50,0,IF(2&gt;$B$49+$B$50,$B$56/AH136,IF(2&gt;=$B$49,$B$56*$B$58/AH136,($B$56*$B$58+$B$55)/AH136)))</f><v /></c><c r="AL135" s="11"><f>IF(2=$B$49,-$K$54*$B$55,0)</f><v /></c><c r="AM135" s="11"><f>AK135/(AJ135-AI135*AM134)</f><v /></c><c r="AN135" s="11"><f>(AL135-AI135*AN134)/(AJ135-AI135*AM134)</f><v /></c><c r="AO135" s="15"><f>AN135-AM135*AO136</f><v /></c><c r="AP135" s="11"><f>IF(2&gt;$B$49+$B$50,$G$55*$B$54^$H$55,$E$55*$B$52^$F$55)</f><v /></c><c r="AQ135" s="11"><f>IF(2=1,0,$B$57)</f><v /></c><c r="AR135" s="11"><f>-($B$57+(IF(2&lt;=$B$49,$B$56*$B$58+$B$55,IF(2&lt;=$B$49+$B$50,$B$56*$B$58,$B$56)))/AP135)</f><v /></c><c r="AS135" s="11"><f>IF(2=$B$49+$B$50,0,IF(2&gt;$B$49+$B$50,$B$56/AP136,IF(2&gt;=$B$49,$B$56*$B$58/AP136,($B$56*$B$58+$B$55)/AP136)))</f><v /></c><c r="AT135" s="11"><f>IF(2=$B$49,-$K$55*$B$55,0)</f><v /></c><c r="AU135" s="11"><f>AS135/(AR135-AQ135*AU134)</f><v /></c><c r="AV135" s="11"><f>(AT135-AQ135*AV134)/(AR135-AQ135*AU134)</f><v /></c><c r="AW135" s="15"><f>AV135-AU135*AW136</f><v /></c><c r="AX135" s="11"><f>IF(2&gt;$B$49+$B$50,$G$56*$B$54^$H$56,$E$56*$B$52^$F$56)</f><v /></c><c r="AY135" s="11"><f>IF(2=1,0,$B$57)</f><v /></c><c r="AZ135" s="11"><f>-($B$57+(IF(2&lt;=$B$49,$B$56*$B$58+$B$55,IF(2&lt;=$B$49+$B$50,$B$56*$B$58,$B$56)))/AX135)</f><v /></c><c r="BA135" s="11"><f>IF(2=$B$49+$B$50,0,IF(2&gt;$B$49+$B$50,$B$56/AX136,IF(2&gt;=$B$49,$B$56*$B$58/AX136,($B$56*$B$58+$B$55)/AX136)))</f><v /></c><c r="BB135" s="11"><f>IF(2=$B$49,-$K$56*$B$55,0)</f><v /></c><c r="BC135" s="11"><f>BA135/(AZ135-AY135*BC134)</f><v /></c><c r="BD135" s="11"><f>(BB135-AY135*BD134)/(AZ135-AY135*BC134)</f><v /></c><c r="BE135" s="15"><f>BD135-BC135*BE136</f><v /></c><c r="BF135" s="11"><f>IF(2&gt;$B$49+$B$50,$G$57*$B$54^$H$57,$E$57*$B$52^$F$57)</f><v /></c><c r="BG135" s="11"><f>IF(2=1,0,$B$57)</f><v /></c><c r="BH135" s="11"><f>-($B$57+(IF(2&lt;=$B$49,$B$56*$B$58+$B$55,IF(2&lt;=$B$49+$B$50,$B$56*$B$58,$B$56)))/BF135)</f><v /></c><c r="BI135" s="11"><f>IF(2=$B$49+$B$50,0,IF(2&gt;$B$49+$B$50,$B$56/BF136,IF(2&gt;=$B$49,$B$56*$B$58/BF136,($B$56*$B$58+$B$55)/BF136)))</f><v /></c><c r="BJ135" s="11"><f>IF(2=$B$49,-$K$57*$B$55,0)</f><v /></c><c r="BK135" s="11"><f>BI135/(BH135-BG135*BK134)</f><v /></c><c r="BL135" s="11"><f>(BJ135-BG135*BL134)/(BH135-BG135*BK134)</f><v /></c><c r="BM135" s="15"><f>BL135-BK135*BM136</f><v /></c><c r="BN135" s="11"><f>IF(2&gt;$B$49+$B$50,$G$58*$B$54^$H$58,$E$58*$B$52^$F$58)</f><v /></c><c r="BO135" s="11"><f>IF(2=1,0,$B$57)</f><v /></c><c r="BP135" s="11"><f>-($B$57+(IF(2&lt;=$B$49,$B$56*$B$58+$B$55,IF(2&lt;=$B$49+$B$50,$B$56*$B$58,$B$56)))/BN135)</f><v /></c><c r="BQ135" s="11"><f>IF(2=$B$49+$B$50,0,IF(2&gt;$B$49+$B$50,$B$56/BN136,IF(2&gt;=$B$49,$B$56*$B$58/BN136,($B$56*$B$58+$B$55)/BN136)))</f><v /></c><c r="BR135" s="11"><f>IF(2=$B$49,-$K$58*$B$55,0)</f><v /></c><c r="BS135" s="11"><f>BQ135/(BP135-BO135*BS134)</f><v /></c><c r="BT135" s="11"><f>(BR135-BO135*BT134)/(BP135-BO135*BS134)</f><v /></c><c r="BU135" s="15"><f>BT135-BS135*BU136</f><v /></c><c r="BV135" s="11"><f>IF(2&gt;$B$49+$B$50,$G$59*$B$54^$H$59,$E$59*$B$52^$F$59)</f><v /></c><c r="BW135" s="11"><f>IF(2=1,0,$B$57)</f><v /></c><c r="BX135" s="11"><f>-($B$57+(IF(2&lt;=$B$49,$B$56*$B$58+$B$55,IF(2&lt;=$B$49+$B$50,$B$56*$B$58,$B$56)))/BV135)</f><v /></c><c r="BY135" s="11"><f>IF(2=$B$49+$B$50,0,IF(2&gt;$B$49+$B$50,$B$56/BV136,IF(2&gt;=$B$49,$B$56*$B$58/BV136,($B$56*$B$58+$B$55)/BV136)))</f><v /></c><c r="BZ135" s="11"><f>IF(2=$B$49,-$K$59*$B$55,0)</f><v /></c><c r="CA135" s="11"><f>BY135/(BX135-BW135*CA134)</f><v /></c><c r="CB135" s="11"><f>(BZ135-BW135*CB134)/(BX135-BW135*CA134)</f><v /></c><c r="CC135" s="15"><f>CB135-CA135*CC136</f><v /></c><c r="CD135" s="11"><f>IF(2&gt;$B$49+$B$50,$G$60*$B$54^$H$60,$E$60*$B$52^$F$60)</f><v /></c><c r="CE135" s="11"><f>IF(2=1,0,$B$57)</f><v /></c><c r="CF135" s="11"><f>-($B$57+(IF(2&lt;=$B$49,$B$56*$B$58+$B$55,IF(2&lt;=$B$49+$B$50,$B$56*$B$58,$B$56)))/CD135)</f><v /></c><c r="CG135" s="11"><f>IF(2=$B$49+$B$50,0,IF(2&gt;$B$49+$B$50,$B$56/CD136,IF(2&gt;=$B$49,$B$56*$B$58/CD136,($B$56*$B$58+$B$55)/CD136)))</f><v /></c><c r="CH135" s="11"><f>IF(2=$B$49,-$K$60*$B$55,0)</f><v /></c><c r="CI135" s="11"><f>CG135/(CF135-CE135*CI134)</f><v /></c><c r="CJ135" s="11"><f>(CH135-CE135*CJ134)/(CF135-CE135*CI134)</f><v /></c><c r="CK135" s="15"><f>CJ135-CI135*CK136</f><v /></c><c r="CL135" s="11"><f>IF(2&gt;$B$49+$B$50,$G$61*$B$54^$H$61,$E$61*$B$52^$F$61)</f><v /></c><c r="CM135" s="11"><f>IF(2=1,0,$B$57)</f><v /></c><c r="CN135" s="11"><f>-($B$57+(IF(2&lt;=$B$49,$B$56*$B$58+$B$55,IF(2&lt;=$B$49+$B$50,$B$56*$B$58,$B$56)))/CL135)</f><v /></c><c r="CO135" s="11"><f>IF(2=$B$49+$B$50,0,IF(2&gt;$B$49+$B$50,$B$56/CL136,IF(2&gt;=$B$49,$B$56*$B$58/CL136,($B$56*$B$58+$B$55)/CL136)))</f><v /></c><c r="CP135" s="11"><f>IF(2=$B$49,-$K$61*$B$55,0)</f><v /></c><c r="CQ135" s="11"><f>CO135/(CN135-CM135*CQ134)</f><v /></c><c r="CR135" s="11"><f>(CP135-CM135*CR134)/(CN135-CM135*CQ134)</f><v /></c><c r="CS135" s="15"><f>CR135-CQ135*CS136</f><v /></c><c r="CT135" s="11"><f>IF(2&gt;$B$49+$B$50,$G$62*$B$54^$H$62,$E$62*$B$52^$F$62)</f><v /></c><c r="CU135" s="11"><f>IF(2=1,0,$B$57)</f><v /></c><c r="CV135" s="11"><f>-($B$57+(IF(2&lt;=$B$49,$B$56*$B$58+$B$55,IF(2&lt;=$B$49+$B$50,$B$56*$B$58,$B$56)))/CT135)</f><v /></c><c r="CW135" s="11"><f>IF(2=$B$49+$B$50,0,IF(2&gt;$B$49+$B$50,$B$56/CT136,IF(2&gt;=$B$49,$B$56*$B$58/CT136,($B$56*$B$58+$B$55)/CT136)))</f><v /></c><c r="CX135" s="11"><f>IF(2=$B$49,-$K$62*$B$55,0)</f><v /></c><c r="CY135" s="11"><f>CW135/(CV135-CU135*CY134)</f><v /></c><c r="CZ135" s="11"><f>(CX135-CU135*CZ134)/(CV135-CU135*CY134)</f><v /></c><c r="DA135" s="15"><f>CZ135-CY135*DA136</f><v /></c><c r="DB135" s="11"><f>IF(2&gt;$B$49+$B$50,$G$63*$B$54^$H$63,$E$63*$B$52^$F$63)</f><v /></c><c r="DC135" s="11"><f>IF(2=1,0,$B$57)</f><v /></c><c r="DD135" s="11"><f>-($B$57+(IF(2&lt;=$B$49,$B$56*$B$58+$B$55,IF(2&lt;=$B$49+$B$50,$B$56*$B$58,$B$56)))/DB135)</f><v /></c><c r="DE135" s="11"><f>IF(2=$B$49+$B$50,0,IF(2&gt;$B$49+$B$50,$B$56/DB136,IF(2&gt;=$B$49,$B$56*$B$58/DB136,($B$56*$B$58+$B$55)/DB136)))</f><v /></c><c r="DF135" s="11"><f>IF(2=$B$49,-$K$63*$B$55,0)</f><v /></c><c r="DG135" s="11"><f>DE135/(DD135-DC135*DG134)</f><v /></c><c r="DH135" s="11"><f>(DF135-DC135*DH134)/(DD135-DC135*DG134)</f><v /></c><c r="DI135" s="15"><f>DH135-DG135*DI136</f><v /></c><c r="DJ135" s="11"><f>IF(2&gt;$B$49+$B$50,$G$64*$B$54^$H$64,$E$64*$B$52^$F$64)</f><v /></c><c r="DK135" s="11"><f>IF(2=1,0,$B$57)</f><v /></c><c r="DL135" s="11"><f>-($B$57+(IF(2&lt;=$B$49,$B$56*$B$58+$B$55,IF(2&lt;=$B$49+$B$50,$B$56*$B$58,$B$56)))/DJ135)</f><v /></c><c r="DM135" s="11"><f>IF(2=$B$49+$B$50,0,IF(2&gt;$B$49+$B$50,$B$56/DJ136,IF(2&gt;=$B$49,$B$56*$B$58/DJ136,($B$56*$B$58+$B$55)/DJ136)))</f><v /></c><c r="DN135" s="11"><f>IF(2=$B$49,-$K$64*$B$55,0)</f><v /></c><c r="DO135" s="11"><f>DM135/(DL135-DK135*DO134)</f><v /></c><c r="DP135" s="11"><f>(DN135-DK135*DP134)/(DL135-DK135*DO134)</f><v /></c><c r="DQ135" s="15"><f>DP135-DO135*DQ136</f><v /></c><c r="DR135" s="11"><f>IF(2&gt;$B$49+$B$50,$G$65*$B$54^$H$65,$E$65*$B$52^$F$65)</f><v /></c><c r="DS135" s="11"><f>IF(2=1,0,$B$57)</f><v /></c><c r="DT135" s="11"><f>-($B$57+(IF(2&lt;=$B$49,$B$56*$B$58+$B$55,IF(2&lt;=$B$49+$B$50,$B$56*$B$58,$B$56)))/DR135)</f><v /></c><c r="DU135" s="11"><f>IF(2=$B$49+$B$50,0,IF(2&gt;$B$49+$B$50,$B$56/DR136,IF(2&gt;=$B$49,$B$56*$B$58/DR136,($B$56*$B$58+$B$55)/DR136)))</f><v /></c><c r="DV135" s="11"><f>IF(2=$B$49,-$K$65*$B$55,0)</f><v /></c><c r="DW135" s="11"><f>DU135/(DT135-DS135*DW134)</f><v /></c><c r="DX135" s="11"><f>(DV135-DS135*DX134)/(DT135-DS135*DW134)</f><v /></c><c r="DY135" s="15"><f>DX135-DW135*DY136</f><v /></c><c r="DZ135" s="11"><f>IF(2&gt;$B$49+$B$50,$G$66*$B$54^$H$66,$E$66*$B$52^$F$66)</f><v /></c><c r="EA135" s="11"><f>IF(2=1,0,$B$57)</f><v /></c><c r="EB135" s="11"><f>-($B$57+(IF(2&lt;=$B$49,$B$56*$B$58+$B$55,IF(2&lt;=$B$49+$B$50,$B$56*$B$58,$B$56)))/DZ135)</f><v /></c><c r="EC135" s="11"><f>IF(2=$B$49+$B$50,0,IF(2&gt;$B$49+$B$50,$B$56/DZ136,IF(2&gt;=$B$49,$B$56*$B$58/DZ136,($B$56*$B$58+$B$55)/DZ136)))</f><v /></c><c r="ED135" s="11"><f>IF(2=$B$49,-$K$66*$B$55,0)</f><v /></c><c r="EE135" s="11"><f>EC135/(EB135-EA135*EE134)</f><v /></c><c r="EF135" s="11"><f>(ED135-EA135*EF134)/(EB135-EA135*EE134)</f><v /></c><c r="EG135" s="15"><f>EF135-EE135*EG136</f><v /></c><c r="EH135" s="11"><f>IF(2&gt;$B$49+$B$50,$G$67*$B$54^$H$67,$E$67*$B$52^$F$67)</f><v /></c><c r="EI135" s="11"><f>IF(2=1,0,$B$57)</f><v /></c><c r="EJ135" s="11"><f>-($B$57+(IF(2&lt;=$B$49,$B$56*$B$58+$B$55,IF(2&lt;=$B$49+$B$50,$B$56*$B$58,$B$56)))/EH135)</f><v /></c><c r="EK135" s="11"><f>IF(2=$B$49+$B$50,0,IF(2&gt;$B$49+$B$50,$B$56/EH136,IF(2&gt;=$B$49,$B$56*$B$58/EH136,($B$56*$B$58+$B$55)/EH136)))</f><v /></c><c r="EL135" s="11"><f>IF(2=$B$49,-$K$67*$B$55,0)</f><v /></c><c r="EM135" s="11"><f>EK135/(EJ135-EI135*EM134)</f><v /></c><c r="EN135" s="11"><f>(EL135-EI135*EN134)/(EJ135-EI135*EM134)</f><v /></c><c r="EO135" s="15"><f>EN135-EM135*EO136</f><v /></c><c r="EP135" s="11"><f>IF(2&gt;$B$49+$B$50,$G$68*$B$54^$H$68,$E$68*$B$52^$F$68)</f><v /></c><c r="EQ135" s="11"><f>IF(2=1,0,$B$57)</f><v /></c><c r="ER135" s="11"><f>-($B$57+(IF(2&lt;=$B$49,$B$56*$B$58+$B$55,IF(2&lt;=$B$49+$B$50,$B$56*$B$58,$B$56)))/EP135)</f><v /></c><c r="ES135" s="11"><f>IF(2=$B$49+$B$50,0,IF(2&gt;$B$49+$B$50,$B$56/EP136,IF(2&gt;=$B$49,$B$56*$B$58/EP136,($B$56*$B$58+$B$55)/EP136)))</f><v /></c><c r="ET135" s="11"><f>IF(2=$B$49,-$K$68*$B$55,0)</f><v /></c><c r="EU135" s="11"><f>ES135/(ER135-EQ135*EU134)</f><v /></c><c r="EV135" s="11"><f>(ET135-EQ135*EV134)/(ER135-EQ135*EU134)</f><v /></c><c r="EW135" s="15"><f>EV135-EU135*EW136</f><v /></c><c r="EX135" s="11"><f>IF(2&gt;$B$49+$B$50,$G$69*$B$54^$H$69,$E$69*$B$52^$F$69)</f><v /></c><c r="EY135" s="11"><f>IF(2=1,0,$B$57)</f><v /></c><c r="EZ135" s="11"><f>-($B$57+(IF(2&lt;=$B$49,$B$56*$B$58+$B$55,IF(2&lt;=$B$49+$B$50,$B$56*$B$58,$B$56)))/EX135)</f><v /></c><c r="FA135" s="11"><f>IF(2=$B$49+$B$50,0,IF(2&gt;$B$49+$B$50,$B$56/EX136,IF(2&gt;=$B$49,$B$56*$B$58/EX136,($B$56*$B$58+$B$55)/EX136)))</f><v /></c><c r="FB135" s="11"><f>IF(2=$B$49,-$K$69*$B$55,0)</f><v /></c><c r="FC135" s="11"><f>FA135/(EZ135-EY135*FC134)</f><v /></c><c r="FD135" s="11"><f>(FB135-EY135*FD134)/(EZ135-EY135*FC134)</f><v /></c><c r="FE135" s="15"><f>FD135-FC135*FE136</f><v /></c><c r="FF135" s="11"><f>IF(2&gt;$B$49+$B$50,$G$70*$B$54^$H$70,$E$70*$B$52^$F$70)</f><v /></c><c r="FG135" s="11"><f>IF(2=1,0,$B$57)</f><v /></c><c r="FH135" s="11"><f>-($B$57+(IF(2&lt;=$B$49,$B$56*$B$58+$B$55,IF(2&lt;=$B$49+$B$50,$B$56*$B$58,$B$56)))/FF135)</f><v /></c><c r="FI135" s="11"><f>IF(2=$B$49+$B$50,0,IF(2&gt;$B$49+$B$50,$B$56/FF136,IF(2&gt;=$B$49,$B$56*$B$58/FF136,($B$56*$B$58+$B$55)/FF136)))</f><v /></c><c r="FJ135" s="11"><f>IF(2=$B$49,-$K$70*$B$55,0)</f><v /></c><c r="FK135" s="11"><f>FI135/(FH135-FG135*FK134)</f><v /></c><c r="FL135" s="11"><f>(FJ135-FG135*FL134)/(FH135-FG135*FK134)</f><v /></c><c r="FM135" s="15"><f>FL135-FK135*FM136</f><v /></c><c r="FN135" s="11"><f>IF(2&gt;$B$49+$B$50,$G$71*$B$54^$H$71,$E$71*$B$52^$F$71)</f><v /></c><c r="FO135" s="11"><f>IF(2=1,0,$B$57)</f><v /></c><c r="FP135" s="11"><f>-($B$57+(IF(2&lt;=$B$49,$B$56*$B$58+$B$55,IF(2&lt;=$B$49+$B$50,$B$56*$B$58,$B$56)))/FN135)</f><v /></c><c r="FQ135" s="11"><f>IF(2=$B$49+$B$50,0,IF(2&gt;$B$49+$B$50,$B$56/FN136,IF(2&gt;=$B$49,$B$56*$B$58/FN136,($B$56*$B$58+$B$55)/FN136)))</f><v /></c><c r="FR135" s="11"><f>IF(2=$B$49,-$K$71*$B$55,0)</f><v /></c><c r="FS135" s="11"><f>FQ135/(FP135-FO135*FS134)</f><v /></c><c r="FT135" s="11"><f>(FR135-FO135*FT134)/(FP135-FO135*FS134)</f><v /></c><c r="FU135" s="15"><f>FT135-FS135*FU136</f><v /></c><c r="FV135" s="11"><f>IF(2&gt;$B$49+$B$50,$G$72*$B$54^$H$72,$E$72*$B$52^$F$72)</f><v /></c><c r="FW135" s="11"><f>IF(2=1,0,$B$57)</f><v /></c><c r="FX135" s="11"><f>-($B$57+(IF(2&lt;=$B$49,$B$56*$B$58+$B$55,IF(2&lt;=$B$49+$B$50,$B$56*$B$58,$B$56)))/FV135)</f><v /></c><c r="FY135" s="11"><f>IF(2=$B$49+$B$50,0,IF(2&gt;$B$49+$B$50,$B$56/FV136,IF(2&gt;=$B$49,$B$56*$B$58/FV136,($B$56*$B$58+$B$55)/FV136)))</f><v /></c><c r="FZ135" s="11"><f>IF(2=$B$49,-$K$72*$B$55,0)</f><v /></c><c r="GA135" s="11"><f>FY135/(FX135-FW135*GA134)</f><v /></c><c r="GB135" s="11"><f>(FZ135-FW135*GB134)/(FX135-FW135*GA134)</f><v /></c><c r="GC135" s="15"><f>GB135-GA135*GC136</f><v /></c><c r="GD135" s="11"><f>IF(2&gt;$B$49+$B$50,$G$73*$B$54^$H$73,$E$73*$B$52^$F$73)</f><v /></c><c r="GE135" s="11"><f>IF(2=1,0,$B$57)</f><v /></c><c r="GF135" s="11"><f>-($B$57+(IF(2&lt;=$B$49,$B$56*$B$58+$B$55,IF(2&lt;=$B$49+$B$50,$B$56*$B$58,$B$56)))/GD135)</f><v /></c><c r="GG135" s="11"><f>IF(2=$B$49+$B$50,0,IF(2&gt;$B$49+$B$50,$B$56/GD136,IF(2&gt;=$B$49,$B$56*$B$58/GD136,($B$56*$B$58+$B$55)/GD136)))</f><v /></c><c r="GH135" s="11"><f>IF(2=$B$49,-$K$73*$B$55,0)</f><v /></c><c r="GI135" s="11"><f>GG135/(GF135-GE135*GI134)</f><v /></c><c r="GJ135" s="11"><f>(GH135-GE135*GJ134)/(GF135-GE135*GI134)</f><v /></c><c r="GK135" s="15"><f>GJ135-GI135*GK136</f><v /></c><c r="GL135" s="11"><f>IF(2&gt;$B$49+$B$50,$G$74*$B$54^$H$74,$E$74*$B$52^$F$74)</f><v /></c><c r="GM135" s="11"><f>IF(2=1,0,$B$57)</f><v /></c><c r="GN135" s="11"><f>-($B$57+(IF(2&lt;=$B$49,$B$56*$B$58+$B$55,IF(2&lt;=$B$49+$B$50,$B$56*$B$58,$B$56)))/GL135)</f><v /></c><c r="GO135" s="11"><f>IF(2=$B$49+$B$50,0,IF(2&gt;$B$49+$B$50,$B$56/GL136,IF(2&gt;=$B$49,$B$56*$B$58/GL136,($B$56*$B$58+$B$55)/GL136)))</f><v /></c><c r="GP135" s="11"><f>IF(2=$B$49,-$K$74*$B$55,0)</f><v /></c><c r="GQ135" s="11"><f>GO135/(GN135-GM135*GQ134)</f><v /></c><c r="GR135" s="11"><f>(GP135-GM135*GR134)/(GN135-GM135*GQ134)</f><v /></c><c r="GS135" s="15"><f>GR135-GQ135*GS136</f><v /></c><c r="GT135" s="11"><f>IF(2&gt;$B$49+$B$50,$G$75*$B$54^$H$75,$E$75*$B$52^$F$75)</f><v /></c><c r="GU135" s="11"><f>IF(2=1,0,$B$57)</f><v /></c><c r="GV135" s="11"><f>-($B$57+(IF(2&lt;=$B$49,$B$56*$B$58+$B$55,IF(2&lt;=$B$49+$B$50,$B$56*$B$58,$B$56)))/GT135)</f><v /></c><c r="GW135" s="11"><f>IF(2=$B$49+$B$50,0,IF(2&gt;$B$49+$B$50,$B$56/GT136,IF(2&gt;=$B$49,$B$56*$B$58/GT136,($B$56*$B$58+$B$55)/GT136)))</f><v /></c><c r="GX135" s="11"><f>IF(2=$B$49,-$K$75*$B$55,0)</f><v /></c><c r="GY135" s="11"><f>GW135/(GV135-GU135*GY134)</f><v /></c><c r="GZ135" s="11"><f>(GX135-GU135*GZ134)/(GV135-GU135*GY134)</f><v /></c><c r="HA135" s="15"><f>GZ135-GY135*HA136</f><v /></c><c r="HB135" s="13"><f>IFERROR(I135/B135,0)</f><v /></c><c r="HC135" s="13"><f>IFERROR(Q135/J135,0)</f><v /></c><c r="HD135" s="13"><f>IFERROR(Y135/R135,0)</f><v /></c><c r="HE135" s="13"><f>IFERROR(AG135/Z135,0)</f><v /></c><c r="HF135" s="13"><f>IFERROR(AO135/AH135,0)</f><v /></c><c r="HG135" s="13"><f>IFERROR(AW135/AP135,0)</f><v /></c><c r="HH135" s="13"><f>IFERROR(BE135/AX135,0)</f><v /></c><c r="HI135" s="13"><f>IFERROR(BM135/BF135,0)</f><v /></c><c r="HJ135" s="13"><f>IFERROR(BU135/BN135,0)</f><v /></c><c r="HK135" s="13"><f>IFERROR(CC135/BV135,0)</f><v /></c><c r="HL135" s="13"><f>IFERROR(CK135/CD135,0)</f><v /></c><c r="HM135" s="13"><f>IFERROR(CS135/CL135,0)</f><v /></c><c r="HN135" s="13"><f>IFERROR(DA135/CT135,0)</f><v /></c><c r="HO135" s="13"><f>IFERROR(DI135/DB135,0)</f><v /></c><c r="HP135" s="13"><f>IFERROR(DQ135/DJ135,0)</f><v /></c><c r="HQ135" s="13"><f>IFERROR(DY135/DR135,0)</f><v /></c><c r="HR135" s="13"><f>IFERROR(EG135/DZ135,0)</f><v /></c><c r="HS135" s="13"><f>IFERROR(EO135/EH135,0)</f><v /></c><c r="HT135" s="13"><f>IFERROR(EW135/EP135,0)</f><v /></c><c r="HU135" s="13"><f>IFERROR(FE135/EX135,0)</f><v /></c><c r="HV135" s="13"><f>IFERROR(FM135/FF135,0)</f><v /></c><c r="HW135" s="13"><f>IFERROR(FU135/FN135,0)</f><v /></c><c r="HX135" s="13"><f>IFERROR(GC135/FV135,0)</f><v /></c><c r="HY135" s="13"><f>IFERROR(GK135/GD135,0)</f><v /></c><c r="HZ135" s="13"><f>IFERROR(GS135/GL135,0)</f><v /></c><c r="IA135" s="13"><f>IFERROR(HA135/GT135,0)</f><v /></c><c r="IB135" s="13"><f>I135+Q135+Y135+AG135+AO135+AW135+BE135+BM135+BU135+CC135+CK135+CS135+DA135+DI135+DQ135+DY135+EG135+EO135+EW135+FE135+FM135+FU135+GC135+GK135+GS135+HA135</f><v /></c><c r="IC135" s="13"><f>HB135+HC135+HD135+HE135+HF135+HG135+HH135+HI135+HJ135+HK135+HL135+HM135+HN135+HO135+HP135+HQ135+HR135+HS135+HT135+HU135+HV135+HW135+HX135+HY135+HZ135+IA135</f><v /></c></row><row r="136" ht="14" customHeight="1"><c r="A136" s="23" t="n"><v>3</v></c><c r="B136" s="11"><f>IF(3&gt;$B$49+$B$50,$G$50*$B$54^$H$50,$E$50*$B$52^$F$50)</f><v /></c><c r="C136" s="11"><f>IF(3=1,0,$B$57)</f><v /></c><c r="D136" s="11"><f>-($B$57+(IF(3&lt;=$B$49,$B$56*$B$58+$B$55,IF(3&lt;=$B$49+$B$50,$B$56*$B$58,$B$56)))/B136)</f><v /></c><c r="E136" s="11"><f>IF(3=$B$49+$B$50,0,IF(3&gt;$B$49+$B$50,$B$56/B137,IF(3&gt;=$B$49,$B$56*$B$58/B137,($B$56*$B$58+$B$55)/B137)))</f><v /></c><c r="F136" s="11"><f>IF(3=$B$49,-$K$50*$B$55,0)</f><v /></c><c r="G136" s="11"><f>E136/(D136-C136*G135)</f><v /></c><c r="H136" s="11"><f>(F136-C136*H135)/(D136-C136*G135)</f><v /></c><c r="I136" s="15"><f>H136-G136*I137</f><v /></c><c r="J136" s="11"><f>IF(3&gt;$B$49+$B$50,$G$51*$B$54^$H$51,$E$51*$B$52^$F$51)</f><v /></c><c r="K136" s="11"><f>IF(3=1,0,$B$57)</f><v /></c><c r="L136" s="11"><f>-($B$57+(IF(3&lt;=$B$49,$B$56*$B$58+$B$55,IF(3&lt;=$B$49+$B$50,$B$56*$B$58,$B$56)))/J136)</f><v /></c><c r="M136" s="11"><f>IF(3=$B$49+$B$50,0,IF(3&gt;$B$49+$B$50,$B$56/J137,IF(3&gt;=$B$49,$B$56*$B$58/J137,($B$56*$B$58+$B$55)/J137)))</f><v /></c><c r="N136" s="11"><f>IF(3=$B$49,-$K$51*$B$55,0)</f><v /></c><c r="O136" s="11"><f>M136/(L136-K136*O135)</f><v /></c><c r="P136" s="11"><f>(N136-K136*P135)/(L136-K136*O135)</f><v /></c><c r="Q136" s="15"><f>P136-O136*Q137</f><v /></c><c r="R136" s="11"><f>IF(3&gt;$B$49+$B$50,$G$52*$B$54^$H$52,$E$52*$B$52^$F$52)</f><v /></c><c r="S136" s="11"><f>IF(3=1,0,$B$57)</f><v /></c><c r="T136" s="11"><f>-($B$57+(IF(3&lt;=$B$49,$B$56*$B$58+$B$55,IF(3&lt;=$B$49+$B$50,$B$56*$B$58,$B$56)))/R136)</f><v /></c><c r="U136" s="11"><f>IF(3=$B$49+$B$50,0,IF(3&gt;$B$49+$B$50,$B$56/R137,IF(3&gt;=$B$49,$B$56*$B$58/R137,($B$56*$B$58+$B$55)/R137)))</f><v /></c><c r="V136" s="11"><f>IF(3=$B$49,-$K$52*$B$55,0)</f><v /></c><c r="W136" s="11"><f>U136/(T136-S136*W135)</f><v /></c><c r="X136" s="11"><f>(V136-S136*X135)/(T136-S136*W135)</f><v /></c><c r="Y136" s="15"><f>X136-W136*Y137</f><v /></c><c r="Z136" s="11"><f>IF(3&gt;$B$49+$B$50,$G$53*$B$54^$H$53,$E$53*$B$52^$F$53)</f><v /></c><c r="AA136" s="11"><f>IF(3=1,0,$B$57)</f><v /></c><c r="AB136" s="11"><f>-($B$57+(IF(3&lt;=$B$49,$B$56*$B$58+$B$55,IF(3&lt;=$B$49+$B$50,$B$56*$B$58,$B$56)))/Z136)</f><v /></c><c r="AC136" s="11"><f>IF(3=$B$49+$B$50,0,IF(3&gt;$B$49+$B$50,$B$56/Z137,IF(3&gt;=$B$49,$B$56*$B$58/Z137,($B$56*$B$58+$B$55)/Z137)))</f><v /></c><c r="AD136" s="11"><f>IF(3=$B$49,-$K$53*$B$55,0)</f><v /></c><c r="AE136" s="11"><f>AC136/(AB136-AA136*AE135)</f><v /></c><c r="AF136" s="11"><f>(AD136-AA136*AF135)/(AB136-AA136*AE135)</f><v /></c><c r="AG136" s="15"><f>AF136-AE136*AG137</f><v /></c><c r="AH136" s="11"><f>IF(3&gt;$B$49+$B$50,$G$54*$B$54^$H$54,$E$54*$B$52^$F$54)</f><v /></c><c r="AI136" s="11"><f>IF(3=1,0,$B$57)</f><v /></c><c r="AJ136" s="11"><f>-($B$57+(IF(3&lt;=$B$49,$B$56*$B$58+$B$55,IF(3&lt;=$B$49+$B$50,$B$56*$B$58,$B$56)))/AH136)</f><v /></c><c r="AK136" s="11"><f>IF(3=$B$49+$B$50,0,IF(3&gt;$B$49+$B$50,$B$56/AH137,IF(3&gt;=$B$49,$B$56*$B$58/AH137,($B$56*$B$58+$B$55)/AH137)))</f><v /></c><c r="AL136" s="11"><f>IF(3=$B$49,-$K$54*$B$55,0)</f><v /></c><c r="AM136" s="11"><f>AK136/(AJ136-AI136*AM135)</f><v /></c><c r="AN136" s="11"><f>(AL136-AI136*AN135)/(AJ136-AI136*AM135)</f><v /></c><c r="AO136" s="15"><f>AN136-AM136*AO137</f><v /></c><c r="AP136" s="11"><f>IF(3&gt;$B$49+$B$50,$G$55*$B$54^$H$55,$E$55*$B$52^$F$55)</f><v /></c><c r="AQ136" s="11"><f>IF(3=1,0,$B$57)</f><v /></c><c r="AR136" s="11"><f>-($B$57+(IF(3&lt;=$B$49,$B$56*$B$58+$B$55,IF(3&lt;=$B$49+$B$50,$B$56*$B$58,$B$56)))/AP136)</f><v /></c><c r="AS136" s="11"><f>IF(3=$B$49+$B$50,0,IF(3&gt;$B$49+$B$50,$B$56/AP137,IF(3&gt;=$B$49,$B$56*$B$58/AP137,($B$56*$B$58+$B$55)/AP137)))</f><v /></c><c r="AT136" s="11"><f>IF(3=$B$49,-$K$55*$B$55,0)</f><v /></c><c r="AU136" s="11"><f>AS136/(AR136-AQ136*AU135)</f><v /></c><c r="AV136" s="11"><f>(AT136-AQ136*AV135)/(AR136-AQ136*AU135)</f><v /></c><c r="AW136" s="15"><f>AV136-AU136*AW137</f><v /></c><c r="AX136" s="11"><f>IF(3&gt;$B$49+$B$50,$G$56*$B$54^$H$56,$E$56*$B$52^$F$56)</f><v /></c><c r="AY136" s="11"><f>IF(3=1,0,$B$57)</f><v /></c><c r="AZ136" s="11"><f>-($B$57+(IF(3&lt;=$B$49,$B$56*$B$58+$B$55,IF(3&lt;=$B$49+$B$50,$B$56*$B$58,$B$56)))/AX136)</f><v /></c><c r="BA136" s="11"><f>IF(3=$B$49+$B$50,0,IF(3&gt;$B$49+$B$50,$B$56/AX137,IF(3&gt;=$B$49,$B$56*$B$58/AX137,($B$56*$B$58+$B$55)/AX137)))</f><v /></c><c r="BB136" s="11"><f>IF(3=$B$49,-$K$56*$B$55,0)</f><v /></c><c r="BC136" s="11"><f>BA136/(AZ136-AY136*BC135)</f><v /></c><c r="BD136" s="11"><f>(BB136-AY136*BD135)/(AZ136-AY136*BC135)</f><v /></c><c r="BE136" s="15"><f>BD136-BC136*BE137</f><v /></c><c r="BF136" s="11"><f>IF(3&gt;$B$49+$B$50,$G$57*$B$54^$H$57,$E$57*$B$52^$F$57)</f><v /></c><c r="BG136" s="11"><f>IF(3=1,0,$B$57)</f><v /></c><c r="BH136" s="11"><f>-($B$57+(IF(3&lt;=$B$49,$B$56*$B$58+$B$55,IF(3&lt;=$B$49+$B$50,$B$56*$B$58,$B$56)))/BF136)</f><v /></c><c r="BI136" s="11"><f>IF(3=$B$49+$B$50,0,IF(3&gt;$B$49+$B$50,$B$56/BF137,IF(3&gt;=$B$49,$B$56*$B$58/BF137,($B$56*$B$58+$B$55)/BF137)))</f><v /></c><c r="BJ136" s="11"><f>IF(3=$B$49,-$K$57*$B$55,0)</f><v /></c><c r="BK136" s="11"><f>BI136/(BH136-BG136*BK135)</f><v /></c><c r="BL136" s="11"><f>(BJ136-BG136*BL135)/(BH136-BG136*BK135)</f><v /></c><c r="BM136" s="15"><f>BL136-BK136*BM137</f><v /></c><c r="BN136" s="11"><f>IF(3&gt;$B$49+$B$50,$G$58*$B$54^$H$58,$E$58*$B$52^$F$58)</f><v /></c><c r="BO136" s="11"><f>IF(3=1,0,$B$57)</f><v /></c><c r="BP136" s="11"><f>-($B$57+(IF(3&lt;=$B$49,$B$56*$B$58+$B$55,IF(3&lt;=$B$49+$B$50,$B$56*$B$58,$B$56)))/BN136)</f><v /></c><c r="BQ136" s="11"><f>IF(3=$B$49+$B$50,0,IF(3&gt;$B$49+$B$50,$B$56/BN137,IF(3&gt;=$B$49,$B$56*$B$58/BN137,($B$56*$B$58+$B$55)/BN137)))</f><v /></c><c r="BR136" s="11"><f>IF(3=$B$49,-$K$58*$B$55,0)</f><v /></c><c r="BS136" s="11"><f>BQ136/(BP136-BO136*BS135)</f><v /></c><c r="BT136" s="11"><f>(BR136-BO136*BT135)/(BP136-BO136*BS135)</f><v /></c><c r="BU136" s="15"><f>BT136-BS136*BU137</f><v /></c><c r="BV136" s="11"><f>IF(3&gt;$B$49+$B$50,$G$59*$B$54^$H$59,$E$59*$B$52^$F$59)</f><v /></c><c r="BW136" s="11"><f>IF(3=1,0,$B$57)</f><v /></c><c r="BX136" s="11"><f>-($B$57+(IF(3&lt;=$B$49,$B$56*$B$58+$B$55,IF(3&lt;=$B$49+$B$50,$B$56*$B$58,$B$56)))/BV136)</f><v /></c><c r="BY136" s="11"><f>IF(3=$B$49+$B$50,0,IF(3&gt;$B$49+$B$50,$B$56/BV137,IF(3&gt;=$B$49,$B$56*$B$58/BV137,($B$56*$B$58+$B$55)/BV137)))</f><v /></c><c r="BZ136" s="11"><f>IF(3=$B$49,-$K$59*$B$55,0)</f><v /></c><c r="CA136" s="11"><f>BY136/(BX136-BW136*CA135)</f><v /></c><c r="CB136" s="11"><f>(BZ136-BW136*CB135)/(BX136-BW136*CA135)</f><v /></c><c r="CC136" s="15"><f>CB136-CA136*CC137</f><v /></c><c r="CD136" s="11"><f>IF(3&gt;$B$49+$B$50,$G$60*$B$54^$H$60,$E$60*$B$52^$F$60)</f><v /></c><c r="CE136" s="11"><f>IF(3=1,0,$B$57)</f><v /></c><c r="CF136" s="11"><f>-($B$57+(IF(3&lt;=$B$49,$B$56*$B$58+$B$55,IF(3&lt;=$B$49+$B$50,$B$56*$B$58,$B$56)))/CD136)</f><v /></c><c r="CG136" s="11"><f>IF(3=$B$49+$B$50,0,IF(3&gt;$B$49+$B$50,$B$56/CD137,IF(3&gt;=$B$49,$B$56*$B$58/CD137,($B$56*$B$58+$B$55)/CD137)))</f><v /></c><c r="CH136" s="11"><f>IF(3=$B$49,-$K$60*$B$55,0)</f><v /></c><c r="CI136" s="11"><f>CG136/(CF136-CE136*CI135)</f><v /></c><c r="CJ136" s="11"><f>(CH136-CE136*CJ135)/(CF136-CE136*CI135)</f><v /></c><c r="CK136" s="15"><f>CJ136-CI136*CK137</f><v /></c><c r="CL136" s="11"><f>IF(3&gt;$B$49+$B$50,$G$61*$B$54^$H$61,$E$61*$B$52^$F$61)</f><v /></c><c r="CM136" s="11"><f>IF(3=1,0,$B$57)</f><v /></c><c r="CN136" s="11"><f>-($B$57+(IF(3&lt;=$B$49,$B$56*$B$58+$B$55,IF(3&lt;=$B$49+$B$50,$B$56*$B$58,$B$56)))/CL136)</f><v /></c><c r="CO136" s="11"><f>IF(3=$B$49+$B$50,0,IF(3&gt;$B$49+$B$50,$B$56/CL137,IF(3&gt;=$B$49,$B$56*$B$58/CL137,($B$56*$B$58+$B$55)/CL137)))</f><v /></c><c r="CP136" s="11"><f>IF(3=$B$49,-$K$61*$B$55,0)</f><v /></c><c r="CQ136" s="11"><f>CO136/(CN136-CM136*CQ135)</f><v /></c><c r="CR136" s="11"><f>(CP136-CM136*CR135)/(CN136-CM136*CQ135)</f><v /></c><c r="CS136" s="15"><f>CR136-CQ136*CS137</f><v /></c><c r="CT136" s="11"><f>IF(3&gt;$B$49+$B$50,$G$62*$B$54^$H$62,$E$62*$B$52^$F$62)</f><v /></c><c r="CU136" s="11"><f>IF(3=1,0,$B$57)</f><v /></c><c r="CV136" s="11"><f>-($B$57+(IF(3&lt;=$B$49,$B$56*$B$58+$B$55,IF(3&lt;=$B$49+$B$50,$B$56*$B$58,$B$56)))/CT136)</f><v /></c><c r="CW136" s="11"><f>IF(3=$B$49+$B$50,0,IF(3&gt;$B$49+$B$50,$B$56/CT137,IF(3&gt;=$B$49,$B$56*$B$58/CT137,($B$56*$B$58+$B$55)/CT137)))</f><v /></c><c r="CX136" s="11"><f>IF(3=$B$49,-$K$62*$B$55,0)</f><v /></c><c r="CY136" s="11"><f>CW136/(CV136-CU136*CY135)</f><v /></c><c r="CZ136" s="11"><f>(CX136-CU136*CZ135)/(CV136-CU136*CY135)</f><v /></c><c r="DA136" s="15"><f>CZ136-CY136*DA137</f><v /></c><c r="DB136" s="11"><f>IF(3&gt;$B$49+$B$50,$G$63*$B$54^$H$63,$E$63*$B$52^$F$63)</f><v /></c><c r="DC136" s="11"><f>IF(3=1,0,$B$57)</f><v /></c><c r="DD136" s="11"><f>-($B$57+(IF(3&lt;=$B$49,$B$56*$B$58+$B$55,IF(3&lt;=$B$49+$B$50,$B$56*$B$58,$B$56)))/DB136)</f><v /></c><c r="DE136" s="11"><f>IF(3=$B$49+$B$50,0,IF(3&gt;$B$49+$B$50,$B$56/DB137,IF(3&gt;=$B$49,$B$56*$B$58/DB137,($B$56*$B$58+$B$55)/DB137)))</f><v /></c><c r="DF136" s="11"><f>IF(3=$B$49,-$K$63*$B$55,0)</f><v /></c><c r="DG136" s="11"><f>DE136/(DD136-DC136*DG135)</f><v /></c><c r="DH136" s="11"><f>(DF136-DC136*DH135)/(DD136-DC136*DG135)</f><v /></c><c r="DI136" s="15"><f>DH136-DG136*DI137</f><v /></c><c r="DJ136" s="11"><f>IF(3&gt;$B$49+$B$50,$G$64*$B$54^$H$64,$E$64*$B$52^$F$64)</f><v /></c><c r="DK136" s="11"><f>IF(3=1,0,$B$57)</f><v /></c><c r="DL136" s="11"><f>-($B$57+(IF(3&lt;=$B$49,$B$56*$B$58+$B$55,IF(3&lt;=$B$49+$B$50,$B$56*$B$58,$B$56)))/DJ136)</f><v /></c><c r="DM136" s="11"><f>IF(3=$B$49+$B$50,0,IF(3&gt;$B$49+$B$50,$B$56/DJ137,IF(3&gt;=$B$49,$B$56*$B$58/DJ137,($B$56*$B$58+$B$55)/DJ137)))</f><v /></c><c r="DN136" s="11"><f>IF(3=$B$49,-$K$64*$B$55,0)</f><v /></c><c r="DO136" s="11"><f>DM136/(DL136-DK136*DO135)</f><v /></c><c r="DP136" s="11"><f>(DN136-DK136*DP135)/(DL136-DK136*DO135)</f><v /></c><c r="DQ136" s="15"><f>DP136-DO136*DQ137</f><v /></c><c r="DR136" s="11"><f>IF(3&gt;$B$49+$B$50,$G$65*$B$54^$H$65,$E$65*$B$52^$F$65)</f><v /></c><c r="DS136" s="11"><f>IF(3=1,0,$B$57)</f><v /></c><c r="DT136" s="11"><f>-($B$57+(IF(3&lt;=$B$49,$B$56*$B$58+$B$55,IF(3&lt;=$B$49+$B$50,$B$56*$B$58,$B$56)))/DR136)</f><v /></c><c r="DU136" s="11"><f>IF(3=$B$49+$B$50,0,IF(3&gt;$B$49+$B$50,$B$56/DR137,IF(3&gt;=$B$49,$B$56*$B$58/DR137,($B$56*$B$58+$B$55)/DR137)))</f><v /></c><c r="DV136" s="11"><f>IF(3=$B$49,-$K$65*$B$55,0)</f><v /></c><c r="DW136" s="11"><f>DU136/(DT136-DS136*DW135)</f><v /></c><c r="DX136" s="11"><f>(DV136-DS136*DX135)/(DT136-DS136*DW135)</f><v /></c><c r="DY136" s="15"><f>DX136-DW136*DY137</f><v /></c><c r="DZ136" s="11"><f>IF(3&gt;$B$49+$B$50,$G$66*$B$54^$H$66,$E$66*$B$52^$F$66)</f><v /></c><c r="EA136" s="11"><f>IF(3=1,0,$B$57)</f><v /></c><c r="EB136" s="11"><f>-($B$57+(IF(3&lt;=$B$49,$B$56*$B$58+$B$55,IF(3&lt;=$B$49+$B$50,$B$56*$B$58,$B$56)))/DZ136)</f><v /></c><c r="EC136" s="11"><f>IF(3=$B$49+$B$50,0,IF(3&gt;$B$49+$B$50,$B$56/DZ137,IF(3&gt;=$B$49,$B$56*$B$58/DZ137,($B$56*$B$58+$B$55)/DZ137)))</f><v /></c><c r="ED136" s="11"><f>IF(3=$B$49,-$K$66*$B$55,0)</f><v /></c><c r="EE136" s="11"><f>EC136/(EB136-EA136*EE135)</f><v /></c><c r="EF136" s="11"><f>(ED136-EA136*EF135)/(EB136-EA136*EE135)</f><v /></c><c r="EG136" s="15"><f>EF136-EE136*EG137</f><v /></c><c r="EH136" s="11"><f>IF(3&gt;$B$49+$B$50,$G$67*$B$54^$H$67,$E$67*$B$52^$F$67)</f><v /></c><c r="EI136" s="11"><f>IF(3=1,0,$B$57)</f><v /></c><c r="EJ136" s="11"><f>-($B$57+(IF(3&lt;=$B$49,$B$56*$B$58+$B$55,IF(3&lt;=$B$49+$B$50,$B$56*$B$58,$B$56)))/EH136)</f><v /></c><c r="EK136" s="11"><f>IF(3=$B$49+$B$50,0,IF(3&gt;$B$49+$B$50,$B$56/EH137,IF(3&gt;=$B$49,$B$56*$B$58/EH137,($B$56*$B$58+$B$55)/EH137)))</f><v /></c><c r="EL136" s="11"><f>IF(3=$B$49,-$K$67*$B$55,0)</f><v /></c><c r="EM136" s="11"><f>EK136/(EJ136-EI136*EM135)</f><v /></c><c r="EN136" s="11"><f>(EL136-EI136*EN135)/(EJ136-EI136*EM135)</f><v /></c><c r="EO136" s="15"><f>EN136-EM136*EO137</f><v /></c><c r="EP136" s="11"><f>IF(3&gt;$B$49+$B$50,$G$68*$B$54^$H$68,$E$68*$B$52^$F$68)</f><v /></c><c r="EQ136" s="11"><f>IF(3=1,0,$B$57)</f><v /></c><c r="ER136" s="11"><f>-($B$57+(IF(3&lt;=$B$49,$B$56*$B$58+$B$55,IF(3&lt;=$B$49+$B$50,$B$56*$B$58,$B$56)))/EP136)</f><v /></c><c r="ES136" s="11"><f>IF(3=$B$49+$B$50,0,IF(3&gt;$B$49+$B$50,$B$56/EP137,IF(3&gt;=$B$49,$B$56*$B$58/EP137,($B$56*$B$58+$B$55)/EP137)))</f><v /></c><c r="ET136" s="11"><f>IF(3=$B$49,-$K$68*$B$55,0)</f><v /></c><c r="EU136" s="11"><f>ES136/(ER136-EQ136*EU135)</f><v /></c><c r="EV136" s="11"><f>(ET136-EQ136*EV135)/(ER136-EQ136*EU135)</f><v /></c><c r="EW136" s="15"><f>EV136-EU136*EW137</f><v /></c><c r="EX136" s="11"><f>IF(3&gt;$B$49+$B$50,$G$69*$B$54^$H$69,$E$69*$B$52^$F$69)</f><v /></c><c r="EY136" s="11"><f>IF(3=1,0,$B$57)</f><v /></c><c r="EZ136" s="11"><f>-($B$57+(IF(3&lt;=$B$49,$B$56*$B$58+$B$55,IF(3&lt;=$B$49+$B$50,$B$56*$B$58,$B$56)))/EX136)</f><v /></c><c r="FA136" s="11"><f>IF(3=$B$49+$B$50,0,IF(3&gt;$B$49+$B$50,$B$56/EX137,IF(3&gt;=$B$49,$B$56*$B$58/EX137,($B$56*$B$58+$B$55)/EX137)))</f><v /></c><c r="FB136" s="11"><f>IF(3=$B$49,-$K$69*$B$55,0)</f><v /></c><c r="FC136" s="11"><f>FA136/(EZ136-EY136*FC135)</f><v /></c><c r="FD136" s="11"><f>(FB136-EY136*FD135)/(EZ136-EY136*FC135)</f><v /></c><c r="FE136" s="15"><f>FD136-FC136*FE137</f><v /></c><c r="FF136" s="11"><f>IF(3&gt;$B$49+$B$50,$G$70*$B$54^$H$70,$E$70*$B$52^$F$70)</f><v /></c><c r="FG136" s="11"><f>IF(3=1,0,$B$57)</f><v /></c><c r="FH136" s="11"><f>-($B$57+(IF(3&lt;=$B$49,$B$56*$B$58+$B$55,IF(3&lt;=$B$49+$B$50,$B$56*$B$58,$B$56)))/FF136)</f><v /></c><c r="FI136" s="11"><f>IF(3=$B$49+$B$50,0,IF(3&gt;$B$49+$B$50,$B$56/FF137,IF(3&gt;=$B$49,$B$56*$B$58/FF137,($B$56*$B$58+$B$55)/FF137)))</f><v /></c><c r="FJ136" s="11"><f>IF(3=$B$49,-$K$70*$B$55,0)</f><v /></c><c r="FK136" s="11"><f>FI136/(FH136-FG136*FK135)</f><v /></c><c r="FL136" s="11"><f>(FJ136-FG136*FL135)/(FH136-FG136*FK135)</f><v /></c><c r="FM136" s="15"><f>FL136-FK136*FM137</f><v /></c><c r="FN136" s="11"><f>IF(3&gt;$B$49+$B$50,$G$71*$B$54^$H$71,$E$71*$B$52^$F$71)</f><v /></c><c r="FO136" s="11"><f>IF(3=1,0,$B$57)</f><v /></c><c r="FP136" s="11"><f>-($B$57+(IF(3&lt;=$B$49,$B$56*$B$58+$B$55,IF(3&lt;=$B$49+$B$50,$B$56*$B$58,$B$56)))/FN136)</f><v /></c><c r="FQ136" s="11"><f>IF(3=$B$49+$B$50,0,IF(3&gt;$B$49+$B$50,$B$56/FN137,IF(3&gt;=$B$49,$B$56*$B$58/FN137,($B$56*$B$58+$B$55)/FN137)))</f><v /></c><c r="FR136" s="11"><f>IF(3=$B$49,-$K$71*$B$55,0)</f><v /></c><c r="FS136" s="11"><f>FQ136/(FP136-FO136*FS135)</f><v /></c><c r="FT136" s="11"><f>(FR136-FO136*FT135)/(FP136-FO136*FS135)</f><v /></c><c r="FU136" s="15"><f>FT136-FS136*FU137</f><v /></c><c r="FV136" s="11"><f>IF(3&gt;$B$49+$B$50,$G$72*$B$54^$H$72,$E$72*$B$52^$F$72)</f><v /></c><c r="FW136" s="11"><f>IF(3=1,0,$B$57)</f><v /></c><c r="FX136" s="11"><f>-($B$57+(IF(3&lt;=$B$49,$B$56*$B$58+$B$55,IF(3&lt;=$B$49+$B$50,$B$56*$B$58,$B$56)))/FV136)</f><v /></c><c r="FY136" s="11"><f>IF(3=$B$49+$B$50,0,IF(3&gt;$B$49+$B$50,$B$56/FV137,IF(3&gt;=$B$49,$B$56*$B$58/FV137,($B$56*$B$58+$B$55)/FV137)))</f><v /></c><c r="FZ136" s="11"><f>IF(3=$B$49,-$K$72*$B$55,0)</f><v /></c><c r="GA136" s="11"><f>FY136/(FX136-FW136*GA135)</f><v /></c><c r="GB136" s="11"><f>(FZ136-FW136*GB135)/(FX136-FW136*GA135)</f><v /></c><c r="GC136" s="15"><f>GB136-GA136*GC137</f><v /></c><c r="GD136" s="11"><f>IF(3&gt;$B$49+$B$50,$G$73*$B$54^$H$73,$E$73*$B$52^$F$73)</f><v /></c><c r="GE136" s="11"><f>IF(3=1,0,$B$57)</f><v /></c><c r="GF136" s="11"><f>-($B$57+(IF(3&lt;=$B$49,$B$56*$B$58+$B$55,IF(3&lt;=$B$49+$B$50,$B$56*$B$58,$B$56)))/GD136)</f><v /></c><c r="GG136" s="11"><f>IF(3=$B$49+$B$50,0,IF(3&gt;$B$49+$B$50,$B$56/GD137,IF(3&gt;=$B$49,$B$56*$B$58/GD137,($B$56*$B$58+$B$55)/GD137)))</f><v /></c><c r="GH136" s="11"><f>IF(3=$B$49,-$K$73*$B$55,0)</f><v /></c><c r="GI136" s="11"><f>GG136/(GF136-GE136*GI135)</f><v /></c><c r="GJ136" s="11"><f>(GH136-GE136*GJ135)/(GF136-GE136*GI135)</f><v /></c><c r="GK136" s="15"><f>GJ136-GI136*GK137</f><v /></c><c r="GL136" s="11"><f>IF(3&gt;$B$49+$B$50,$G$74*$B$54^$H$74,$E$74*$B$52^$F$74)</f><v /></c><c r="GM136" s="11"><f>IF(3=1,0,$B$57)</f><v /></c><c r="GN136" s="11"><f>-($B$57+(IF(3&lt;=$B$49,$B$56*$B$58+$B$55,IF(3&lt;=$B$49+$B$50,$B$56*$B$58,$B$56)))/GL136)</f><v /></c><c r="GO136" s="11"><f>IF(3=$B$49+$B$50,0,IF(3&gt;$B$49+$B$50,$B$56/GL137,IF(3&gt;=$B$49,$B$56*$B$58/GL137,($B$56*$B$58+$B$55)/GL137)))</f><v /></c><c r="GP136" s="11"><f>IF(3=$B$49,-$K$74*$B$55,0)</f><v /></c><c r="GQ136" s="11"><f>GO136/(GN136-GM136*GQ135)</f><v /></c><c r="GR136" s="11"><f>(GP136-GM136*GR135)/(GN136-GM136*GQ135)</f><v /></c><c r="GS136" s="15"><f>GR136-GQ136*GS137</f><v /></c><c r="GT136" s="11"><f>IF(3&gt;$B$49+$B$50,$G$75*$B$54^$H$75,$E$75*$B$52^$F$75)</f><v /></c><c r="GU136" s="11"><f>IF(3=1,0,$B$57)</f><v /></c><c r="GV136" s="11"><f>-($B$57+(IF(3&lt;=$B$49,$B$56*$B$58+$B$55,IF(3&lt;=$B$49+$B$50,$B$56*$B$58,$B$56)))/GT136)</f><v /></c><c r="GW136" s="11"><f>IF(3=$B$49+$B$50,0,IF(3&gt;$B$49+$B$50,$B$56/GT137,IF(3&gt;=$B$49,$B$56*$B$58/GT137,($B$56*$B$58+$B$55)/GT137)))</f><v /></c><c r="GX136" s="11"><f>IF(3=$B$49,-$K$75*$B$55,0)</f><v /></c><c r="GY136" s="11"><f>GW136/(GV136-GU136*GY135)</f><v /></c><c r="GZ136" s="11"><f>(GX136-GU136*GZ135)/(GV136-GU136*GY135)</f><v /></c><c r="HA136" s="15"><f>GZ136-GY136*HA137</f><v /></c><c r="HB136" s="13"><f>IFERROR(I136/B136,0)</f><v /></c><c r="HC136" s="13"><f>IFERROR(Q136/J136,0)</f><v /></c><c r="HD136" s="13"><f>IFERROR(Y136/R136,0)</f><v /></c><c r="HE136" s="13"><f>IFERROR(AG136/Z136,0)</f><v /></c><c r="HF136" s="13"><f>IFERROR(AO136/AH136,0)</f><v /></c><c r="HG136" s="13"><f>IFERROR(AW136/AP136,0)</f><v /></c><c r="HH136" s="13"><f>IFERROR(BE136/AX136,0)</f><v /></c><c r="HI136" s="13"><f>IFERROR(BM136/BF136,0)</f><v /></c><c r="HJ136" s="13"><f>IFERROR(BU136/BN136,0)</f><v /></c><c r="HK136" s="13"><f>IFERROR(CC136/BV136,0)</f><v /></c><c r="HL136" s="13"><f>IFERROR(CK136/CD136,0)</f><v /></c><c r="HM136" s="13"><f>IFERROR(CS136/CL136,0)</f><v /></c><c r="HN136" s="13"><f>IFERROR(DA136/CT136,0)</f><v /></c><c r="HO136" s="13"><f>IFERROR(DI136/DB136,0)</f><v /></c><c r="HP136" s="13"><f>IFERROR(DQ136/DJ136,0)</f><v /></c><c r="HQ136" s="13"><f>IFERROR(DY136/DR136,0)</f><v /></c><c r="HR136" s="13"><f>IFERROR(EG136/DZ136,0)</f><v /></c><c r="HS136" s="13"><f>IFERROR(EO136/EH136,0)</f><v /></c><c r="HT136" s="13"><f>IFERROR(EW136/EP136,0)</f><v /></c><c r="HU136" s="13"><f>IFERROR(FE136/EX136,0)</f><v /></c><c r="HV136" s="13"><f>IFERROR(FM136/FF136,0)</f><v /></c><c r="HW136" s="13"><f>IFERROR(FU136/FN136,0)</f><v /></c><c r="HX136" s="13"><f>IFERROR(GC136/FV136,0)</f><v /></c><c r="HY136" s="13"><f>IFERROR(GK136/GD136,0)</f><v /></c><c r="HZ136" s="13"><f>IFERROR(GS136/GL136,0)</f><v /></c><c r="IA136" s="13"><f>IFERROR(HA136/GT136,0)</f><v /></c><c r="IB136" s="13"><f>I136+Q136+Y136+AG136+AO136+AW136+BE136+BM136+BU136+CC136+CK136+CS136+DA136+DI136+DQ136+DY136+EG136+EO136+EW136+FE136+FM136+FU136+GC136+GK136+GS136+HA136</f><v /></c><c r="IC136" s="13"><f>HB136+HC136+HD136+HE136+HF136+HG136+HH136+HI136+HJ136+HK136+HL136+HM136+HN136+HO136+HP136+HQ136+HR136+HS136+HT136+HU136+HV136+HW136+HX136+HY136+HZ136+IA136</f><v /></c></row><row r="137" ht="14" customHeight="1"><c r="A137" s="24" t="n"><v>4</v></c><c r="B137" s="11"><f>IF(4&gt;$B$49+$B$50,$G$50*$B$54^$H$50,$E$50*$B$52^$F$50)</f><v /></c><c r="C137" s="11"><f>IF(4=1,0,$B$57)</f><v /></c><c r="D137" s="11"><f>-($B$57+(IF(4&lt;=$B$49,$B$56*$B$58+$B$55,IF(4&lt;=$B$49+$B$50,$B$56*$B$58,$B$56)))/B137)</f><v /></c><c r="E137" s="11"><f>IF(4=$B$49+$B$50,0,IF(4&gt;$B$49+$B$50,$B$56/B138,IF(4&gt;=$B$49,$B$56*$B$58/B138,($B$56*$B$58+$B$55)/B138)))</f><v /></c><c r="F137" s="11"><f>IF(4=$B$49,-$K$50*$B$55,0)</f><v /></c><c r="G137" s="11"><f>E137/(D137-C137*G136)</f><v /></c><c r="H137" s="11"><f>(F137-C137*H136)/(D137-C137*G136)</f><v /></c><c r="I137" s="15"><f>H137-G137*I138</f><v /></c><c r="J137" s="11"><f>IF(4&gt;$B$49+$B$50,$G$51*$B$54^$H$51,$E$51*$B$52^$F$51)</f><v /></c><c r="K137" s="11"><f>IF(4=1,0,$B$57)</f><v /></c><c r="L137" s="11"><f>-($B$57+(IF(4&lt;=$B$49,$B$56*$B$58+$B$55,IF(4&lt;=$B$49+$B$50,$B$56*$B$58,$B$56)))/J137)</f><v /></c><c r="M137" s="11"><f>IF(4=$B$49+$B$50,0,IF(4&gt;$B$49+$B$50,$B$56/J138,IF(4&gt;=$B$49,$B$56*$B$58/J138,($B$56*$B$58+$B$55)/J138)))</f><v /></c><c r="N137" s="11"><f>IF(4=$B$49,-$K$51*$B$55,0)</f><v /></c><c r="O137" s="11"><f>M137/(L137-K137*O136)</f><v /></c><c r="P137" s="11"><f>(N137-K137*P136)/(L137-K137*O136)</f><v /></c><c r="Q137" s="15"><f>P137-O137*Q138</f><v /></c><c r="R137" s="11"><f>IF(4&gt;$B$49+$B$50,$G$52*$B$54^$H$52,$E$52*$B$52^$F$52)</f><v /></c><c r="S137" s="11"><f>IF(4=1,0,$B$57)</f><v /></c><c r="T137" s="11"><f>-($B$57+(IF(4&lt;=$B$49,$B$56*$B$58+$B$55,IF(4&lt;=$B$49+$B$50,$B$56*$B$58,$B$56)))/R137)</f><v /></c><c r="U137" s="11"><f>IF(4=$B$49+$B$50,0,IF(4&gt;$B$49+$B$50,$B$56/R138,IF(4&gt;=$B$49,$B$56*$B$58/R138,($B$56*$B$58+$B$55)/R138)))</f><v /></c><c r="V137" s="11"><f>IF(4=$B$49,-$K$52*$B$55,0)</f><v /></c><c r="W137" s="11"><f>U137/(T137-S137*W136)</f><v /></c><c r="X137" s="11"><f>(V137-S137*X136)/(T137-S137*W136)</f><v /></c><c r="Y137" s="15"><f>X137-W137*Y138</f><v /></c><c r="Z137" s="11"><f>IF(4&gt;$B$49+$B$50,$G$53*$B$54^$H$53,$E$53*$B$52^$F$53)</f><v /></c><c r="AA137" s="11"><f>IF(4=1,0,$B$57)</f><v /></c><c r="AB137" s="11"><f>-($B$57+(IF(4&lt;=$B$49,$B$56*$B$58+$B$55,IF(4&lt;=$B$49+$B$50,$B$56*$B$58,$B$56)))/Z137)</f><v /></c><c r="AC137" s="11"><f>IF(4=$B$49+$B$50,0,IF(4&gt;$B$49+$B$50,$B$56/Z138,IF(4&gt;=$B$49,$B$56*$B$58/Z138,($B$56*$B$58+$B$55)/Z138)))</f><v /></c><c r="AD137" s="11"><f>IF(4=$B$49,-$K$53*$B$55,0)</f><v /></c><c r="AE137" s="11"><f>AC137/(AB137-AA137*AE136)</f><v /></c><c r="AF137" s="11"><f>(AD137-AA137*AF136)/(AB137-AA137*AE136)</f><v /></c><c r="AG137" s="15"><f>AF137-AE137*AG138</f><v /></c><c r="AH137" s="11"><f>IF(4&gt;$B$49+$B$50,$G$54*$B$54^$H$54,$E$54*$B$52^$F$54)</f><v /></c><c r="AI137" s="11"><f>IF(4=1,0,$B$57)</f><v /></c><c r="AJ137" s="11"><f>-($B$57+(IF(4&lt;=$B$49,$B$56*$B$58+$B$55,IF(4&lt;=$B$49+$B$50,$B$56*$B$58,$B$56)))/AH137)</f><v /></c><c r="AK137" s="11"><f>IF(4=$B$49+$B$50,0,IF(4&gt;$B$49+$B$50,$B$56/AH138,IF(4&gt;=$B$49,$B$56*$B$58/AH138,($B$56*$B$58+$B$55)/AH138)))</f><v /></c><c r="AL137" s="11"><f>IF(4=$B$49,-$K$54*$B$55,0)</f><v /></c><c r="AM137" s="11"><f>AK137/(AJ137-AI137*AM136)</f><v /></c><c r="AN137" s="11"><f>(AL137-AI137*AN136)/(AJ137-AI137*AM136)</f><v /></c><c r="AO137" s="15"><f>AN137-AM137*AO138</f><v /></c><c r="AP137" s="11"><f>IF(4&gt;$B$49+$B$50,$G$55*$B$54^$H$55,$E$55*$B$52^$F$55)</f><v /></c><c r="AQ137" s="11"><f>IF(4=1,0,$B$57)</f><v /></c><c r="AR137" s="11"><f>-($B$57+(IF(4&lt;=$B$49,$B$56*$B$58+$B$55,IF(4&lt;=$B$49+$B$50,$B$56*$B$58,$B$56)))/AP137)</f><v /></c><c r="AS137" s="11"><f>IF(4=$B$49+$B$50,0,IF(4&gt;$B$49+$B$50,$B$56/AP138,IF(4&gt;=$B$49,$B$56*$B$58/AP138,($B$56*$B$58+$B$55)/AP138)))</f><v /></c><c r="AT137" s="11"><f>IF(4=$B$49,-$K$55*$B$55,0)</f><v /></c><c r="AU137" s="11"><f>AS137/(AR137-AQ137*AU136)</f><v /></c><c r="AV137" s="11"><f>(AT137-AQ137*AV136)/(AR137-AQ137*AU136)</f><v /></c><c r="AW137" s="15"><f>AV137-AU137*AW138</f><v /></c><c r="AX137" s="11"><f>IF(4&gt;$B$49+$B$50,$G$56*$B$54^$H$56,$E$56*$B$52^$F$56)</f><v /></c><c r="AY137" s="11"><f>IF(4=1,0,$B$57)</f><v /></c><c r="AZ137" s="11"><f>-($B$57+(IF(4&lt;=$B$49,$B$56*$B$58+$B$55,IF(4&lt;=$B$49+$B$50,$B$56*$B$58,$B$56)))/AX137)</f><v /></c><c r="BA137" s="11"><f>IF(4=$B$49+$B$50,0,IF(4&gt;$B$49+$B$50,$B$56/AX138,IF(4&gt;=$B$49,$B$56*$B$58/AX138,($B$56*$B$58+$B$55)/AX138)))</f><v /></c><c r="BB137" s="11"><f>IF(4=$B$49,-$K$56*$B$55,0)</f><v /></c><c r="BC137" s="11"><f>BA137/(AZ137-AY137*BC136)</f><v /></c><c r="BD137" s="11"><f>(BB137-AY137*BD136)/(AZ137-AY137*BC136)</f><v /></c><c r="BE137" s="15"><f>BD137-BC137*BE138</f><v /></c><c r="BF137" s="11"><f>IF(4&gt;$B$49+$B$50,$G$57*$B$54^$H$57,$E$57*$B$52^$F$57)</f><v /></c><c r="BG137" s="11"><f>IF(4=1,0,$B$57)</f><v /></c><c r="BH137" s="11"><f>-($B$57+(IF(4&lt;=$B$49,$B$56*$B$58+$B$55,IF(4&lt;=$B$49+$B$50,$B$56*$B$58,$B$56)))/BF137)</f><v /></c><c r="BI137" s="11"><f>IF(4=$B$49+$B$50,0,IF(4&gt;$B$49+$B$50,$B$56/BF138,IF(4&gt;=$B$49,$B$56*$B$58/BF138,($B$56*$B$58+$B$55)/BF138)))</f><v /></c><c r="BJ137" s="11"><f>IF(4=$B$49,-$K$57*$B$55,0)</f><v /></c><c r="BK137" s="11"><f>BI137/(BH137-BG137*BK136)</f><v /></c><c r="BL137" s="11"><f>(BJ137-BG137*BL136)/(BH137-BG137*BK136)</f><v /></c><c r="BM137" s="15"><f>BL137-BK137*BM138</f><v /></c><c r="BN137" s="11"><f>IF(4&gt;$B$49+$B$50,$G$58*$B$54^$H$58,$E$58*$B$52^$F$58)</f><v /></c><c r="BO137" s="11"><f>IF(4=1,0,$B$57)</f><v /></c><c r="BP137" s="11"><f>-($B$57+(IF(4&lt;=$B$49,$B$56*$B$58+$B$55,IF(4&lt;=$B$49+$B$50,$B$56*$B$58,$B$56)))/BN137)</f><v /></c><c r="BQ137" s="11"><f>IF(4=$B$49+$B$50,0,IF(4&gt;$B$49+$B$50,$B$56/BN138,IF(4&gt;=$B$49,$B$56*$B$58/BN138,($B$56*$B$58+$B$55)/BN138)))</f><v /></c><c r="BR137" s="11"><f>IF(4=$B$49,-$K$58*$B$55,0)</f><v /></c><c r="BS137" s="11"><f>BQ137/(BP137-BO137*BS136)</f><v /></c><c r="BT137" s="11"><f>(BR137-BO137*BT136)/(BP137-BO137*BS136)</f><v /></c><c r="BU137" s="15"><f>BT137-BS137*BU138</f><v /></c><c r="BV137" s="11"><f>IF(4&gt;$B$49+$B$50,$G$59*$B$54^$H$59,$E$59*$B$52^$F$59)</f><v /></c><c r="BW137" s="11"><f>IF(4=1,0,$B$57)</f><v /></c><c r="BX137" s="11"><f>-($B$57+(IF(4&lt;=$B$49,$B$56*$B$58+$B$55,IF(4&lt;=$B$49+$B$50,$B$56*$B$58,$B$56)))/BV137)</f><v /></c><c r="BY137" s="11"><f>IF(4=$B$49+$B$50,0,IF(4&gt;$B$49+$B$50,$B$56/BV138,IF(4&gt;=$B$49,$B$56*$B$58/BV138,($B$56*$B$58+$B$55)/BV138)))</f><v /></c><c r="BZ137" s="11"><f>IF(4=$B$49,-$K$59*$B$55,0)</f><v /></c><c r="CA137" s="11"><f>BY137/(BX137-BW137*CA136)</f><v /></c><c r="CB137" s="11"><f>(BZ137-BW137*CB136)/(BX137-BW137*CA136)</f><v /></c><c r="CC137" s="15"><f>CB137-CA137*CC138</f><v /></c><c r="CD137" s="11"><f>IF(4&gt;$B$49+$B$50,$G$60*$B$54^$H$60,$E$60*$B$52^$F$60)</f><v /></c><c r="CE137" s="11"><f>IF(4=1,0,$B$57)</f><v /></c><c r="CF137" s="11"><f>-($B$57+(IF(4&lt;=$B$49,$B$56*$B$58+$B$55,IF(4&lt;=$B$49+$B$50,$B$56*$B$58,$B$56)))/CD137)</f><v /></c><c r="CG137" s="11"><f>IF(4=$B$49+$B$50,0,IF(4&gt;$B$49+$B$50,$B$56/CD138,IF(4&gt;=$B$49,$B$56*$B$58/CD138,($B$56*$B$58+$B$55)/CD138)))</f><v /></c><c r="CH137" s="11"><f>IF(4=$B$49,-$K$60*$B$55,0)</f><v /></c><c r="CI137" s="11"><f>CG137/(CF137-CE137*CI136)</f><v /></c><c r="CJ137" s="11"><f>(CH137-CE137*CJ136)/(CF137-CE137*CI136)</f><v /></c><c r="CK137" s="15"><f>CJ137-CI137*CK138</f><v /></c><c r="CL137" s="11"><f>IF(4&gt;$B$49+$B$50,$G$61*$B$54^$H$61,$E$61*$B$52^$F$61)</f><v /></c><c r="CM137" s="11"><f>IF(4=1,0,$B$57)</f><v /></c><c r="CN137" s="11"><f>-($B$57+(IF(4&lt;=$B$49,$B$56*$B$58+$B$55,IF(4&lt;=$B$49+$B$50,$B$56*$B$58,$B$56)))/CL137)</f><v /></c><c r="CO137" s="11"><f>IF(4=$B$49+$B$50,0,IF(4&gt;$B$49+$B$50,$B$56/CL138,IF(4&gt;=$B$49,$B$56*$B$58/CL138,($B$56*$B$58+$B$55)/CL138)))</f><v /></c><c r="CP137" s="11"><f>IF(4=$B$49,-$K$61*$B$55,0)</f><v /></c><c r="CQ137" s="11"><f>CO137/(CN137-CM137*CQ136)</f><v /></c><c r="CR137" s="11"><f>(CP137-CM137*CR136)/(CN137-CM137*CQ136)</f><v /></c><c r="CS137" s="15"><f>CR137-CQ137*CS138</f><v /></c><c r="CT137" s="11"><f>IF(4&gt;$B$49+$B$50,$G$62*$B$54^$H$62,$E$62*$B$52^$F$62)</f><v /></c><c r="CU137" s="11"><f>IF(4=1,0,$B$57)</f><v /></c><c r="CV137" s="11"><f>-($B$57+(IF(4&lt;=$B$49,$B$56*$B$58+$B$55,IF(4&lt;=$B$49+$B$50,$B$56*$B$58,$B$56)))/CT137)</f><v /></c><c r="CW137" s="11"><f>IF(4=$B$49+$B$50,0,IF(4&gt;$B$49+$B$50,$B$56/CT138,IF(4&gt;=$B$49,$B$56*$B$58/CT138,($B$56*$B$58+$B$55)/CT138)))</f><v /></c><c r="CX137" s="11"><f>IF(4=$B$49,-$K$62*$B$55,0)</f><v /></c><c r="CY137" s="11"><f>CW137/(CV137-CU137*CY136)</f><v /></c><c r="CZ137" s="11"><f>(CX137-CU137*CZ136)/(CV137-CU137*CY136)</f><v /></c><c r="DA137" s="15"><f>CZ137-CY137*DA138</f><v /></c><c r="DB137" s="11"><f>IF(4&gt;$B$49+$B$50,$G$63*$B$54^$H$63,$E$63*$B$52^$F$63)</f><v /></c><c r="DC137" s="11"><f>IF(4=1,0,$B$57)</f><v /></c><c r="DD137" s="11"><f>-($B$57+(IF(4&lt;=$B$49,$B$56*$B$58+$B$55,IF(4&lt;=$B$49+$B$50,$B$56*$B$58,$B$56)))/DB137)</f><v /></c><c r="DE137" s="11"><f>IF(4=$B$49+$B$50,0,IF(4&gt;$B$49+$B$50,$B$56/DB138,IF(4&gt;=$B$49,$B$56*$B$58/DB138,($B$56*$B$58+$B$55)/DB138)))</f><v /></c><c r="DF137" s="11"><f>IF(4=$B$49,-$K$63*$B$55,0)</f><v /></c><c r="DG137" s="11"><f>DE137/(DD137-DC137*DG136)</f><v /></c><c r="DH137" s="11"><f>(DF137-DC137*DH136)/(DD137-DC137*DG136)</f><v /></c><c r="DI137" s="15"><f>DH137-DG137*DI138</f><v /></c><c r="DJ137" s="11"><f>IF(4&gt;$B$49+$B$50,$G$64*$B$54^$H$64,$E$64*$B$52^$F$64)</f><v /></c><c r="DK137" s="11"><f>IF(4=1,0,$B$57)</f><v /></c><c r="DL137" s="11"><f>-($B$57+(IF(4&lt;=$B$49,$B$56*$B$58+$B$55,IF(4&lt;=$B$49+$B$50,$B$56*$B$58,$B$56)))/DJ137)</f><v /></c><c r="DM137" s="11"><f>IF(4=$B$49+$B$50,0,IF(4&gt;$B$49+$B$50,$B$56/DJ138,IF(4&gt;=$B$49,$B$56*$B$58/DJ138,($B$56*$B$58+$B$55)/DJ138)))</f><v /></c><c r="DN137" s="11"><f>IF(4=$B$49,-$K$64*$B$55,0)</f><v /></c><c r="DO137" s="11"><f>DM137/(DL137-DK137*DO136)</f><v /></c><c r="DP137" s="11"><f>(DN137-DK137*DP136)/(DL137-DK137*DO136)</f><v /></c><c r="DQ137" s="15"><f>DP137-DO137*DQ138</f><v /></c><c r="DR137" s="11"><f>IF(4&gt;$B$49+$B$50,$G$65*$B$54^$H$65,$E$65*$B$52^$F$65)</f><v /></c><c r="DS137" s="11"><f>IF(4=1,0,$B$57)</f><v /></c><c r="DT137" s="11"><f>-($B$57+(IF(4&lt;=$B$49,$B$56*$B$58+$B$55,IF(4&lt;=$B$49+$B$50,$B$56*$B$58,$B$56)))/DR137)</f><v /></c><c r="DU137" s="11"><f>IF(4=$B$49+$B$50,0,IF(4&gt;$B$49+$B$50,$B$56/DR138,IF(4&gt;=$B$49,$B$56*$B$58/DR138,($B$56*$B$58+$B$55)/DR138)))</f><v /></c><c r="DV137" s="11"><f>IF(4=$B$49,-$K$65*$B$55,0)</f><v /></c><c r="DW137" s="11"><f>DU137/(DT137-DS137*DW136)</f><v /></c><c r="DX137" s="11"><f>(DV137-DS137*DX136)/(DT137-DS137*DW136)</f><v /></c><c r="DY137" s="15"><f>DX137-DW137*DY138</f><v /></c><c r="DZ137" s="11"><f>IF(4&gt;$B$49+$B$50,$G$66*$B$54^$H$66,$E$66*$B$52^$F$66)</f><v /></c><c r="EA137" s="11"><f>IF(4=1,0,$B$57)</f><v /></c><c r="EB137" s="11"><f>-($B$57+(IF(4&lt;=$B$49,$B$56*$B$58+$B$55,IF(4&lt;=$B$49+$B$50,$B$56*$B$58,$B$56)))/DZ137)</f><v /></c><c r="EC137" s="11"><f>IF(4=$B$49+$B$50,0,IF(4&gt;$B$49+$B$50,$B$56/DZ138,IF(4&gt;=$B$49,$B$56*$B$58/DZ138,($B$56*$B$58+$B$55)/DZ138)))</f><v /></c><c r="ED137" s="11"><f>IF(4=$B$49,-$K$66*$B$55,0)</f><v /></c><c r="EE137" s="11"><f>EC137/(EB137-EA137*EE136)</f><v /></c><c r="EF137" s="11"><f>(ED137-EA137*EF136)/(EB137-EA137*EE136)</f><v /></c><c r="EG137" s="15"><f>EF137-EE137*EG138</f><v /></c><c r="EH137" s="11"><f>IF(4&gt;$B$49+$B$50,$G$67*$B$54^$H$67,$E$67*$B$52^$F$67)</f><v /></c><c r="EI137" s="11"><f>IF(4=1,0,$B$57)</f><v /></c><c r="EJ137" s="11"><f>-($B$57+(IF(4&lt;=$B$49,$B$56*$B$58+$B$55,IF(4&lt;=$B$49+$B$50,$B$56*$B$58,$B$56)))/EH137)</f><v /></c><c r="EK137" s="11"><f>IF(4=$B$49+$B$50,0,IF(4&gt;$B$49+$B$50,$B$56/EH138,IF(4&gt;=$B$49,$B$56*$B$58/EH138,($B$56*$B$58+$B$55)/EH138)))</f><v /></c><c r="EL137" s="11"><f>IF(4=$B$49,-$K$67*$B$55,0)</f><v /></c><c r="EM137" s="11"><f>EK137/(EJ137-EI137*EM136)</f><v /></c><c r="EN137" s="11"><f>(EL137-EI137*EN136)/(EJ137-EI137*EM136)</f><v /></c><c r="EO137" s="15"><f>EN137-EM137*EO138</f><v /></c><c r="EP137" s="11"><f>IF(4&gt;$B$49+$B$50,$G$68*$B$54^$H$68,$E$68*$B$52^$F$68)</f><v /></c><c r="EQ137" s="11"><f>IF(4=1,0,$B$57)</f><v /></c><c r="ER137" s="11"><f>-($B$57+(IF(4&lt;=$B$49,$B$56*$B$58+$B$55,IF(4&lt;=$B$49+$B$50,$B$56*$B$58,$B$56)))/EP137)</f><v /></c><c r="ES137" s="11"><f>IF(4=$B$49+$B$50,0,IF(4&gt;$B$49+$B$50,$B$56/EP138,IF(4&gt;=$B$49,$B$56*$B$58/EP138,($B$56*$B$58+$B$55)/EP138)))</f><v /></c><c r="ET137" s="11"><f>IF(4=$B$49,-$K$68*$B$55,0)</f><v /></c><c r="EU137" s="11"><f>ES137/(ER137-EQ137*EU136)</f><v /></c><c r="EV137" s="11"><f>(ET137-EQ137*EV136)/(ER137-EQ137*EU136)</f><v /></c><c r="EW137" s="15"><f>EV137-EU137*EW138</f><v /></c><c r="EX137" s="11"><f>IF(4&gt;$B$49+$B$50,$G$69*$B$54^$H$69,$E$69*$B$52^$F$69)</f><v /></c><c r="EY137" s="11"><f>IF(4=1,0,$B$57)</f><v /></c><c r="EZ137" s="11"><f>-($B$57+(IF(4&lt;=$B$49,$B$56*$B$58+$B$55,IF(4&lt;=$B$49+$B$50,$B$56*$B$58,$B$56)))/EX137)</f><v /></c><c r="FA137" s="11"><f>IF(4=$B$49+$B$50,0,IF(4&gt;$B$49+$B$50,$B$56/EX138,IF(4&gt;=$B$49,$B$56*$B$58/EX138,($B$56*$B$58+$B$55)/EX138)))</f><v /></c><c r="FB137" s="11"><f>IF(4=$B$49,-$K$69*$B$55,0)</f><v /></c><c r="FC137" s="11"><f>FA137/(EZ137-EY137*FC136)</f><v /></c><c r="FD137" s="11"><f>(FB137-EY137*FD136)/(EZ137-EY137*FC136)</f><v /></c><c r="FE137" s="15"><f>FD137-FC137*FE138</f><v /></c><c r="FF137" s="11"><f>IF(4&gt;$B$49+$B$50,$G$70*$B$54^$H$70,$E$70*$B$52^$F$70)</f><v /></c><c r="FG137" s="11"><f>IF(4=1,0,$B$57)</f><v /></c><c r="FH137" s="11"><f>-($B$57+(IF(4&lt;=$B$49,$B$56*$B$58+$B$55,IF(4&lt;=$B$49+$B$50,$B$56*$B$58,$B$56)))/FF137)</f><v /></c><c r="FI137" s="11"><f>IF(4=$B$49+$B$50,0,IF(4&gt;$B$49+$B$50,$B$56/FF138,IF(4&gt;=$B$49,$B$56*$B$58/FF138,($B$56*$B$58+$B$55)/FF138)))</f><v /></c><c r="FJ137" s="11"><f>IF(4=$B$49,-$K$70*$B$55,0)</f><v /></c><c r="FK137" s="11"><f>FI137/(FH137-FG137*FK136)</f><v /></c><c r="FL137" s="11"><f>(FJ137-FG137*FL136)/(FH137-FG137*FK136)</f><v /></c><c r="FM137" s="15"><f>FL137-FK137*FM138</f><v /></c><c r="FN137" s="11"><f>IF(4&gt;$B$49+$B$50,$G$71*$B$54^$H$71,$E$71*$B$52^$F$71)</f><v /></c><c r="FO137" s="11"><f>IF(4=1,0,$B$57)</f><v /></c><c r="FP137" s="11"><f>-($B$57+(IF(4&lt;=$B$49,$B$56*$B$58+$B$55,IF(4&lt;=$B$49+$B$50,$B$56*$B$58,$B$56)))/FN137)</f><v /></c><c r="FQ137" s="11"><f>IF(4=$B$49+$B$50,0,IF(4&gt;$B$49+$B$50,$B$56/FN138,IF(4&gt;=$B$49,$B$56*$B$58/FN138,($B$56*$B$58+$B$55)/FN138)))</f><v /></c><c r="FR137" s="11"><f>IF(4=$B$49,-$K$71*$B$55,0)</f><v /></c><c r="FS137" s="11"><f>FQ137/(FP137-FO137*FS136)</f><v /></c><c r="FT137" s="11"><f>(FR137-FO137*FT136)/(FP137-FO137*FS136)</f><v /></c><c r="FU137" s="15"><f>FT137-FS137*FU138</f><v /></c><c r="FV137" s="11"><f>IF(4&gt;$B$49+$B$50,$G$72*$B$54^$H$72,$E$72*$B$52^$F$72)</f><v /></c><c r="FW137" s="11"><f>IF(4=1,0,$B$57)</f><v /></c><c r="FX137" s="11"><f>-($B$57+(IF(4&lt;=$B$49,$B$56*$B$58+$B$55,IF(4&lt;=$B$49+$B$50,$B$56*$B$58,$B$56)))/FV137)</f><v /></c><c r="FY137" s="11"><f>IF(4=$B$49+$B$50,0,IF(4&gt;$B$49+$B$50,$B$56/FV138,IF(4&gt;=$B$49,$B$56*$B$58/FV138,($B$56*$B$58+$B$55)/FV138)))</f><v /></c><c r="FZ137" s="11"><f>IF(4=$B$49,-$K$72*$B$55,0)</f><v /></c><c r="GA137" s="11"><f>FY137/(FX137-FW137*GA136)</f><v /></c><c r="GB137" s="11"><f>(FZ137-FW137*GB136)/(FX137-FW137*GA136)</f><v /></c><c r="GC137" s="15"><f>GB137-GA137*GC138</f><v /></c><c r="GD137" s="11"><f>IF(4&gt;$B$49+$B$50,$G$73*$B$54^$H$73,$E$73*$B$52^$F$73)</f><v /></c><c r="GE137" s="11"><f>IF(4=1,0,$B$57)</f><v /></c><c r="GF137" s="11"><f>-($B$57+(IF(4&lt;=$B$49,$B$56*$B$58+$B$55,IF(4&lt;=$B$49+$B$50,$B$56*$B$58,$B$56)))/GD137)</f><v /></c><c r="GG137" s="11"><f>IF(4=$B$49+$B$50,0,IF(4&gt;$B$49+$B$50,$B$56/GD138,IF(4&gt;=$B$49,$B$56*$B$58/GD138,($B$56*$B$58+$B$55)/GD138)))</f><v /></c><c r="GH137" s="11"><f>IF(4=$B$49,-$K$73*$B$55,0)</f><v /></c><c r="GI137" s="11"><f>GG137/(GF137-GE137*GI136)</f><v /></c><c r="GJ137" s="11"><f>(GH137-GE137*GJ136)/(GF137-GE137*GI136)</f><v /></c><c r="GK137" s="15"><f>GJ137-GI137*GK138</f><v /></c><c r="GL137" s="11"><f>IF(4&gt;$B$49+$B$50,$G$74*$B$54^$H$74,$E$74*$B$52^$F$74)</f><v /></c><c r="GM137" s="11"><f>IF(4=1,0,$B$57)</f><v /></c><c r="GN137" s="11"><f>-($B$57+(IF(4&lt;=$B$49,$B$56*$B$58+$B$55,IF(4&lt;=$B$49+$B$50,$B$56*$B$58,$B$56)))/GL137)</f><v /></c><c r="GO137" s="11"><f>IF(4=$B$49+$B$50,0,IF(4&gt;$B$49+$B$50,$B$56/GL138,IF(4&gt;=$B$49,$B$56*$B$58/GL138,($B$56*$B$58+$B$55)/GL138)))</f><v /></c><c r="GP137" s="11"><f>IF(4=$B$49,-$K$74*$B$55,0)</f><v /></c><c r="GQ137" s="11"><f>GO137/(GN137-GM137*GQ136)</f><v /></c><c r="GR137" s="11"><f>(GP137-GM137*GR136)/(GN137-GM137*GQ136)</f><v /></c><c r="GS137" s="15"><f>GR137-GQ137*GS138</f><v /></c><c r="GT137" s="11"><f>IF(4&gt;$B$49+$B$50,$G$75*$B$54^$H$75,$E$75*$B$52^$F$75)</f><v /></c><c r="GU137" s="11"><f>IF(4=1,0,$B$57)</f><v /></c><c r="GV137" s="11"><f>-($B$57+(IF(4&lt;=$B$49,$B$56*$B$58+$B$55,IF(4&lt;=$B$49+$B$50,$B$56*$B$58,$B$56)))/GT137)</f><v /></c><c r="GW137" s="11"><f>IF(4=$B$49+$B$50,0,IF(4&gt;$B$49+$B$50,$B$56/GT138,IF(4&gt;=$B$49,$B$56*$B$58/GT138,($B$56*$B$58+$B$55)/GT138)))</f><v /></c><c r="GX137" s="11"><f>IF(4=$B$49,-$K$75*$B$55,0)</f><v /></c><c r="GY137" s="11"><f>GW137/(GV137-GU137*GY136)</f><v /></c><c r="GZ137" s="11"><f>(GX137-GU137*GZ136)/(GV137-GU137*GY136)</f><v /></c><c r="HA137" s="15"><f>GZ137-GY137*HA138</f><v /></c><c r="HB137" s="13"><f>IFERROR(I137/B137,0)</f><v /></c><c r="HC137" s="13"><f>IFERROR(Q137/J137,0)</f><v /></c><c r="HD137" s="13"><f>IFERROR(Y137/R137,0)</f><v /></c><c r="HE137" s="13"><f>IFERROR(AG137/Z137,0)</f><v /></c><c r="HF137" s="13"><f>IFERROR(AO137/AH137,0)</f><v /></c><c r="HG137" s="13"><f>IFERROR(AW137/AP137,0)</f><v /></c><c r="HH137" s="13"><f>IFERROR(BE137/AX137,0)</f><v /></c><c r="HI137" s="13"><f>IFERROR(BM137/BF137,0)</f><v /></c><c r="HJ137" s="13"><f>IFERROR(BU137/BN137,0)</f><v /></c><c r="HK137" s="13"><f>IFERROR(CC137/BV137,0)</f><v /></c><c r="HL137" s="13"><f>IFERROR(CK137/CD137,0)</f><v /></c><c r="HM137" s="13"><f>IFERROR(CS137/CL137,0)</f><v /></c><c r="HN137" s="13"><f>IFERROR(DA137/CT137,0)</f><v /></c><c r="HO137" s="13"><f>IFERROR(DI137/DB137,0)</f><v /></c><c r="HP137" s="13"><f>IFERROR(DQ137/DJ137,0)</f><v /></c><c r="HQ137" s="13"><f>IFERROR(DY137/DR137,0)</f><v /></c><c r="HR137" s="13"><f>IFERROR(EG137/DZ137,0)</f><v /></c><c r="HS137" s="13"><f>IFERROR(EO137/EH137,0)</f><v /></c><c r="HT137" s="13"><f>IFERROR(EW137/EP137,0)</f><v /></c><c r="HU137" s="13"><f>IFERROR(FE137/EX137,0)</f><v /></c><c r="HV137" s="13"><f>IFERROR(FM137/FF137,0)</f><v /></c><c r="HW137" s="13"><f>IFERROR(FU137/FN137,0)</f><v /></c><c r="HX137" s="13"><f>IFERROR(GC137/FV137,0)</f><v /></c><c r="HY137" s="13"><f>IFERROR(GK137/GD137,0)</f><v /></c><c r="HZ137" s="13"><f>IFERROR(GS137/GL137,0)</f><v /></c><c r="IA137" s="13"><f>IFERROR(HA137/GT137,0)</f><v /></c><c r="IB137" s="13"><f>I137+Q137+Y137+AG137+AO137+AW137+BE137+BM137+BU137+CC137+CK137+CS137+DA137+DI137+DQ137+DY137+EG137+EO137+EW137+FE137+FM137+FU137+GC137+GK137+GS137+HA137</f><v /></c><c r="IC137" s="13"><f>HB137+HC137+HD137+HE137+HF137+HG137+HH137+HI137+HJ137+HK137+HL137+HM137+HN137+HO137+HP137+HQ137+HR137+HS137+HT137+HU137+HV137+HW137+HX137+HY137+HZ137+IA137</f><v /></c></row><row r="138" ht="14" customHeight="1"><c r="A138" s="24" t="n"><v>5</v></c><c r="B138" s="11"><f>IF(5&gt;$B$49+$B$50,$G$50*$B$54^$H$50,$E$50*$B$52^$F$50)</f><v /></c><c r="C138" s="11"><f>IF(5=1,0,$B$57)</f><v /></c><c r="D138" s="11"><f>-($B$57+(IF(5&lt;=$B$49,$B$56*$B$58+$B$55,IF(5&lt;=$B$49+$B$50,$B$56*$B$58,$B$56)))/B138)</f><v /></c><c r="E138" s="11"><f>IF(5=$B$49+$B$50,0,IF(5&gt;$B$49+$B$50,$B$56/B139,IF(5&gt;=$B$49,$B$56*$B$58/B139,($B$56*$B$58+$B$55)/B139)))</f><v /></c><c r="F138" s="11"><f>IF(5=$B$49,-$K$50*$B$55,0)</f><v /></c><c r="G138" s="11"><f>E138/(D138-C138*G137)</f><v /></c><c r="H138" s="11"><f>(F138-C138*H137)/(D138-C138*G137)</f><v /></c><c r="I138" s="15"><f>H138-G138*I139</f><v /></c><c r="J138" s="11"><f>IF(5&gt;$B$49+$B$50,$G$51*$B$54^$H$51,$E$51*$B$52^$F$51)</f><v /></c><c r="K138" s="11"><f>IF(5=1,0,$B$57)</f><v /></c><c r="L138" s="11"><f>-($B$57+(IF(5&lt;=$B$49,$B$56*$B$58+$B$55,IF(5&lt;=$B$49+$B$50,$B$56*$B$58,$B$56)))/J138)</f><v /></c><c r="M138" s="11"><f>IF(5=$B$49+$B$50,0,IF(5&gt;$B$49+$B$50,$B$56/J139,IF(5&gt;=$B$49,$B$56*$B$58/J139,($B$56*$B$58+$B$55)/J139)))</f><v /></c><c r="N138" s="11"><f>IF(5=$B$49,-$K$51*$B$55,0)</f><v /></c><c r="O138" s="11"><f>M138/(L138-K138*O137)</f><v /></c><c r="P138" s="11"><f>(N138-K138*P137)/(L138-K138*O137)</f><v /></c><c r="Q138" s="15"><f>P138-O138*Q139</f><v /></c><c r="R138" s="11"><f>IF(5&gt;$B$49+$B$50,$G$52*$B$54^$H$52,$E$52*$B$52^$F$52)</f><v /></c><c r="S138" s="11"><f>IF(5=1,0,$B$57)</f><v /></c><c r="T138" s="11"><f>-($B$57+(IF(5&lt;=$B$49,$B$56*$B$58+$B$55,IF(5&lt;=$B$49+$B$50,$B$56*$B$58,$B$56)))/R138)</f><v /></c><c r="U138" s="11"><f>IF(5=$B$49+$B$50,0,IF(5&gt;$B$49+$B$50,$B$56/R139,IF(5&gt;=$B$49,$B$56*$B$58/R139,($B$56*$B$58+$B$55)/R139)))</f><v /></c><c r="V138" s="11"><f>IF(5=$B$49,-$K$52*$B$55,0)</f><v /></c><c r="W138" s="11"><f>U138/(T138-S138*W137)</f><v /></c><c r="X138" s="11"><f>(V138-S138*X137)/(T138-S138*W137)</f><v /></c><c r="Y138" s="15"><f>X138-W138*Y139</f><v /></c><c r="Z138" s="11"><f>IF(5&gt;$B$49+$B$50,$G$53*$B$54^$H$53,$E$53*$B$52^$F$53)</f><v /></c><c r="AA138" s="11"><f>IF(5=1,0,$B$57)</f><v /></c><c r="AB138" s="11"><f>-($B$57+(IF(5&lt;=$B$49,$B$56*$B$58+$B$55,IF(5&lt;=$B$49+$B$50,$B$56*$B$58,$B$56)))/Z138)</f><v /></c><c r="AC138" s="11"><f>IF(5=$B$49+$B$50,0,IF(5&gt;$B$49+$B$50,$B$56/Z139,IF(5&gt;=$B$49,$B$56*$B$58/Z139,($B$56*$B$58+$B$55)/Z139)))</f><v /></c><c r="AD138" s="11"><f>IF(5=$B$49,-$K$53*$B$55,0)</f><v /></c><c r="AE138" s="11"><f>AC138/(AB138-AA138*AE137)</f><v /></c><c r="AF138" s="11"><f>(AD138-AA138*AF137)/(AB138-AA138*AE137)</f><v /></c><c r="AG138" s="15"><f>AF138-AE138*AG139</f><v /></c><c r="AH138" s="11"><f>IF(5&gt;$B$49+$B$50,$G$54*$B$54^$H$54,$E$54*$B$52^$F$54)</f><v /></c><c r="AI138" s="11"><f>IF(5=1,0,$B$57)</f><v /></c><c r="AJ138" s="11"><f>-($B$57+(IF(5&lt;=$B$49,$B$56*$B$58+$B$55,IF(5&lt;=$B$49+$B$50,$B$56*$B$58,$B$56)))/AH138)</f><v /></c><c r="AK138" s="11"><f>IF(5=$B$49+$B$50,0,IF(5&gt;$B$49+$B$50,$B$56/AH139,IF(5&gt;=$B$49,$B$56*$B$58/AH139,($B$56*$B$58+$B$55)/AH139)))</f><v /></c><c r="AL138" s="11"><f>IF(5=$B$49,-$K$54*$B$55,0)</f><v /></c><c r="AM138" s="11"><f>AK138/(AJ138-AI138*AM137)</f><v /></c><c r="AN138" s="11"><f>(AL138-AI138*AN137)/(AJ138-AI138*AM137)</f><v /></c><c r="AO138" s="15"><f>AN138-AM138*AO139</f><v /></c><c r="AP138" s="11"><f>IF(5&gt;$B$49+$B$50,$G$55*$B$54^$H$55,$E$55*$B$52^$F$55)</f><v /></c><c r="AQ138" s="11"><f>IF(5=1,0,$B$57)</f><v /></c><c r="AR138" s="11"><f>-($B$57+(IF(5&lt;=$B$49,$B$56*$B$58+$B$55,IF(5&lt;=$B$49+$B$50,$B$56*$B$58,$B$56)))/AP138)</f><v /></c><c r="AS138" s="11"><f>IF(5=$B$49+$B$50,0,IF(5&gt;$B$49+$B$50,$B$56/AP139,IF(5&gt;=$B$49,$B$56*$B$58/AP139,($B$56*$B$58+$B$55)/AP139)))</f><v /></c><c r="AT138" s="11"><f>IF(5=$B$49,-$K$55*$B$55,0)</f><v /></c><c r="AU138" s="11"><f>AS138/(AR138-AQ138*AU137)</f><v /></c><c r="AV138" s="11"><f>(AT138-AQ138*AV137)/(AR138-AQ138*AU137)</f><v /></c><c r="AW138" s="15"><f>AV138-AU138*AW139</f><v /></c><c r="AX138" s="11"><f>IF(5&gt;$B$49+$B$50,$G$56*$B$54^$H$56,$E$56*$B$52^$F$56)</f><v /></c><c r="AY138" s="11"><f>IF(5=1,0,$B$57)</f><v /></c><c r="AZ138" s="11"><f>-($B$57+(IF(5&lt;=$B$49,$B$56*$B$58+$B$55,IF(5&lt;=$B$49+$B$50,$B$56*$B$58,$B$56)))/AX138)</f><v /></c><c r="BA138" s="11"><f>IF(5=$B$49+$B$50,0,IF(5&gt;$B$49+$B$50,$B$56/AX139,IF(5&gt;=$B$49,$B$56*$B$58/AX139,($B$56*$B$58+$B$55)/AX139)))</f><v /></c><c r="BB138" s="11"><f>IF(5=$B$49,-$K$56*$B$55,0)</f><v /></c><c r="BC138" s="11"><f>BA138/(AZ138-AY138*BC137)</f><v /></c><c r="BD138" s="11"><f>(BB138-AY138*BD137)/(AZ138-AY138*BC137)</f><v /></c><c r="BE138" s="15"><f>BD138-BC138*BE139</f><v /></c><c r="BF138" s="11"><f>IF(5&gt;$B$49+$B$50,$G$57*$B$54^$H$57,$E$57*$B$52^$F$57)</f><v /></c><c r="BG138" s="11"><f>IF(5=1,0,$B$57)</f><v /></c><c r="BH138" s="11"><f>-($B$57+(IF(5&lt;=$B$49,$B$56*$B$58+$B$55,IF(5&lt;=$B$49+$B$50,$B$56*$B$58,$B$56)))/BF138)</f><v /></c><c r="BI138" s="11"><f>IF(5=$B$49+$B$50,0,IF(5&gt;$B$49+$B$50,$B$56/BF139,IF(5&gt;=$B$49,$B$56*$B$58/BF139,($B$56*$B$58+$B$55)/BF139)))</f><v /></c><c r="BJ138" s="11"><f>IF(5=$B$49,-$K$57*$B$55,0)</f><v /></c><c r="BK138" s="11"><f>BI138/(BH138-BG138*BK137)</f><v /></c><c r="BL138" s="11"><f>(BJ138-BG138*BL137)/(BH138-BG138*BK137)</f><v /></c><c r="BM138" s="15"><f>BL138-BK138*BM139</f><v /></c><c r="BN138" s="11"><f>IF(5&gt;$B$49+$B$50,$G$58*$B$54^$H$58,$E$58*$B$52^$F$58)</f><v /></c><c r="BO138" s="11"><f>IF(5=1,0,$B$57)</f><v /></c><c r="BP138" s="11"><f>-($B$57+(IF(5&lt;=$B$49,$B$56*$B$58+$B$55,IF(5&lt;=$B$49+$B$50,$B$56*$B$58,$B$56)))/BN138)</f><v /></c><c r="BQ138" s="11"><f>IF(5=$B$49+$B$50,0,IF(5&gt;$B$49+$B$50,$B$56/BN139,IF(5&gt;=$B$49,$B$56*$B$58/BN139,($B$56*$B$58+$B$55)/BN139)))</f><v /></c><c r="BR138" s="11"><f>IF(5=$B$49,-$K$58*$B$55,0)</f><v /></c><c r="BS138" s="11"><f>BQ138/(BP138-BO138*BS137)</f><v /></c><c r="BT138" s="11"><f>(BR138-BO138*BT137)/(BP138-BO138*BS137)</f><v /></c><c r="BU138" s="15"><f>BT138-BS138*BU139</f><v /></c><c r="BV138" s="11"><f>IF(5&gt;$B$49+$B$50,$G$59*$B$54^$H$59,$E$59*$B$52^$F$59)</f><v /></c><c r="BW138" s="11"><f>IF(5=1,0,$B$57)</f><v /></c><c r="BX138" s="11"><f>-($B$57+(IF(5&lt;=$B$49,$B$56*$B$58+$B$55,IF(5&lt;=$B$49+$B$50,$B$56*$B$58,$B$56)))/BV138)</f><v /></c><c r="BY138" s="11"><f>IF(5=$B$49+$B$50,0,IF(5&gt;$B$49+$B$50,$B$56/BV139,IF(5&gt;=$B$49,$B$56*$B$58/BV139,($B$56*$B$58+$B$55)/BV139)))</f><v /></c><c r="BZ138" s="11"><f>IF(5=$B$49,-$K$59*$B$55,0)</f><v /></c><c r="CA138" s="11"><f>BY138/(BX138-BW138*CA137)</f><v /></c><c r="CB138" s="11"><f>(BZ138-BW138*CB137)/(BX138-BW138*CA137)</f><v /></c><c r="CC138" s="15"><f>CB138-CA138*CC139</f><v /></c><c r="CD138" s="11"><f>IF(5&gt;$B$49+$B$50,$G$60*$B$54^$H$60,$E$60*$B$52^$F$60)</f><v /></c><c r="CE138" s="11"><f>IF(5=1,0,$B$57)</f><v /></c><c r="CF138" s="11"><f>-($B$57+(IF(5&lt;=$B$49,$B$56*$B$58+$B$55,IF(5&lt;=$B$49+$B$50,$B$56*$B$58,$B$56)))/CD138)</f><v /></c><c r="CG138" s="11"><f>IF(5=$B$49+$B$50,0,IF(5&gt;$B$49+$B$50,$B$56/CD139,IF(5&gt;=$B$49,$B$56*$B$58/CD139,($B$56*$B$58+$B$55)/CD139)))</f><v /></c><c r="CH138" s="11"><f>IF(5=$B$49,-$K$60*$B$55,0)</f><v /></c><c r="CI138" s="11"><f>CG138/(CF138-CE138*CI137)</f><v /></c><c r="CJ138" s="11"><f>(CH138-CE138*CJ137)/(CF138-CE138*CI137)</f><v /></c><c r="CK138" s="15"><f>CJ138-CI138*CK139</f><v /></c><c r="CL138" s="11"><f>IF(5&gt;$B$49+$B$50,$G$61*$B$54^$H$61,$E$61*$B$52^$F$61)</f><v /></c><c r="CM138" s="11"><f>IF(5=1,0,$B$57)</f><v /></c><c r="CN138" s="11"><f>-($B$57+(IF(5&lt;=$B$49,$B$56*$B$58+$B$55,IF(5&lt;=$B$49+$B$50,$B$56*$B$58,$B$56)))/CL138)</f><v /></c><c r="CO138" s="11"><f>IF(5=$B$49+$B$50,0,IF(5&gt;$B$49+$B$50,$B$56/CL139,IF(5&gt;=$B$49,$B$56*$B$58/CL139,($B$56*$B$58+$B$55)/CL139)))</f><v /></c><c r="CP138" s="11"><f>IF(5=$B$49,-$K$61*$B$55,0)</f><v /></c><c r="CQ138" s="11"><f>CO138/(CN138-CM138*CQ137)</f><v /></c><c r="CR138" s="11"><f>(CP138-CM138*CR137)/(CN138-CM138*CQ137)</f><v /></c><c r="CS138" s="15"><f>CR138-CQ138*CS139</f><v /></c><c r="CT138" s="11"><f>IF(5&gt;$B$49+$B$50,$G$62*$B$54^$H$62,$E$62*$B$52^$F$62)</f><v /></c><c r="CU138" s="11"><f>IF(5=1,0,$B$57)</f><v /></c><c r="CV138" s="11"><f>-($B$57+(IF(5&lt;=$B$49,$B$56*$B$58+$B$55,IF(5&lt;=$B$49+$B$50,$B$56*$B$58,$B$56)))/CT138)</f><v /></c><c r="CW138" s="11"><f>IF(5=$B$49+$B$50,0,IF(5&gt;$B$49+$B$50,$B$56/CT139,IF(5&gt;=$B$49,$B$56*$B$58/CT139,($B$56*$B$58+$B$55)/CT139)))</f><v /></c><c r="CX138" s="11"><f>IF(5=$B$49,-$K$62*$B$55,0)</f><v /></c><c r="CY138" s="11"><f>CW138/(CV138-CU138*CY137)</f><v /></c><c r="CZ138" s="11"><f>(CX138-CU138*CZ137)/(CV138-CU138*CY137)</f><v /></c><c r="DA138" s="15"><f>CZ138-CY138*DA139</f><v /></c><c r="DB138" s="11"><f>IF(5&gt;$B$49+$B$50,$G$63*$B$54^$H$63,$E$63*$B$52^$F$63)</f><v /></c><c r="DC138" s="11"><f>IF(5=1,0,$B$57)</f><v /></c><c r="DD138" s="11"><f>-($B$57+(IF(5&lt;=$B$49,$B$56*$B$58+$B$55,IF(5&lt;=$B$49+$B$50,$B$56*$B$58,$B$56)))/DB138)</f><v /></c><c r="DE138" s="11"><f>IF(5=$B$49+$B$50,0,IF(5&gt;$B$49+$B$50,$B$56/DB139,IF(5&gt;=$B$49,$B$56*$B$58/DB139,($B$56*$B$58+$B$55)/DB139)))</f><v /></c><c r="DF138" s="11"><f>IF(5=$B$49,-$K$63*$B$55,0)</f><v /></c><c r="DG138" s="11"><f>DE138/(DD138-DC138*DG137)</f><v /></c><c r="DH138" s="11"><f>(DF138-DC138*DH137)/(DD138-DC138*DG137)</f><v /></c><c r="DI138" s="15"><f>DH138-DG138*DI139</f><v /></c><c r="DJ138" s="11"><f>IF(5&gt;$B$49+$B$50,$G$64*$B$54^$H$64,$E$64*$B$52^$F$64)</f><v /></c><c r="DK138" s="11"><f>IF(5=1,0,$B$57)</f><v /></c><c r="DL138" s="11"><f>-($B$57+(IF(5&lt;=$B$49,$B$56*$B$58+$B$55,IF(5&lt;=$B$49+$B$50,$B$56*$B$58,$B$56)))/DJ138)</f><v /></c><c r="DM138" s="11"><f>IF(5=$B$49+$B$50,0,IF(5&gt;$B$49+$B$50,$B$56/DJ139,IF(5&gt;=$B$49,$B$56*$B$58/DJ139,($B$56*$B$58+$B$55)/DJ139)))</f><v /></c><c r="DN138" s="11"><f>IF(5=$B$49,-$K$64*$B$55,0)</f><v /></c><c r="DO138" s="11"><f>DM138/(DL138-DK138*DO137)</f><v /></c><c r="DP138" s="11"><f>(DN138-DK138*DP137)/(DL138-DK138*DO137)</f><v /></c><c r="DQ138" s="15"><f>DP138-DO138*DQ139</f><v /></c><c r="DR138" s="11"><f>IF(5&gt;$B$49+$B$50,$G$65*$B$54^$H$65,$E$65*$B$52^$F$65)</f><v /></c><c r="DS138" s="11"><f>IF(5=1,0,$B$57)</f><v /></c><c r="DT138" s="11"><f>-($B$57+(IF(5&lt;=$B$49,$B$56*$B$58+$B$55,IF(5&lt;=$B$49+$B$50,$B$56*$B$58,$B$56)))/DR138)</f><v /></c><c r="DU138" s="11"><f>IF(5=$B$49+$B$50,0,IF(5&gt;$B$49+$B$50,$B$56/DR139,IF(5&gt;=$B$49,$B$56*$B$58/DR139,($B$56*$B$58+$B$55)/DR139)))</f><v /></c><c r="DV138" s="11"><f>IF(5=$B$49,-$K$65*$B$55,0)</f><v /></c><c r="DW138" s="11"><f>DU138/(DT138-DS138*DW137)</f><v /></c><c r="DX138" s="11"><f>(DV138-DS138*DX137)/(DT138-DS138*DW137)</f><v /></c><c r="DY138" s="15"><f>DX138-DW138*DY139</f><v /></c><c r="DZ138" s="11"><f>IF(5&gt;$B$49+$B$50,$G$66*$B$54^$H$66,$E$66*$B$52^$F$66)</f><v /></c><c r="EA138" s="11"><f>IF(5=1,0,$B$57)</f><v /></c><c r="EB138" s="11"><f>-($B$57+(IF(5&lt;=$B$49,$B$56*$B$58+$B$55,IF(5&lt;=$B$49+$B$50,$B$56*$B$58,$B$56)))/DZ138)</f><v /></c><c r="EC138" s="11"><f>IF(5=$B$49+$B$50,0,IF(5&gt;$B$49+$B$50,$B$56/DZ139,IF(5&gt;=$B$49,$B$56*$B$58/DZ139,($B$56*$B$58+$B$55)/DZ139)))</f><v /></c><c r="ED138" s="11"><f>IF(5=$B$49,-$K$66*$B$55,0)</f><v /></c><c r="EE138" s="11"><f>EC138/(EB138-EA138*EE137)</f><v /></c><c r="EF138" s="11"><f>(ED138-EA138*EF137)/(EB138-EA138*EE137)</f><v /></c><c r="EG138" s="15"><f>EF138-EE138*EG139</f><v /></c><c r="EH138" s="11"><f>IF(5&gt;$B$49+$B$50,$G$67*$B$54^$H$67,$E$67*$B$52^$F$67)</f><v /></c><c r="EI138" s="11"><f>IF(5=1,0,$B$57)</f><v /></c><c r="EJ138" s="11"><f>-($B$57+(IF(5&lt;=$B$49,$B$56*$B$58+$B$55,IF(5&lt;=$B$49+$B$50,$B$56*$B$58,$B$56)))/EH138)</f><v /></c><c r="EK138" s="11"><f>IF(5=$B$49+$B$50,0,IF(5&gt;$B$49+$B$50,$B$56/EH139,IF(5&gt;=$B$49,$B$56*$B$58/EH139,($B$56*$B$58+$B$55)/EH139)))</f><v /></c><c r="EL138" s="11"><f>IF(5=$B$49,-$K$67*$B$55,0)</f><v /></c><c r="EM138" s="11"><f>EK138/(EJ138-EI138*EM137)</f><v /></c><c r="EN138" s="11"><f>(EL138-EI138*EN137)/(EJ138-EI138*EM137)</f><v /></c><c r="EO138" s="15"><f>EN138-EM138*EO139</f><v /></c><c r="EP138" s="11"><f>IF(5&gt;$B$49+$B$50,$G$68*$B$54^$H$68,$E$68*$B$52^$F$68)</f><v /></c><c r="EQ138" s="11"><f>IF(5=1,0,$B$57)</f><v /></c><c r="ER138" s="11"><f>-($B$57+(IF(5&lt;=$B$49,$B$56*$B$58+$B$55,IF(5&lt;=$B$49+$B$50,$B$56*$B$58,$B$56)))/EP138)</f><v /></c><c r="ES138" s="11"><f>IF(5=$B$49+$B$50,0,IF(5&gt;$B$49+$B$50,$B$56/EP139,IF(5&gt;=$B$49,$B$56*$B$58/EP139,($B$56*$B$58+$B$55)/EP139)))</f><v /></c><c r="ET138" s="11"><f>IF(5=$B$49,-$K$68*$B$55,0)</f><v /></c><c r="EU138" s="11"><f>ES138/(ER138-EQ138*EU137)</f><v /></c><c r="EV138" s="11"><f>(ET138-EQ138*EV137)/(ER138-EQ138*EU137)</f><v /></c><c r="EW138" s="15"><f>EV138-EU138*EW139</f><v /></c><c r="EX138" s="11"><f>IF(5&gt;$B$49+$B$50,$G$69*$B$54^$H$69,$E$69*$B$52^$F$69)</f><v /></c><c r="EY138" s="11"><f>IF(5=1,0,$B$57)</f><v /></c><c r="EZ138" s="11"><f>-($B$57+(IF(5&lt;=$B$49,$B$56*$B$58+$B$55,IF(5&lt;=$B$49+$B$50,$B$56*$B$58,$B$56)))/EX138)</f><v /></c><c r="FA138" s="11"><f>IF(5=$B$49+$B$50,0,IF(5&gt;$B$49+$B$50,$B$56/EX139,IF(5&gt;=$B$49,$B$56*$B$58/EX139,($B$56*$B$58+$B$55)/EX139)))</f><v /></c><c r="FB138" s="11"><f>IF(5=$B$49,-$K$69*$B$55,0)</f><v /></c><c r="FC138" s="11"><f>FA138/(EZ138-EY138*FC137)</f><v /></c><c r="FD138" s="11"><f>(FB138-EY138*FD137)/(EZ138-EY138*FC137)</f><v /></c><c r="FE138" s="15"><f>FD138-FC138*FE139</f><v /></c><c r="FF138" s="11"><f>IF(5&gt;$B$49+$B$50,$G$70*$B$54^$H$70,$E$70*$B$52^$F$70)</f><v /></c><c r="FG138" s="11"><f>IF(5=1,0,$B$57)</f><v /></c><c r="FH138" s="11"><f>-($B$57+(IF(5&lt;=$B$49,$B$56*$B$58+$B$55,IF(5&lt;=$B$49+$B$50,$B$56*$B$58,$B$56)))/FF138)</f><v /></c><c r="FI138" s="11"><f>IF(5=$B$49+$B$50,0,IF(5&gt;$B$49+$B$50,$B$56/FF139,IF(5&gt;=$B$49,$B$56*$B$58/FF139,($B$56*$B$58+$B$55)/FF139)))</f><v /></c><c r="FJ138" s="11"><f>IF(5=$B$49,-$K$70*$B$55,0)</f><v /></c><c r="FK138" s="11"><f>FI138/(FH138-FG138*FK137)</f><v /></c><c r="FL138" s="11"><f>(FJ138-FG138*FL137)/(FH138-FG138*FK137)</f><v /></c><c r="FM138" s="15"><f>FL138-FK138*FM139</f><v /></c><c r="FN138" s="11"><f>IF(5&gt;$B$49+$B$50,$G$71*$B$54^$H$71,$E$71*$B$52^$F$71)</f><v /></c><c r="FO138" s="11"><f>IF(5=1,0,$B$57)</f><v /></c><c r="FP138" s="11"><f>-($B$57+(IF(5&lt;=$B$49,$B$56*$B$58+$B$55,IF(5&lt;=$B$49+$B$50,$B$56*$B$58,$B$56)))/FN138)</f><v /></c><c r="FQ138" s="11"><f>IF(5=$B$49+$B$50,0,IF(5&gt;$B$49+$B$50,$B$56/FN139,IF(5&gt;=$B$49,$B$56*$B$58/FN139,($B$56*$B$58+$B$55)/FN139)))</f><v /></c><c r="FR138" s="11"><f>IF(5=$B$49,-$K$71*$B$55,0)</f><v /></c><c r="FS138" s="11"><f>FQ138/(FP138-FO138*FS137)</f><v /></c><c r="FT138" s="11"><f>(FR138-FO138*FT137)/(FP138-FO138*FS137)</f><v /></c><c r="FU138" s="15"><f>FT138-FS138*FU139</f><v /></c><c r="FV138" s="11"><f>IF(5&gt;$B$49+$B$50,$G$72*$B$54^$H$72,$E$72*$B$52^$F$72)</f><v /></c><c r="FW138" s="11"><f>IF(5=1,0,$B$57)</f><v /></c><c r="FX138" s="11"><f>-($B$57+(IF(5&lt;=$B$49,$B$56*$B$58+$B$55,IF(5&lt;=$B$49+$B$50,$B$56*$B$58,$B$56)))/FV138)</f><v /></c><c r="FY138" s="11"><f>IF(5=$B$49+$B$50,0,IF(5&gt;$B$49+$B$50,$B$56/FV139,IF(5&gt;=$B$49,$B$56*$B$58/FV139,($B$56*$B$58+$B$55)/FV139)))</f><v /></c><c r="FZ138" s="11"><f>IF(5=$B$49,-$K$72*$B$55,0)</f><v /></c><c r="GA138" s="11"><f>FY138/(FX138-FW138*GA137)</f><v /></c><c r="GB138" s="11"><f>(FZ138-FW138*GB137)/(FX138-FW138*GA137)</f><v /></c><c r="GC138" s="15"><f>GB138-GA138*GC139</f><v /></c><c r="GD138" s="11"><f>IF(5&gt;$B$49+$B$50,$G$73*$B$54^$H$73,$E$73*$B$52^$F$73)</f><v /></c><c r="GE138" s="11"><f>IF(5=1,0,$B$57)</f><v /></c><c r="GF138" s="11"><f>-($B$57+(IF(5&lt;=$B$49,$B$56*$B$58+$B$55,IF(5&lt;=$B$49+$B$50,$B$56*$B$58,$B$56)))/GD138)</f><v /></c><c r="GG138" s="11"><f>IF(5=$B$49+$B$50,0,IF(5&gt;$B$49+$B$50,$B$56/GD139,IF(5&gt;=$B$49,$B$56*$B$58/GD139,($B$56*$B$58+$B$55)/GD139)))</f><v /></c><c r="GH138" s="11"><f>IF(5=$B$49,-$K$73*$B$55,0)</f><v /></c><c r="GI138" s="11"><f>GG138/(GF138-GE138*GI137)</f><v /></c><c r="GJ138" s="11"><f>(GH138-GE138*GJ137)/(GF138-GE138*GI137)</f><v /></c><c r="GK138" s="15"><f>GJ138-GI138*GK139</f><v /></c><c r="GL138" s="11"><f>IF(5&gt;$B$49+$B$50,$G$74*$B$54^$H$74,$E$74*$B$52^$F$74)</f><v /></c><c r="GM138" s="11"><f>IF(5=1,0,$B$57)</f><v /></c><c r="GN138" s="11"><f>-($B$57+(IF(5&lt;=$B$49,$B$56*$B$58+$B$55,IF(5&lt;=$B$49+$B$50,$B$56*$B$58,$B$56)))/GL138)</f><v /></c><c r="GO138" s="11"><f>IF(5=$B$49+$B$50,0,IF(5&gt;$B$49+$B$50,$B$56/GL139,IF(5&gt;=$B$49,$B$56*$B$58/GL139,($B$56*$B$58+$B$55)/GL139)))</f><v /></c><c r="GP138" s="11"><f>IF(5=$B$49,-$K$74*$B$55,0)</f><v /></c><c r="GQ138" s="11"><f>GO138/(GN138-GM138*GQ137)</f><v /></c><c r="GR138" s="11"><f>(GP138-GM138*GR137)/(GN138-GM138*GQ137)</f><v /></c><c r="GS138" s="15"><f>GR138-GQ138*GS139</f><v /></c><c r="GT138" s="11"><f>IF(5&gt;$B$49+$B$50,$G$75*$B$54^$H$75,$E$75*$B$52^$F$75)</f><v /></c><c r="GU138" s="11"><f>IF(5=1,0,$B$57)</f><v /></c><c r="GV138" s="11"><f>-($B$57+(IF(5&lt;=$B$49,$B$56*$B$58+$B$55,IF(5&lt;=$B$49+$B$50,$B$56*$B$58,$B$56)))/GT138)</f><v /></c><c r="GW138" s="11"><f>IF(5=$B$49+$B$50,0,IF(5&gt;$B$49+$B$50,$B$56/GT139,IF(5&gt;=$B$49,$B$56*$B$58/GT139,($B$56*$B$58+$B$55)/GT139)))</f><v /></c><c r="GX138" s="11"><f>IF(5=$B$49,-$K$75*$B$55,0)</f><v /></c><c r="GY138" s="11"><f>GW138/(GV138-GU138*GY137)</f><v /></c><c r="GZ138" s="11"><f>(GX138-GU138*GZ137)/(GV138-GU138*GY137)</f><v /></c><c r="HA138" s="15"><f>GZ138-GY138*HA139</f><v /></c><c r="HB138" s="13"><f>IFERROR(I138/B138,0)</f><v /></c><c r="HC138" s="13"><f>IFERROR(Q138/J138,0)</f><v /></c><c r="HD138" s="13"><f>IFERROR(Y138/R138,0)</f><v /></c><c r="HE138" s="13"><f>IFERROR(AG138/Z138,0)</f><v /></c><c r="HF138" s="13"><f>IFERROR(AO138/AH138,0)</f><v /></c><c r="HG138" s="13"><f>IFERROR(AW138/AP138,0)</f><v /></c><c r="HH138" s="13"><f>IFERROR(BE138/AX138,0)</f><v /></c><c r="HI138" s="13"><f>IFERROR(BM138/BF138,0)</f><v /></c><c r="HJ138" s="13"><f>IFERROR(BU138/BN138,0)</f><v /></c><c r="HK138" s="13"><f>IFERROR(CC138/BV138,0)</f><v /></c><c r="HL138" s="13"><f>IFERROR(CK138/CD138,0)</f><v /></c><c r="HM138" s="13"><f>IFERROR(CS138/CL138,0)</f><v /></c><c r="HN138" s="13"><f>IFERROR(DA138/CT138,0)</f><v /></c><c r="HO138" s="13"><f>IFERROR(DI138/DB138,0)</f><v /></c><c r="HP138" s="13"><f>IFERROR(DQ138/DJ138,0)</f><v /></c><c r="HQ138" s="13"><f>IFERROR(DY138/DR138,0)</f><v /></c><c r="HR138" s="13"><f>IFERROR(EG138/DZ138,0)</f><v /></c><c r="HS138" s="13"><f>IFERROR(EO138/EH138,0)</f><v /></c><c r="HT138" s="13"><f>IFERROR(EW138/EP138,0)</f><v /></c><c r="HU138" s="13"><f>IFERROR(FE138/EX138,0)</f><v /></c><c r="HV138" s="13"><f>IFERROR(FM138/FF138,0)</f><v /></c><c r="HW138" s="13"><f>IFERROR(FU138/FN138,0)</f><v /></c><c r="HX138" s="13"><f>IFERROR(GC138/FV138,0)</f><v /></c><c r="HY138" s="13"><f>IFERROR(GK138/GD138,0)</f><v /></c><c r="HZ138" s="13"><f>IFERROR(GS138/GL138,0)</f><v /></c><c r="IA138" s="13"><f>IFERROR(HA138/GT138,0)</f><v /></c><c r="IB138" s="13"><f>I138+Q138+Y138+AG138+AO138+AW138+BE138+BM138+BU138+CC138+CK138+CS138+DA138+DI138+DQ138+DY138+EG138+EO138+EW138+FE138+FM138+FU138+GC138+GK138+GS138+HA138</f><v /></c><c r="IC138" s="13"><f>HB138+HC138+HD138+HE138+HF138+HG138+HH138+HI138+HJ138+HK138+HL138+HM138+HN138+HO138+HP138+HQ138+HR138+HS138+HT138+HU138+HV138+HW138+HX138+HY138+HZ138+IA138</f><v /></c></row><row r="139" ht="14" customHeight="1"><c r="A139" s="25" t="n"><v>6</v></c><c r="B139" s="11"><f>IF(6&gt;$B$49+$B$50,$G$50*$B$54^$H$50,$E$50*$B$52^$F$50)</f><v /></c><c r="C139" s="11"><f>IF(6=1,0,$B$57)</f><v /></c><c r="D139" s="11"><f>-($B$57+(IF(6&lt;=$B$49,$B$56*$B$58+$B$55,IF(6&lt;=$B$49+$B$50,$B$56*$B$58,$B$56)))/B139)</f><v /></c><c r="E139" s="11"><f>IF(6=$B$49+$B$50,0,IF(6&gt;$B$49+$B$50,$B$56/B140,IF(6&gt;=$B$49,$B$56*$B$58/B140,($B$56*$B$58+$B$55)/B140)))</f><v /></c><c r="F139" s="11"><f>IF(6=$B$49,-$K$50*$B$55,0)</f><v /></c><c r="G139" s="11"><f>E139/(D139-C139*G138)</f><v /></c><c r="H139" s="11"><f>(F139-C139*H138)/(D139-C139*G138)</f><v /></c><c r="I139" s="15"><f>H139-G139*I140</f><v /></c><c r="J139" s="11"><f>IF(6&gt;$B$49+$B$50,$G$51*$B$54^$H$51,$E$51*$B$52^$F$51)</f><v /></c><c r="K139" s="11"><f>IF(6=1,0,$B$57)</f><v /></c><c r="L139" s="11"><f>-($B$57+(IF(6&lt;=$B$49,$B$56*$B$58+$B$55,IF(6&lt;=$B$49+$B$50,$B$56*$B$58,$B$56)))/J139)</f><v /></c><c r="M139" s="11"><f>IF(6=$B$49+$B$50,0,IF(6&gt;$B$49+$B$50,$B$56/J140,IF(6&gt;=$B$49,$B$56*$B$58/J140,($B$56*$B$58+$B$55)/J140)))</f><v /></c><c r="N139" s="11"><f>IF(6=$B$49,-$K$51*$B$55,0)</f><v /></c><c r="O139" s="11"><f>M139/(L139-K139*O138)</f><v /></c><c r="P139" s="11"><f>(N139-K139*P138)/(L139-K139*O138)</f><v /></c><c r="Q139" s="15"><f>P139-O139*Q140</f><v /></c><c r="R139" s="11"><f>IF(6&gt;$B$49+$B$50,$G$52*$B$54^$H$52,$E$52*$B$52^$F$52)</f><v /></c><c r="S139" s="11"><f>IF(6=1,0,$B$57)</f><v /></c><c r="T139" s="11"><f>-($B$57+(IF(6&lt;=$B$49,$B$56*$B$58+$B$55,IF(6&lt;=$B$49+$B$50,$B$56*$B$58,$B$56)))/R139)</f><v /></c><c r="U139" s="11"><f>IF(6=$B$49+$B$50,0,IF(6&gt;$B$49+$B$50,$B$56/R140,IF(6&gt;=$B$49,$B$56*$B$58/R140,($B$56*$B$58+$B$55)/R140)))</f><v /></c><c r="V139" s="11"><f>IF(6=$B$49,-$K$52*$B$55,0)</f><v /></c><c r="W139" s="11"><f>U139/(T139-S139*W138)</f><v /></c><c r="X139" s="11"><f>(V139-S139*X138)/(T139-S139*W138)</f><v /></c><c r="Y139" s="15"><f>X139-W139*Y140</f><v /></c><c r="Z139" s="11"><f>IF(6&gt;$B$49+$B$50,$G$53*$B$54^$H$53,$E$53*$B$52^$F$53)</f><v /></c><c r="AA139" s="11"><f>IF(6=1,0,$B$57)</f><v /></c><c r="AB139" s="11"><f>-($B$57+(IF(6&lt;=$B$49,$B$56*$B$58+$B$55,IF(6&lt;=$B$49+$B$50,$B$56*$B$58,$B$56)))/Z139)</f><v /></c><c r="AC139" s="11"><f>IF(6=$B$49+$B$50,0,IF(6&gt;$B$49+$B$50,$B$56/Z140,IF(6&gt;=$B$49,$B$56*$B$58/Z140,($B$56*$B$58+$B$55)/Z140)))</f><v /></c><c r="AD139" s="11"><f>IF(6=$B$49,-$K$53*$B$55,0)</f><v /></c><c r="AE139" s="11"><f>AC139/(AB139-AA139*AE138)</f><v /></c><c r="AF139" s="11"><f>(AD139-AA139*AF138)/(AB139-AA139*AE138)</f><v /></c><c r="AG139" s="15"><f>AF139-AE139*AG140</f><v /></c><c r="AH139" s="11"><f>IF(6&gt;$B$49+$B$50,$G$54*$B$54^$H$54,$E$54*$B$52^$F$54)</f><v /></c><c r="AI139" s="11"><f>IF(6=1,0,$B$57)</f><v /></c><c r="AJ139" s="11"><f>-($B$57+(IF(6&lt;=$B$49,$B$56*$B$58+$B$55,IF(6&lt;=$B$49+$B$50,$B$56*$B$58,$B$56)))/AH139)</f><v /></c><c r="AK139" s="11"><f>IF(6=$B$49+$B$50,0,IF(6&gt;$B$49+$B$50,$B$56/AH140,IF(6&gt;=$B$49,$B$56*$B$58/AH140,($B$56*$B$58+$B$55)/AH140)))</f><v /></c><c r="AL139" s="11"><f>IF(6=$B$49,-$K$54*$B$55,0)</f><v /></c><c r="AM139" s="11"><f>AK139/(AJ139-AI139*AM138)</f><v /></c><c r="AN139" s="11"><f>(AL139-AI139*AN138)/(AJ139-AI139*AM138)</f><v /></c><c r="AO139" s="15"><f>AN139-AM139*AO140</f><v /></c><c r="AP139" s="11"><f>IF(6&gt;$B$49+$B$50,$G$55*$B$54^$H$55,$E$55*$B$52^$F$55)</f><v /></c><c r="AQ139" s="11"><f>IF(6=1,0,$B$57)</f><v /></c><c r="AR139" s="11"><f>-($B$57+(IF(6&lt;=$B$49,$B$56*$B$58+$B$55,IF(6&lt;=$B$49+$B$50,$B$56*$B$58,$B$56)))/AP139)</f><v /></c><c r="AS139" s="11"><f>IF(6=$B$49+$B$50,0,IF(6&gt;$B$49+$B$50,$B$56/AP140,IF(6&gt;=$B$49,$B$56*$B$58/AP140,($B$56*$B$58+$B$55)/AP140)))</f><v /></c><c r="AT139" s="11"><f>IF(6=$B$49,-$K$55*$B$55,0)</f><v /></c><c r="AU139" s="11"><f>AS139/(AR139-AQ139*AU138)</f><v /></c><c r="AV139" s="11"><f>(AT139-AQ139*AV138)/(AR139-AQ139*AU138)</f><v /></c><c r="AW139" s="15"><f>AV139-AU139*AW140</f><v /></c><c r="AX139" s="11"><f>IF(6&gt;$B$49+$B$50,$G$56*$B$54^$H$56,$E$56*$B$52^$F$56)</f><v /></c><c r="AY139" s="11"><f>IF(6=1,0,$B$57)</f><v /></c><c r="AZ139" s="11"><f>-($B$57+(IF(6&lt;=$B$49,$B$56*$B$58+$B$55,IF(6&lt;=$B$49+$B$50,$B$56*$B$58,$B$56)))/AX139)</f><v /></c><c r="BA139" s="11"><f>IF(6=$B$49+$B$50,0,IF(6&gt;$B$49+$B$50,$B$56/AX140,IF(6&gt;=$B$49,$B$56*$B$58/AX140,($B$56*$B$58+$B$55)/AX140)))</f><v /></c><c r="BB139" s="11"><f>IF(6=$B$49,-$K$56*$B$55,0)</f><v /></c><c r="BC139" s="11"><f>BA139/(AZ139-AY139*BC138)</f><v /></c><c r="BD139" s="11"><f>(BB139-AY139*BD138)/(AZ139-AY139*BC138)</f><v /></c><c r="BE139" s="15"><f>BD139-BC139*BE140</f><v /></c><c r="BF139" s="11"><f>IF(6&gt;$B$49+$B$50,$G$57*$B$54^$H$57,$E$57*$B$52^$F$57)</f><v /></c><c r="BG139" s="11"><f>IF(6=1,0,$B$57)</f><v /></c><c r="BH139" s="11"><f>-($B$57+(IF(6&lt;=$B$49,$B$56*$B$58+$B$55,IF(6&lt;=$B$49+$B$50,$B$56*$B$58,$B$56)))/BF139)</f><v /></c><c r="BI139" s="11"><f>IF(6=$B$49+$B$50,0,IF(6&gt;$B$49+$B$50,$B$56/BF140,IF(6&gt;=$B$49,$B$56*$B$58/BF140,($B$56*$B$58+$B$55)/BF140)))</f><v /></c><c r="BJ139" s="11"><f>IF(6=$B$49,-$K$57*$B$55,0)</f><v /></c><c r="BK139" s="11"><f>BI139/(BH139-BG139*BK138)</f><v /></c><c r="BL139" s="11"><f>(BJ139-BG139*BL138)/(BH139-BG139*BK138)</f><v /></c><c r="BM139" s="15"><f>BL139-BK139*BM140</f><v /></c><c r="BN139" s="11"><f>IF(6&gt;$B$49+$B$50,$G$58*$B$54^$H$58,$E$58*$B$52^$F$58)</f><v /></c><c r="BO139" s="11"><f>IF(6=1,0,$B$57)</f><v /></c><c r="BP139" s="11"><f>-($B$57+(IF(6&lt;=$B$49,$B$56*$B$58+$B$55,IF(6&lt;=$B$49+$B$50,$B$56*$B$58,$B$56)))/BN139)</f><v /></c><c r="BQ139" s="11"><f>IF(6=$B$49+$B$50,0,IF(6&gt;$B$49+$B$50,$B$56/BN140,IF(6&gt;=$B$49,$B$56*$B$58/BN140,($B$56*$B$58+$B$55)/BN140)))</f><v /></c><c r="BR139" s="11"><f>IF(6=$B$49,-$K$58*$B$55,0)</f><v /></c><c r="BS139" s="11"><f>BQ139/(BP139-BO139*BS138)</f><v /></c><c r="BT139" s="11"><f>(BR139-BO139*BT138)/(BP139-BO139*BS138)</f><v /></c><c r="BU139" s="15"><f>BT139-BS139*BU140</f><v /></c><c r="BV139" s="11"><f>IF(6&gt;$B$49+$B$50,$G$59*$B$54^$H$59,$E$59*$B$52^$F$59)</f><v /></c><c r="BW139" s="11"><f>IF(6=1,0,$B$57)</f><v /></c><c r="BX139" s="11"><f>-($B$57+(IF(6&lt;=$B$49,$B$56*$B$58+$B$55,IF(6&lt;=$B$49+$B$50,$B$56*$B$58,$B$56)))/BV139)</f><v /></c><c r="BY139" s="11"><f>IF(6=$B$49+$B$50,0,IF(6&gt;$B$49+$B$50,$B$56/BV140,IF(6&gt;=$B$49,$B$56*$B$58/BV140,($B$56*$B$58+$B$55)/BV140)))</f><v /></c><c r="BZ139" s="11"><f>IF(6=$B$49,-$K$59*$B$55,0)</f><v /></c><c r="CA139" s="11"><f>BY139/(BX139-BW139*CA138)</f><v /></c><c r="CB139" s="11"><f>(BZ139-BW139*CB138)/(BX139-BW139*CA138)</f><v /></c><c r="CC139" s="15"><f>CB139-CA139*CC140</f><v /></c><c r="CD139" s="11"><f>IF(6&gt;$B$49+$B$50,$G$60*$B$54^$H$60,$E$60*$B$52^$F$60)</f><v /></c><c r="CE139" s="11"><f>IF(6=1,0,$B$57)</f><v /></c><c r="CF139" s="11"><f>-($B$57+(IF(6&lt;=$B$49,$B$56*$B$58+$B$55,IF(6&lt;=$B$49+$B$50,$B$56*$B$58,$B$56)))/CD139)</f><v /></c><c r="CG139" s="11"><f>IF(6=$B$49+$B$50,0,IF(6&gt;$B$49+$B$50,$B$56/CD140,IF(6&gt;=$B$49,$B$56*$B$58/CD140,($B$56*$B$58+$B$55)/CD140)))</f><v /></c><c r="CH139" s="11"><f>IF(6=$B$49,-$K$60*$B$55,0)</f><v /></c><c r="CI139" s="11"><f>CG139/(CF139-CE139*CI138)</f><v /></c><c r="CJ139" s="11"><f>(CH139-CE139*CJ138)/(CF139-CE139*CI138)</f><v /></c><c r="CK139" s="15"><f>CJ139-CI139*CK140</f><v /></c><c r="CL139" s="11"><f>IF(6&gt;$B$49+$B$50,$G$61*$B$54^$H$61,$E$61*$B$52^$F$61)</f><v /></c><c r="CM139" s="11"><f>IF(6=1,0,$B$57)</f><v /></c><c r="CN139" s="11"><f>-($B$57+(IF(6&lt;=$B$49,$B$56*$B$58+$B$55,IF(6&lt;=$B$49+$B$50,$B$56*$B$58,$B$56)))/CL139)</f><v /></c><c r="CO139" s="11"><f>IF(6=$B$49+$B$50,0,IF(6&gt;$B$49+$B$50,$B$56/CL140,IF(6&gt;=$B$49,$B$56*$B$58/CL140,($B$56*$B$58+$B$55)/CL140)))</f><v /></c><c r="CP139" s="11"><f>IF(6=$B$49,-$K$61*$B$55,0)</f><v /></c><c r="CQ139" s="11"><f>CO139/(CN139-CM139*CQ138)</f><v /></c><c r="CR139" s="11"><f>(CP139-CM139*CR138)/(CN139-CM139*CQ138)</f><v /></c><c r="CS139" s="15"><f>CR139-CQ139*CS140</f><v /></c><c r="CT139" s="11"><f>IF(6&gt;$B$49+$B$50,$G$62*$B$54^$H$62,$E$62*$B$52^$F$62)</f><v /></c><c r="CU139" s="11"><f>IF(6=1,0,$B$57)</f><v /></c><c r="CV139" s="11"><f>-($B$57+(IF(6&lt;=$B$49,$B$56*$B$58+$B$55,IF(6&lt;=$B$49+$B$50,$B$56*$B$58,$B$56)))/CT139)</f><v /></c><c r="CW139" s="11"><f>IF(6=$B$49+$B$50,0,IF(6&gt;$B$49+$B$50,$B$56/CT140,IF(6&gt;=$B$49,$B$56*$B$58/CT140,($B$56*$B$58+$B$55)/CT140)))</f><v /></c><c r="CX139" s="11"><f>IF(6=$B$49,-$K$62*$B$55,0)</f><v /></c><c r="CY139" s="11"><f>CW139/(CV139-CU139*CY138)</f><v /></c><c r="CZ139" s="11"><f>(CX139-CU139*CZ138)/(CV139-CU139*CY138)</f><v /></c><c r="DA139" s="15"><f>CZ139-CY139*DA140</f><v /></c><c r="DB139" s="11"><f>IF(6&gt;$B$49+$B$50,$G$63*$B$54^$H$63,$E$63*$B$52^$F$63)</f><v /></c><c r="DC139" s="11"><f>IF(6=1,0,$B$57)</f><v /></c><c r="DD139" s="11"><f>-($B$57+(IF(6&lt;=$B$49,$B$56*$B$58+$B$55,IF(6&lt;=$B$49+$B$50,$B$56*$B$58,$B$56)))/DB139)</f><v /></c><c r="DE139" s="11"><f>IF(6=$B$49+$B$50,0,IF(6&gt;$B$49+$B$50,$B$56/DB140,IF(6&gt;=$B$49,$B$56*$B$58/DB140,($B$56*$B$58+$B$55)/DB140)))</f><v /></c><c r="DF139" s="11"><f>IF(6=$B$49,-$K$63*$B$55,0)</f><v /></c><c r="DG139" s="11"><f>DE139/(DD139-DC139*DG138)</f><v /></c><c r="DH139" s="11"><f>(DF139-DC139*DH138)/(DD139-DC139*DG138)</f><v /></c><c r="DI139" s="15"><f>DH139-DG139*DI140</f><v /></c><c r="DJ139" s="11"><f>IF(6&gt;$B$49+$B$50,$G$64*$B$54^$H$64,$E$64*$B$52^$F$64)</f><v /></c><c r="DK139" s="11"><f>IF(6=1,0,$B$57)</f><v /></c><c r="DL139" s="11"><f>-($B$57+(IF(6&lt;=$B$49,$B$56*$B$58+$B$55,IF(6&lt;=$B$49+$B$50,$B$56*$B$58,$B$56)))/DJ139)</f><v /></c><c r="DM139" s="11"><f>IF(6=$B$49+$B$50,0,IF(6&gt;$B$49+$B$50,$B$56/DJ140,IF(6&gt;=$B$49,$B$56*$B$58/DJ140,($B$56*$B$58+$B$55)/DJ140)))</f><v /></c><c r="DN139" s="11"><f>IF(6=$B$49,-$K$64*$B$55,0)</f><v /></c><c r="DO139" s="11"><f>DM139/(DL139-DK139*DO138)</f><v /></c><c r="DP139" s="11"><f>(DN139-DK139*DP138)/(DL139-DK139*DO138)</f><v /></c><c r="DQ139" s="15"><f>DP139-DO139*DQ140</f><v /></c><c r="DR139" s="11"><f>IF(6&gt;$B$49+$B$50,$G$65*$B$54^$H$65,$E$65*$B$52^$F$65)</f><v /></c><c r="DS139" s="11"><f>IF(6=1,0,$B$57)</f><v /></c><c r="DT139" s="11"><f>-($B$57+(IF(6&lt;=$B$49,$B$56*$B$58+$B$55,IF(6&lt;=$B$49+$B$50,$B$56*$B$58,$B$56)))/DR139)</f><v /></c><c r="DU139" s="11"><f>IF(6=$B$49+$B$50,0,IF(6&gt;$B$49+$B$50,$B$56/DR140,IF(6&gt;=$B$49,$B$56*$B$58/DR140,($B$56*$B$58+$B$55)/DR140)))</f><v /></c><c r="DV139" s="11"><f>IF(6=$B$49,-$K$65*$B$55,0)</f><v /></c><c r="DW139" s="11"><f>DU139/(DT139-DS139*DW138)</f><v /></c><c r="DX139" s="11"><f>(DV139-DS139*DX138)/(DT139-DS139*DW138)</f><v /></c><c r="DY139" s="15"><f>DX139-DW139*DY140</f><v /></c><c r="DZ139" s="11"><f>IF(6&gt;$B$49+$B$50,$G$66*$B$54^$H$66,$E$66*$B$52^$F$66)</f><v /></c><c r="EA139" s="11"><f>IF(6=1,0,$B$57)</f><v /></c><c r="EB139" s="11"><f>-($B$57+(IF(6&lt;=$B$49,$B$56*$B$58+$B$55,IF(6&lt;=$B$49+$B$50,$B$56*$B$58,$B$56)))/DZ139)</f><v /></c><c r="EC139" s="11"><f>IF(6=$B$49+$B$50,0,IF(6&gt;$B$49+$B$50,$B$56/DZ140,IF(6&gt;=$B$49,$B$56*$B$58/DZ140,($B$56*$B$58+$B$55)/DZ140)))</f><v /></c><c r="ED139" s="11"><f>IF(6=$B$49,-$K$66*$B$55,0)</f><v /></c><c r="EE139" s="11"><f>EC139/(EB139-EA139*EE138)</f><v /></c><c r="EF139" s="11"><f>(ED139-EA139*EF138)/(EB139-EA139*EE138)</f><v /></c><c r="EG139" s="15"><f>EF139-EE139*EG140</f><v /></c><c r="EH139" s="11"><f>IF(6&gt;$B$49+$B$50,$G$67*$B$54^$H$67,$E$67*$B$52^$F$67)</f><v /></c><c r="EI139" s="11"><f>IF(6=1,0,$B$57)</f><v /></c><c r="EJ139" s="11"><f>-($B$57+(IF(6&lt;=$B$49,$B$56*$B$58+$B$55,IF(6&lt;=$B$49+$B$50,$B$56*$B$58,$B$56)))/EH139)</f><v /></c><c r="EK139" s="11"><f>IF(6=$B$49+$B$50,0,IF(6&gt;$B$49+$B$50,$B$56/EH140,IF(6&gt;=$B$49,$B$56*$B$58/EH140,($B$56*$B$58+$B$55)/EH140)))</f><v /></c><c r="EL139" s="11"><f>IF(6=$B$49,-$K$67*$B$55,0)</f><v /></c><c r="EM139" s="11"><f>EK139/(EJ139-EI139*EM138)</f><v /></c><c r="EN139" s="11"><f>(EL139-EI139*EN138)/(EJ139-EI139*EM138)</f><v /></c><c r="EO139" s="15"><f>EN139-EM139*EO140</f><v /></c><c r="EP139" s="11"><f>IF(6&gt;$B$49+$B$50,$G$68*$B$54^$H$68,$E$68*$B$52^$F$68)</f><v /></c><c r="EQ139" s="11"><f>IF(6=1,0,$B$57)</f><v /></c><c r="ER139" s="11"><f>-($B$57+(IF(6&lt;=$B$49,$B$56*$B$58+$B$55,IF(6&lt;=$B$49+$B$50,$B$56*$B$58,$B$56)))/EP139)</f><v /></c><c r="ES139" s="11"><f>IF(6=$B$49+$B$50,0,IF(6&gt;$B$49+$B$50,$B$56/EP140,IF(6&gt;=$B$49,$B$56*$B$58/EP140,($B$56*$B$58+$B$55)/EP140)))</f><v /></c><c r="ET139" s="11"><f>IF(6=$B$49,-$K$68*$B$55,0)</f><v /></c><c r="EU139" s="11"><f>ES139/(ER139-EQ139*EU138)</f><v /></c><c r="EV139" s="11"><f>(ET139-EQ139*EV138)/(ER139-EQ139*EU138)</f><v /></c><c r="EW139" s="15"><f>EV139-EU139*EW140</f><v /></c><c r="EX139" s="11"><f>IF(6&gt;$B$49+$B$50,$G$69*$B$54^$H$69,$E$69*$B$52^$F$69)</f><v /></c><c r="EY139" s="11"><f>IF(6=1,0,$B$57)</f><v /></c><c r="EZ139" s="11"><f>-($B$57+(IF(6&lt;=$B$49,$B$56*$B$58+$B$55,IF(6&lt;=$B$49+$B$50,$B$56*$B$58,$B$56)))/EX139)</f><v /></c><c r="FA139" s="11"><f>IF(6=$B$49+$B$50,0,IF(6&gt;$B$49+$B$50,$B$56/EX140,IF(6&gt;=$B$49,$B$56*$B$58/EX140,($B$56*$B$58+$B$55)/EX140)))</f><v /></c><c r="FB139" s="11"><f>IF(6=$B$49,-$K$69*$B$55,0)</f><v /></c><c r="FC139" s="11"><f>FA139/(EZ139-EY139*FC138)</f><v /></c><c r="FD139" s="11"><f>(FB139-EY139*FD138)/(EZ139-EY139*FC138)</f><v /></c><c r="FE139" s="15"><f>FD139-FC139*FE140</f><v /></c><c r="FF139" s="11"><f>IF(6&gt;$B$49+$B$50,$G$70*$B$54^$H$70,$E$70*$B$52^$F$70)</f><v /></c><c r="FG139" s="11"><f>IF(6=1,0,$B$57)</f><v /></c><c r="FH139" s="11"><f>-($B$57+(IF(6&lt;=$B$49,$B$56*$B$58+$B$55,IF(6&lt;=$B$49+$B$50,$B$56*$B$58,$B$56)))/FF139)</f><v /></c><c r="FI139" s="11"><f>IF(6=$B$49+$B$50,0,IF(6&gt;$B$49+$B$50,$B$56/FF140,IF(6&gt;=$B$49,$B$56*$B$58/FF140,($B$56*$B$58+$B$55)/FF140)))</f><v /></c><c r="FJ139" s="11"><f>IF(6=$B$49,-$K$70*$B$55,0)</f><v /></c><c r="FK139" s="11"><f>FI139/(FH139-FG139*FK138)</f><v /></c><c r="FL139" s="11"><f>(FJ139-FG139*FL138)/(FH139-FG139*FK138)</f><v /></c><c r="FM139" s="15"><f>FL139-FK139*FM140</f><v /></c><c r="FN139" s="11"><f>IF(6&gt;$B$49+$B$50,$G$71*$B$54^$H$71,$E$71*$B$52^$F$71)</f><v /></c><c r="FO139" s="11"><f>IF(6=1,0,$B$57)</f><v /></c><c r="FP139" s="11"><f>-($B$57+(IF(6&lt;=$B$49,$B$56*$B$58+$B$55,IF(6&lt;=$B$49+$B$50,$B$56*$B$58,$B$56)))/FN139)</f><v /></c><c r="FQ139" s="11"><f>IF(6=$B$49+$B$50,0,IF(6&gt;$B$49+$B$50,$B$56/FN140,IF(6&gt;=$B$49,$B$56*$B$58/FN140,($B$56*$B$58+$B$55)/FN140)))</f><v /></c><c r="FR139" s="11"><f>IF(6=$B$49,-$K$71*$B$55,0)</f><v /></c><c r="FS139" s="11"><f>FQ139/(FP139-FO139*FS138)</f><v /></c><c r="FT139" s="11"><f>(FR139-FO139*FT138)/(FP139-FO139*FS138)</f><v /></c><c r="FU139" s="15"><f>FT139-FS139*FU140</f><v /></c><c r="FV139" s="11"><f>IF(6&gt;$B$49+$B$50,$G$72*$B$54^$H$72,$E$72*$B$52^$F$72)</f><v /></c><c r="FW139" s="11"><f>IF(6=1,0,$B$57)</f><v /></c><c r="FX139" s="11"><f>-($B$57+(IF(6&lt;=$B$49,$B$56*$B$58+$B$55,IF(6&lt;=$B$49+$B$50,$B$56*$B$58,$B$56)))/FV139)</f><v /></c><c r="FY139" s="11"><f>IF(6=$B$49+$B$50,0,IF(6&gt;$B$49+$B$50,$B$56/FV140,IF(6&gt;=$B$49,$B$56*$B$58/FV140,($B$56*$B$58+$B$55)/FV140)))</f><v /></c><c r="FZ139" s="11"><f>IF(6=$B$49,-$K$72*$B$55,0)</f><v /></c><c r="GA139" s="11"><f>FY139/(FX139-FW139*GA138)</f><v /></c><c r="GB139" s="11"><f>(FZ139-FW139*GB138)/(FX139-FW139*GA138)</f><v /></c><c r="GC139" s="15"><f>GB139-GA139*GC140</f><v /></c><c r="GD139" s="11"><f>IF(6&gt;$B$49+$B$50,$G$73*$B$54^$H$73,$E$73*$B$52^$F$73)</f><v /></c><c r="GE139" s="11"><f>IF(6=1,0,$B$57)</f><v /></c><c r="GF139" s="11"><f>-($B$57+(IF(6&lt;=$B$49,$B$56*$B$58+$B$55,IF(6&lt;=$B$49+$B$50,$B$56*$B$58,$B$56)))/GD139)</f><v /></c><c r="GG139" s="11"><f>IF(6=$B$49+$B$50,0,IF(6&gt;$B$49+$B$50,$B$56/GD140,IF(6&gt;=$B$49,$B$56*$B$58/GD140,($B$56*$B$58+$B$55)/GD140)))</f><v /></c><c r="GH139" s="11"><f>IF(6=$B$49,-$K$73*$B$55,0)</f><v /></c><c r="GI139" s="11"><f>GG139/(GF139-GE139*GI138)</f><v /></c><c r="GJ139" s="11"><f>(GH139-GE139*GJ138)/(GF139-GE139*GI138)</f><v /></c><c r="GK139" s="15"><f>GJ139-GI139*GK140</f><v /></c><c r="GL139" s="11"><f>IF(6&gt;$B$49+$B$50,$G$74*$B$54^$H$74,$E$74*$B$52^$F$74)</f><v /></c><c r="GM139" s="11"><f>IF(6=1,0,$B$57)</f><v /></c><c r="GN139" s="11"><f>-($B$57+(IF(6&lt;=$B$49,$B$56*$B$58+$B$55,IF(6&lt;=$B$49+$B$50,$B$56*$B$58,$B$56)))/GL139)</f><v /></c><c r="GO139" s="11"><f>IF(6=$B$49+$B$50,0,IF(6&gt;$B$49+$B$50,$B$56/GL140,IF(6&gt;=$B$49,$B$56*$B$58/GL140,($B$56*$B$58+$B$55)/GL140)))</f><v /></c><c r="GP139" s="11"><f>IF(6=$B$49,-$K$74*$B$55,0)</f><v /></c><c r="GQ139" s="11"><f>GO139/(GN139-GM139*GQ138)</f><v /></c><c r="GR139" s="11"><f>(GP139-GM139*GR138)/(GN139-GM139*GQ138)</f><v /></c><c r="GS139" s="15"><f>GR139-GQ139*GS140</f><v /></c><c r="GT139" s="11"><f>IF(6&gt;$B$49+$B$50,$G$75*$B$54^$H$75,$E$75*$B$52^$F$75)</f><v /></c><c r="GU139" s="11"><f>IF(6=1,0,$B$57)</f><v /></c><c r="GV139" s="11"><f>-($B$57+(IF(6&lt;=$B$49,$B$56*$B$58+$B$55,IF(6&lt;=$B$49+$B$50,$B$56*$B$58,$B$56)))/GT139)</f><v /></c><c r="GW139" s="11"><f>IF(6=$B$49+$B$50,0,IF(6&gt;$B$49+$B$50,$B$56/GT140,IF(6&gt;=$B$49,$B$56*$B$58/GT140,($B$56*$B$58+$B$55)/GT140)))</f><v /></c><c r="GX139" s="11"><f>IF(6=$B$49,-$K$75*$B$55,0)</f><v /></c><c r="GY139" s="11"><f>GW139/(GV139-GU139*GY138)</f><v /></c><c r="GZ139" s="11"><f>(GX139-GU139*GZ138)/(GV139-GU139*GY138)</f><v /></c><c r="HA139" s="15"><f>GZ139-GY139*HA140</f><v /></c><c r="HB139" s="13"><f>IFERROR(I139/B139,0)</f><v /></c><c r="HC139" s="13"><f>IFERROR(Q139/J139,0)</f><v /></c><c r="HD139" s="13"><f>IFERROR(Y139/R139,0)</f><v /></c><c r="HE139" s="13"><f>IFERROR(AG139/Z139,0)</f><v /></c><c r="HF139" s="13"><f>IFERROR(AO139/AH139,0)</f><v /></c><c r="HG139" s="13"><f>IFERROR(AW139/AP139,0)</f><v /></c><c r="HH139" s="13"><f>IFERROR(BE139/AX139,0)</f><v /></c><c r="HI139" s="13"><f>IFERROR(BM139/BF139,0)</f><v /></c><c r="HJ139" s="13"><f>IFERROR(BU139/BN139,0)</f><v /></c><c r="HK139" s="13"><f>IFERROR(CC139/BV139,0)</f><v /></c><c r="HL139" s="13"><f>IFERROR(CK139/CD139,0)</f><v /></c><c r="HM139" s="13"><f>IFERROR(CS139/CL139,0)</f><v /></c><c r="HN139" s="13"><f>IFERROR(DA139/CT139,0)</f><v /></c><c r="HO139" s="13"><f>IFERROR(DI139/DB139,0)</f><v /></c><c r="HP139" s="13"><f>IFERROR(DQ139/DJ139,0)</f><v /></c><c r="HQ139" s="13"><f>IFERROR(DY139/DR139,0)</f><v /></c><c r="HR139" s="13"><f>IFERROR(EG139/DZ139,0)</f><v /></c><c r="HS139" s="13"><f>IFERROR(EO139/EH139,0)</f><v /></c><c r="HT139" s="13"><f>IFERROR(EW139/EP139,0)</f><v /></c><c r="HU139" s="13"><f>IFERROR(FE139/EX139,0)</f><v /></c><c r="HV139" s="13"><f>IFERROR(FM139/FF139,0)</f><v /></c><c r="HW139" s="13"><f>IFERROR(FU139/FN139,0)</f><v /></c><c r="HX139" s="13"><f>IFERROR(GC139/FV139,0)</f><v /></c><c r="HY139" s="13"><f>IFERROR(GK139/GD139,0)</f><v /></c><c r="HZ139" s="13"><f>IFERROR(GS139/GL139,0)</f><v /></c><c r="IA139" s="13"><f>IFERROR(HA139/GT139,0)</f><v /></c><c r="IB139" s="13"><f>I139+Q139+Y139+AG139+AO139+AW139+BE139+BM139+BU139+CC139+CK139+CS139+DA139+DI139+DQ139+DY139+EG139+EO139+EW139+FE139+FM139+FU139+GC139+GK139+GS139+HA139</f><v /></c><c r="IC139" s="13"><f>HB139+HC139+HD139+HE139+HF139+HG139+HH139+HI139+HJ139+HK139+HL139+HM139+HN139+HO139+HP139+HQ139+HR139+HS139+HT139+HU139+HV139+HW139+HX139+HY139+HZ139+IA139</f><v /></c></row><row r="140" ht="14" customHeight="1"><c r="A140" s="25" t="n"><v>7</v></c><c r="B140" s="11"><f>IF(7&gt;$B$49+$B$50,$G$50*$B$54^$H$50,$E$50*$B$52^$F$50)</f><v /></c><c r="C140" s="11"><f>IF(7=1,0,$B$57)</f><v /></c><c r="D140" s="11"><f>-($B$57+(IF(7&lt;=$B$49,$B$56*$B$58+$B$55,IF(7&lt;=$B$49+$B$50,$B$56*$B$58,$B$56)))/B140)</f><v /></c><c r="E140" s="11"><f>IF(7=$B$49+$B$50,0,IF(7&gt;$B$49+$B$50,$B$56/B141,IF(7&gt;=$B$49,$B$56*$B$58/B141,($B$56*$B$58+$B$55)/B141)))</f><v /></c><c r="F140" s="11"><f>IF(7=$B$49,-$K$50*$B$55,0)</f><v /></c><c r="G140" s="11"><f>E140/(D140-C140*G139)</f><v /></c><c r="H140" s="11"><f>(F140-C140*H139)/(D140-C140*G139)</f><v /></c><c r="I140" s="15"><f>H140-G140*I141</f><v /></c><c r="J140" s="11"><f>IF(7&gt;$B$49+$B$50,$G$51*$B$54^$H$51,$E$51*$B$52^$F$51)</f><v /></c><c r="K140" s="11"><f>IF(7=1,0,$B$57)</f><v /></c><c r="L140" s="11"><f>-($B$57+(IF(7&lt;=$B$49,$B$56*$B$58+$B$55,IF(7&lt;=$B$49+$B$50,$B$56*$B$58,$B$56)))/J140)</f><v /></c><c r="M140" s="11"><f>IF(7=$B$49+$B$50,0,IF(7&gt;$B$49+$B$50,$B$56/J141,IF(7&gt;=$B$49,$B$56*$B$58/J141,($B$56*$B$58+$B$55)/J141)))</f><v /></c><c r="N140" s="11"><f>IF(7=$B$49,-$K$51*$B$55,0)</f><v /></c><c r="O140" s="11"><f>M140/(L140-K140*O139)</f><v /></c><c r="P140" s="11"><f>(N140-K140*P139)/(L140-K140*O139)</f><v /></c><c r="Q140" s="15"><f>P140-O140*Q141</f><v /></c><c r="R140" s="11"><f>IF(7&gt;$B$49+$B$50,$G$52*$B$54^$H$52,$E$52*$B$52^$F$52)</f><v /></c><c r="S140" s="11"><f>IF(7=1,0,$B$57)</f><v /></c><c r="T140" s="11"><f>-($B$57+(IF(7&lt;=$B$49,$B$56*$B$58+$B$55,IF(7&lt;=$B$49+$B$50,$B$56*$B$58,$B$56)))/R140)</f><v /></c><c r="U140" s="11"><f>IF(7=$B$49+$B$50,0,IF(7&gt;$B$49+$B$50,$B$56/R141,IF(7&gt;=$B$49,$B$56*$B$58/R141,($B$56*$B$58+$B$55)/R141)))</f><v /></c><c r="V140" s="11"><f>IF(7=$B$49,-$K$52*$B$55,0)</f><v /></c><c r="W140" s="11"><f>U140/(T140-S140*W139)</f><v /></c><c r="X140" s="11"><f>(V140-S140*X139)/(T140-S140*W139)</f><v /></c><c r="Y140" s="15"><f>X140-W140*Y141</f><v /></c><c r="Z140" s="11"><f>IF(7&gt;$B$49+$B$50,$G$53*$B$54^$H$53,$E$53*$B$52^$F$53)</f><v /></c><c r="AA140" s="11"><f>IF(7=1,0,$B$57)</f><v /></c><c r="AB140" s="11"><f>-($B$57+(IF(7&lt;=$B$49,$B$56*$B$58+$B$55,IF(7&lt;=$B$49+$B$50,$B$56*$B$58,$B$56)))/Z140)</f><v /></c><c r="AC140" s="11"><f>IF(7=$B$49+$B$50,0,IF(7&gt;$B$49+$B$50,$B$56/Z141,IF(7&gt;=$B$49,$B$56*$B$58/Z141,($B$56*$B$58+$B$55)/Z141)))</f><v /></c><c r="AD140" s="11"><f>IF(7=$B$49,-$K$53*$B$55,0)</f><v /></c><c r="AE140" s="11"><f>AC140/(AB140-AA140*AE139)</f><v /></c><c r="AF140" s="11"><f>(AD140-AA140*AF139)/(AB140-AA140*AE139)</f><v /></c><c r="AG140" s="15"><f>AF140-AE140*AG141</f><v /></c><c r="AH140" s="11"><f>IF(7&gt;$B$49+$B$50,$G$54*$B$54^$H$54,$E$54*$B$52^$F$54)</f><v /></c><c r="AI140" s="11"><f>IF(7=1,0,$B$57)</f><v /></c><c r="AJ140" s="11"><f>-($B$57+(IF(7&lt;=$B$49,$B$56*$B$58+$B$55,IF(7&lt;=$B$49+$B$50,$B$56*$B$58,$B$56)))/AH140)</f><v /></c><c r="AK140" s="11"><f>IF(7=$B$49+$B$50,0,IF(7&gt;$B$49+$B$50,$B$56/AH141,IF(7&gt;=$B$49,$B$56*$B$58/AH141,($B$56*$B$58+$B$55)/AH141)))</f><v /></c><c r="AL140" s="11"><f>IF(7=$B$49,-$K$54*$B$55,0)</f><v /></c><c r="AM140" s="11"><f>AK140/(AJ140-AI140*AM139)</f><v /></c><c r="AN140" s="11"><f>(AL140-AI140*AN139)/(AJ140-AI140*AM139)</f><v /></c><c r="AO140" s="15"><f>AN140-AM140*AO141</f><v /></c><c r="AP140" s="11"><f>IF(7&gt;$B$49+$B$50,$G$55*$B$54^$H$55,$E$55*$B$52^$F$55)</f><v /></c><c r="AQ140" s="11"><f>IF(7=1,0,$B$57)</f><v /></c><c r="AR140" s="11"><f>-($B$57+(IF(7&lt;=$B$49,$B$56*$B$58+$B$55,IF(7&lt;=$B$49+$B$50,$B$56*$B$58,$B$56)))/AP140)</f><v /></c><c r="AS140" s="11"><f>IF(7=$B$49+$B$50,0,IF(7&gt;$B$49+$B$50,$B$56/AP141,IF(7&gt;=$B$49,$B$56*$B$58/AP141,($B$56*$B$58+$B$55)/AP141)))</f><v /></c><c r="AT140" s="11"><f>IF(7=$B$49,-$K$55*$B$55,0)</f><v /></c><c r="AU140" s="11"><f>AS140/(AR140-AQ140*AU139)</f><v /></c><c r="AV140" s="11"><f>(AT140-AQ140*AV139)/(AR140-AQ140*AU139)</f><v /></c><c r="AW140" s="15"><f>AV140-AU140*AW141</f><v /></c><c r="AX140" s="11"><f>IF(7&gt;$B$49+$B$50,$G$56*$B$54^$H$56,$E$56*$B$52^$F$56)</f><v /></c><c r="AY140" s="11"><f>IF(7=1,0,$B$57)</f><v /></c><c r="AZ140" s="11"><f>-($B$57+(IF(7&lt;=$B$49,$B$56*$B$58+$B$55,IF(7&lt;=$B$49+$B$50,$B$56*$B$58,$B$56)))/AX140)</f><v /></c><c r="BA140" s="11"><f>IF(7=$B$49+$B$50,0,IF(7&gt;$B$49+$B$50,$B$56/AX141,IF(7&gt;=$B$49,$B$56*$B$58/AX141,($B$56*$B$58+$B$55)/AX141)))</f><v /></c><c r="BB140" s="11"><f>IF(7=$B$49,-$K$56*$B$55,0)</f><v /></c><c r="BC140" s="11"><f>BA140/(AZ140-AY140*BC139)</f><v /></c><c r="BD140" s="11"><f>(BB140-AY140*BD139)/(AZ140-AY140*BC139)</f><v /></c><c r="BE140" s="15"><f>BD140-BC140*BE141</f><v /></c><c r="BF140" s="11"><f>IF(7&gt;$B$49+$B$50,$G$57*$B$54^$H$57,$E$57*$B$52^$F$57)</f><v /></c><c r="BG140" s="11"><f>IF(7=1,0,$B$57)</f><v /></c><c r="BH140" s="11"><f>-($B$57+(IF(7&lt;=$B$49,$B$56*$B$58+$B$55,IF(7&lt;=$B$49+$B$50,$B$56*$B$58,$B$56)))/BF140)</f><v /></c><c r="BI140" s="11"><f>IF(7=$B$49+$B$50,0,IF(7&gt;$B$49+$B$50,$B$56/BF141,IF(7&gt;=$B$49,$B$56*$B$58/BF141,($B$56*$B$58+$B$55)/BF141)))</f><v /></c><c r="BJ140" s="11"><f>IF(7=$B$49,-$K$57*$B$55,0)</f><v /></c><c r="BK140" s="11"><f>BI140/(BH140-BG140*BK139)</f><v /></c><c r="BL140" s="11"><f>(BJ140-BG140*BL139)/(BH140-BG140*BK139)</f><v /></c><c r="BM140" s="15"><f>BL140-BK140*BM141</f><v /></c><c r="BN140" s="11"><f>IF(7&gt;$B$49+$B$50,$G$58*$B$54^$H$58,$E$58*$B$52^$F$58)</f><v /></c><c r="BO140" s="11"><f>IF(7=1,0,$B$57)</f><v /></c><c r="BP140" s="11"><f>-($B$57+(IF(7&lt;=$B$49,$B$56*$B$58+$B$55,IF(7&lt;=$B$49+$B$50,$B$56*$B$58,$B$56)))/BN140)</f><v /></c><c r="BQ140" s="11"><f>IF(7=$B$49+$B$50,0,IF(7&gt;$B$49+$B$50,$B$56/BN141,IF(7&gt;=$B$49,$B$56*$B$58/BN141,($B$56*$B$58+$B$55)/BN141)))</f><v /></c><c r="BR140" s="11"><f>IF(7=$B$49,-$K$58*$B$55,0)</f><v /></c><c r="BS140" s="11"><f>BQ140/(BP140-BO140*BS139)</f><v /></c><c r="BT140" s="11"><f>(BR140-BO140*BT139)/(BP140-BO140*BS139)</f><v /></c><c r="BU140" s="15"><f>BT140-BS140*BU141</f><v /></c><c r="BV140" s="11"><f>IF(7&gt;$B$49+$B$50,$G$59*$B$54^$H$59,$E$59*$B$52^$F$59)</f><v /></c><c r="BW140" s="11"><f>IF(7=1,0,$B$57)</f><v /></c><c r="BX140" s="11"><f>-($B$57+(IF(7&lt;=$B$49,$B$56*$B$58+$B$55,IF(7&lt;=$B$49+$B$50,$B$56*$B$58,$B$56)))/BV140)</f><v /></c><c r="BY140" s="11"><f>IF(7=$B$49+$B$50,0,IF(7&gt;$B$49+$B$50,$B$56/BV141,IF(7&gt;=$B$49,$B$56*$B$58/BV141,($B$56*$B$58+$B$55)/BV141)))</f><v /></c><c r="BZ140" s="11"><f>IF(7=$B$49,-$K$59*$B$55,0)</f><v /></c><c r="CA140" s="11"><f>BY140/(BX140-BW140*CA139)</f><v /></c><c r="CB140" s="11"><f>(BZ140-BW140*CB139)/(BX140-BW140*CA139)</f><v /></c><c r="CC140" s="15"><f>CB140-CA140*CC141</f><v /></c><c r="CD140" s="11"><f>IF(7&gt;$B$49+$B$50,$G$60*$B$54^$H$60,$E$60*$B$52^$F$60)</f><v /></c><c r="CE140" s="11"><f>IF(7=1,0,$B$57)</f><v /></c><c r="CF140" s="11"><f>-($B$57+(IF(7&lt;=$B$49,$B$56*$B$58+$B$55,IF(7&lt;=$B$49+$B$50,$B$56*$B$58,$B$56)))/CD140)</f><v /></c><c r="CG140" s="11"><f>IF(7=$B$49+$B$50,0,IF(7&gt;$B$49+$B$50,$B$56/CD141,IF(7&gt;=$B$49,$B$56*$B$58/CD141,($B$56*$B$58+$B$55)/CD141)))</f><v /></c><c r="CH140" s="11"><f>IF(7=$B$49,-$K$60*$B$55,0)</f><v /></c><c r="CI140" s="11"><f>CG140/(CF140-CE140*CI139)</f><v /></c><c r="CJ140" s="11"><f>(CH140-CE140*CJ139)/(CF140-CE140*CI139)</f><v /></c><c r="CK140" s="15"><f>CJ140-CI140*CK141</f><v /></c><c r="CL140" s="11"><f>IF(7&gt;$B$49+$B$50,$G$61*$B$54^$H$61,$E$61*$B$52^$F$61)</f><v /></c><c r="CM140" s="11"><f>IF(7=1,0,$B$57)</f><v /></c><c r="CN140" s="11"><f>-($B$57+(IF(7&lt;=$B$49,$B$56*$B$58+$B$55,IF(7&lt;=$B$49+$B$50,$B$56*$B$58,$B$56)))/CL140)</f><v /></c><c r="CO140" s="11"><f>IF(7=$B$49+$B$50,0,IF(7&gt;$B$49+$B$50,$B$56/CL141,IF(7&gt;=$B$49,$B$56*$B$58/CL141,($B$56*$B$58+$B$55)/CL141)))</f><v /></c><c r="CP140" s="11"><f>IF(7=$B$49,-$K$61*$B$55,0)</f><v /></c><c r="CQ140" s="11"><f>CO140/(CN140-CM140*CQ139)</f><v /></c><c r="CR140" s="11"><f>(CP140-CM140*CR139)/(CN140-CM140*CQ139)</f><v /></c><c r="CS140" s="15"><f>CR140-CQ140*CS141</f><v /></c><c r="CT140" s="11"><f>IF(7&gt;$B$49+$B$50,$G$62*$B$54^$H$62,$E$62*$B$52^$F$62)</f><v /></c><c r="CU140" s="11"><f>IF(7=1,0,$B$57)</f><v /></c><c r="CV140" s="11"><f>-($B$57+(IF(7&lt;=$B$49,$B$56*$B$58+$B$55,IF(7&lt;=$B$49+$B$50,$B$56*$B$58,$B$56)))/CT140)</f><v /></c><c r="CW140" s="11"><f>IF(7=$B$49+$B$50,0,IF(7&gt;$B$49+$B$50,$B$56/CT141,IF(7&gt;=$B$49,$B$56*$B$58/CT141,($B$56*$B$58+$B$55)/CT141)))</f><v /></c><c r="CX140" s="11"><f>IF(7=$B$49,-$K$62*$B$55,0)</f><v /></c><c r="CY140" s="11"><f>CW140/(CV140-CU140*CY139)</f><v /></c><c r="CZ140" s="11"><f>(CX140-CU140*CZ139)/(CV140-CU140*CY139)</f><v /></c><c r="DA140" s="15"><f>CZ140-CY140*DA141</f><v /></c><c r="DB140" s="11"><f>IF(7&gt;$B$49+$B$50,$G$63*$B$54^$H$63,$E$63*$B$52^$F$63)</f><v /></c><c r="DC140" s="11"><f>IF(7=1,0,$B$57)</f><v /></c><c r="DD140" s="11"><f>-($B$57+(IF(7&lt;=$B$49,$B$56*$B$58+$B$55,IF(7&lt;=$B$49+$B$50,$B$56*$B$58,$B$56)))/DB140)</f><v /></c><c r="DE140" s="11"><f>IF(7=$B$49+$B$50,0,IF(7&gt;$B$49+$B$50,$B$56/DB141,IF(7&gt;=$B$49,$B$56*$B$58/DB141,($B$56*$B$58+$B$55)/DB141)))</f><v /></c><c r="DF140" s="11"><f>IF(7=$B$49,-$K$63*$B$55,0)</f><v /></c><c r="DG140" s="11"><f>DE140/(DD140-DC140*DG139)</f><v /></c><c r="DH140" s="11"><f>(DF140-DC140*DH139)/(DD140-DC140*DG139)</f><v /></c><c r="DI140" s="15"><f>DH140-DG140*DI141</f><v /></c><c r="DJ140" s="11"><f>IF(7&gt;$B$49+$B$50,$G$64*$B$54^$H$64,$E$64*$B$52^$F$64)</f><v /></c><c r="DK140" s="11"><f>IF(7=1,0,$B$57)</f><v /></c><c r="DL140" s="11"><f>-($B$57+(IF(7&lt;=$B$49,$B$56*$B$58+$B$55,IF(7&lt;=$B$49+$B$50,$B$56*$B$58,$B$56)))/DJ140)</f><v /></c><c r="DM140" s="11"><f>IF(7=$B$49+$B$50,0,IF(7&gt;$B$49+$B$50,$B$56/DJ141,IF(7&gt;=$B$49,$B$56*$B$58/DJ141,($B$56*$B$58+$B$55)/DJ141)))</f><v /></c><c r="DN140" s="11"><f>IF(7=$B$49,-$K$64*$B$55,0)</f><v /></c><c r="DO140" s="11"><f>DM140/(DL140-DK140*DO139)</f><v /></c><c r="DP140" s="11"><f>(DN140-DK140*DP139)/(DL140-DK140*DO139)</f><v /></c><c r="DQ140" s="15"><f>DP140-DO140*DQ141</f><v /></c><c r="DR140" s="11"><f>IF(7&gt;$B$49+$B$50,$G$65*$B$54^$H$65,$E$65*$B$52^$F$65)</f><v /></c><c r="DS140" s="11"><f>IF(7=1,0,$B$57)</f><v /></c><c r="DT140" s="11"><f>-($B$57+(IF(7&lt;=$B$49,$B$56*$B$58+$B$55,IF(7&lt;=$B$49+$B$50,$B$56*$B$58,$B$56)))/DR140)</f><v /></c><c r="DU140" s="11"><f>IF(7=$B$49+$B$50,0,IF(7&gt;$B$49+$B$50,$B$56/DR141,IF(7&gt;=$B$49,$B$56*$B$58/DR141,($B$56*$B$58+$B$55)/DR141)))</f><v /></c><c r="DV140" s="11"><f>IF(7=$B$49,-$K$65*$B$55,0)</f><v /></c><c r="DW140" s="11"><f>DU140/(DT140-DS140*DW139)</f><v /></c><c r="DX140" s="11"><f>(DV140-DS140*DX139)/(DT140-DS140*DW139)</f><v /></c><c r="DY140" s="15"><f>DX140-DW140*DY141</f><v /></c><c r="DZ140" s="11"><f>IF(7&gt;$B$49+$B$50,$G$66*$B$54^$H$66,$E$66*$B$52^$F$66)</f><v /></c><c r="EA140" s="11"><f>IF(7=1,0,$B$57)</f><v /></c><c r="EB140" s="11"><f>-($B$57+(IF(7&lt;=$B$49,$B$56*$B$58+$B$55,IF(7&lt;=$B$49+$B$50,$B$56*$B$58,$B$56)))/DZ140)</f><v /></c><c r="EC140" s="11"><f>IF(7=$B$49+$B$50,0,IF(7&gt;$B$49+$B$50,$B$56/DZ141,IF(7&gt;=$B$49,$B$56*$B$58/DZ141,($B$56*$B$58+$B$55)/DZ141)))</f><v /></c><c r="ED140" s="11"><f>IF(7=$B$49,-$K$66*$B$55,0)</f><v /></c><c r="EE140" s="11"><f>EC140/(EB140-EA140*EE139)</f><v /></c><c r="EF140" s="11"><f>(ED140-EA140*EF139)/(EB140-EA140*EE139)</f><v /></c><c r="EG140" s="15"><f>EF140-EE140*EG141</f><v /></c><c r="EH140" s="11"><f>IF(7&gt;$B$49+$B$50,$G$67*$B$54^$H$67,$E$67*$B$52^$F$67)</f><v /></c><c r="EI140" s="11"><f>IF(7=1,0,$B$57)</f><v /></c><c r="EJ140" s="11"><f>-($B$57+(IF(7&lt;=$B$49,$B$56*$B$58+$B$55,IF(7&lt;=$B$49+$B$50,$B$56*$B$58,$B$56)))/EH140)</f><v /></c><c r="EK140" s="11"><f>IF(7=$B$49+$B$50,0,IF(7&gt;$B$49+$B$50,$B$56/EH141,IF(7&gt;=$B$49,$B$56*$B$58/EH141,($B$56*$B$58+$B$55)/EH141)))</f><v /></c><c r="EL140" s="11"><f>IF(7=$B$49,-$K$67*$B$55,0)</f><v /></c><c r="EM140" s="11"><f>EK140/(EJ140-EI140*EM139)</f><v /></c><c r="EN140" s="11"><f>(EL140-EI140*EN139)/(EJ140-EI140*EM139)</f><v /></c><c r="EO140" s="15"><f>EN140-EM140*EO141</f><v /></c><c r="EP140" s="11"><f>IF(7&gt;$B$49+$B$50,$G$68*$B$54^$H$68,$E$68*$B$52^$F$68)</f><v /></c><c r="EQ140" s="11"><f>IF(7=1,0,$B$57)</f><v /></c><c r="ER140" s="11"><f>-($B$57+(IF(7&lt;=$B$49,$B$56*$B$58+$B$55,IF(7&lt;=$B$49+$B$50,$B$56*$B$58,$B$56)))/EP140)</f><v /></c><c r="ES140" s="11"><f>IF(7=$B$49+$B$50,0,IF(7&gt;$B$49+$B$50,$B$56/EP141,IF(7&gt;=$B$49,$B$56*$B$58/EP141,($B$56*$B$58+$B$55)/EP141)))</f><v /></c><c r="ET140" s="11"><f>IF(7=$B$49,-$K$68*$B$55,0)</f><v /></c><c r="EU140" s="11"><f>ES140/(ER140-EQ140*EU139)</f><v /></c><c r="EV140" s="11"><f>(ET140-EQ140*EV139)/(ER140-EQ140*EU139)</f><v /></c><c r="EW140" s="15"><f>EV140-EU140*EW141</f><v /></c><c r="EX140" s="11"><f>IF(7&gt;$B$49+$B$50,$G$69*$B$54^$H$69,$E$69*$B$52^$F$69)</f><v /></c><c r="EY140" s="11"><f>IF(7=1,0,$B$57)</f><v /></c><c r="EZ140" s="11"><f>-($B$57+(IF(7&lt;=$B$49,$B$56*$B$58+$B$55,IF(7&lt;=$B$49+$B$50,$B$56*$B$58,$B$56)))/EX140)</f><v /></c><c r="FA140" s="11"><f>IF(7=$B$49+$B$50,0,IF(7&gt;$B$49+$B$50,$B$56/EX141,IF(7&gt;=$B$49,$B$56*$B$58/EX141,($B$56*$B$58+$B$55)/EX141)))</f><v /></c><c r="FB140" s="11"><f>IF(7=$B$49,-$K$69*$B$55,0)</f><v /></c><c r="FC140" s="11"><f>FA140/(EZ140-EY140*FC139)</f><v /></c><c r="FD140" s="11"><f>(FB140-EY140*FD139)/(EZ140-EY140*FC139)</f><v /></c><c r="FE140" s="15"><f>FD140-FC140*FE141</f><v /></c><c r="FF140" s="11"><f>IF(7&gt;$B$49+$B$50,$G$70*$B$54^$H$70,$E$70*$B$52^$F$70)</f><v /></c><c r="FG140" s="11"><f>IF(7=1,0,$B$57)</f><v /></c><c r="FH140" s="11"><f>-($B$57+(IF(7&lt;=$B$49,$B$56*$B$58+$B$55,IF(7&lt;=$B$49+$B$50,$B$56*$B$58,$B$56)))/FF140)</f><v /></c><c r="FI140" s="11"><f>IF(7=$B$49+$B$50,0,IF(7&gt;$B$49+$B$50,$B$56/FF141,IF(7&gt;=$B$49,$B$56*$B$58/FF141,($B$56*$B$58+$B$55)/FF141)))</f><v /></c><c r="FJ140" s="11"><f>IF(7=$B$49,-$K$70*$B$55,0)</f><v /></c><c r="FK140" s="11"><f>FI140/(FH140-FG140*FK139)</f><v /></c><c r="FL140" s="11"><f>(FJ140-FG140*FL139)/(FH140-FG140*FK139)</f><v /></c><c r="FM140" s="15"><f>FL140-FK140*FM141</f><v /></c><c r="FN140" s="11"><f>IF(7&gt;$B$49+$B$50,$G$71*$B$54^$H$71,$E$71*$B$52^$F$71)</f><v /></c><c r="FO140" s="11"><f>IF(7=1,0,$B$57)</f><v /></c><c r="FP140" s="11"><f>-($B$57+(IF(7&lt;=$B$49,$B$56*$B$58+$B$55,IF(7&lt;=$B$49+$B$50,$B$56*$B$58,$B$56)))/FN140)</f><v /></c><c r="FQ140" s="11"><f>IF(7=$B$49+$B$50,0,IF(7&gt;$B$49+$B$50,$B$56/FN141,IF(7&gt;=$B$49,$B$56*$B$58/FN141,($B$56*$B$58+$B$55)/FN141)))</f><v /></c><c r="FR140" s="11"><f>IF(7=$B$49,-$K$71*$B$55,0)</f><v /></c><c r="FS140" s="11"><f>FQ140/(FP140-FO140*FS139)</f><v /></c><c r="FT140" s="11"><f>(FR140-FO140*FT139)/(FP140-FO140*FS139)</f><v /></c><c r="FU140" s="15"><f>FT140-FS140*FU141</f><v /></c><c r="FV140" s="11"><f>IF(7&gt;$B$49+$B$50,$G$72*$B$54^$H$72,$E$72*$B$52^$F$72)</f><v /></c><c r="FW140" s="11"><f>IF(7=1,0,$B$57)</f><v /></c><c r="FX140" s="11"><f>-($B$57+(IF(7&lt;=$B$49,$B$56*$B$58+$B$55,IF(7&lt;=$B$49+$B$50,$B$56*$B$58,$B$56)))/FV140)</f><v /></c><c r="FY140" s="11"><f>IF(7=$B$49+$B$50,0,IF(7&gt;$B$49+$B$50,$B$56/FV141,IF(7&gt;=$B$49,$B$56*$B$58/FV141,($B$56*$B$58+$B$55)/FV141)))</f><v /></c><c r="FZ140" s="11"><f>IF(7=$B$49,-$K$72*$B$55,0)</f><v /></c><c r="GA140" s="11"><f>FY140/(FX140-FW140*GA139)</f><v /></c><c r="GB140" s="11"><f>(FZ140-FW140*GB139)/(FX140-FW140*GA139)</f><v /></c><c r="GC140" s="15"><f>GB140-GA140*GC141</f><v /></c><c r="GD140" s="11"><f>IF(7&gt;$B$49+$B$50,$G$73*$B$54^$H$73,$E$73*$B$52^$F$73)</f><v /></c><c r="GE140" s="11"><f>IF(7=1,0,$B$57)</f><v /></c><c r="GF140" s="11"><f>-($B$57+(IF(7&lt;=$B$49,$B$56*$B$58+$B$55,IF(7&lt;=$B$49+$B$50,$B$56*$B$58,$B$56)))/GD140)</f><v /></c><c r="GG140" s="11"><f>IF(7=$B$49+$B$50,0,IF(7&gt;$B$49+$B$50,$B$56/GD141,IF(7&gt;=$B$49,$B$56*$B$58/GD141,($B$56*$B$58+$B$55)/GD141)))</f><v /></c><c r="GH140" s="11"><f>IF(7=$B$49,-$K$73*$B$55,0)</f><v /></c><c r="GI140" s="11"><f>GG140/(GF140-GE140*GI139)</f><v /></c><c r="GJ140" s="11"><f>(GH140-GE140*GJ139)/(GF140-GE140*GI139)</f><v /></c><c r="GK140" s="15"><f>GJ140-GI140*GK141</f><v /></c><c r="GL140" s="11"><f>IF(7&gt;$B$49+$B$50,$G$74*$B$54^$H$74,$E$74*$B$52^$F$74)</f><v /></c><c r="GM140" s="11"><f>IF(7=1,0,$B$57)</f><v /></c><c r="GN140" s="11"><f>-($B$57+(IF(7&lt;=$B$49,$B$56*$B$58+$B$55,IF(7&lt;=$B$49+$B$50,$B$56*$B$58,$B$56)))/GL140)</f><v /></c><c r="GO140" s="11"><f>IF(7=$B$49+$B$50,0,IF(7&gt;$B$49+$B$50,$B$56/GL141,IF(7&gt;=$B$49,$B$56*$B$58/GL141,($B$56*$B$58+$B$55)/GL141)))</f><v /></c><c r="GP140" s="11"><f>IF(7=$B$49,-$K$74*$B$55,0)</f><v /></c><c r="GQ140" s="11"><f>GO140/(GN140-GM140*GQ139)</f><v /></c><c r="GR140" s="11"><f>(GP140-GM140*GR139)/(GN140-GM140*GQ139)</f><v /></c><c r="GS140" s="15"><f>GR140-GQ140*GS141</f><v /></c><c r="GT140" s="11"><f>IF(7&gt;$B$49+$B$50,$G$75*$B$54^$H$75,$E$75*$B$52^$F$75)</f><v /></c><c r="GU140" s="11"><f>IF(7=1,0,$B$57)</f><v /></c><c r="GV140" s="11"><f>-($B$57+(IF(7&lt;=$B$49,$B$56*$B$58+$B$55,IF(7&lt;=$B$49+$B$50,$B$56*$B$58,$B$56)))/GT140)</f><v /></c><c r="GW140" s="11"><f>IF(7=$B$49+$B$50,0,IF(7&gt;$B$49+$B$50,$B$56/GT141,IF(7&gt;=$B$49,$B$56*$B$58/GT141,($B$56*$B$58+$B$55)/GT141)))</f><v /></c><c r="GX140" s="11"><f>IF(7=$B$49,-$K$75*$B$55,0)</f><v /></c><c r="GY140" s="11"><f>GW140/(GV140-GU140*GY139)</f><v /></c><c r="GZ140" s="11"><f>(GX140-GU140*GZ139)/(GV140-GU140*GY139)</f><v /></c><c r="HA140" s="15"><f>GZ140-GY140*HA141</f><v /></c><c r="HB140" s="13"><f>IFERROR(I140/B140,0)</f><v /></c><c r="HC140" s="13"><f>IFERROR(Q140/J140,0)</f><v /></c><c r="HD140" s="13"><f>IFERROR(Y140/R140,0)</f><v /></c><c r="HE140" s="13"><f>IFERROR(AG140/Z140,0)</f><v /></c><c r="HF140" s="13"><f>IFERROR(AO140/AH140,0)</f><v /></c><c r="HG140" s="13"><f>IFERROR(AW140/AP140,0)</f><v /></c><c r="HH140" s="13"><f>IFERROR(BE140/AX140,0)</f><v /></c><c r="HI140" s="13"><f>IFERROR(BM140/BF140,0)</f><v /></c><c r="HJ140" s="13"><f>IFERROR(BU140/BN140,0)</f><v /></c><c r="HK140" s="13"><f>IFERROR(CC140/BV140,0)</f><v /></c><c r="HL140" s="13"><f>IFERROR(CK140/CD140,0)</f><v /></c><c r="HM140" s="13"><f>IFERROR(CS140/CL140,0)</f><v /></c><c r="HN140" s="13"><f>IFERROR(DA140/CT140,0)</f><v /></c><c r="HO140" s="13"><f>IFERROR(DI140/DB140,0)</f><v /></c><c r="HP140" s="13"><f>IFERROR(DQ140/DJ140,0)</f><v /></c><c r="HQ140" s="13"><f>IFERROR(DY140/DR140,0)</f><v /></c><c r="HR140" s="13"><f>IFERROR(EG140/DZ140,0)</f><v /></c><c r="HS140" s="13"><f>IFERROR(EO140/EH140,0)</f><v /></c><c r="HT140" s="13"><f>IFERROR(EW140/EP140,0)</f><v /></c><c r="HU140" s="13"><f>IFERROR(FE140/EX140,0)</f><v /></c><c r="HV140" s="13"><f>IFERROR(FM140/FF140,0)</f><v /></c><c r="HW140" s="13"><f>IFERROR(FU140/FN140,0)</f><v /></c><c r="HX140" s="13"><f>IFERROR(GC140/FV140,0)</f><v /></c><c r="HY140" s="13"><f>IFERROR(GK140/GD140,0)</f><v /></c><c r="HZ140" s="13"><f>IFERROR(GS140/GL140,0)</f><v /></c><c r="IA140" s="13"><f>IFERROR(HA140/GT140,0)</f><v /></c><c r="IB140" s="13"><f>I140+Q140+Y140+AG140+AO140+AW140+BE140+BM140+BU140+CC140+CK140+CS140+DA140+DI140+DQ140+DY140+EG140+EO140+EW140+FE140+FM140+FU140+GC140+GK140+GS140+HA140</f><v /></c><c r="IC140" s="13"><f>HB140+HC140+HD140+HE140+HF140+HG140+HH140+HI140+HJ140+HK140+HL140+HM140+HN140+HO140+HP140+HQ140+HR140+HS140+HT140+HU140+HV140+HW140+HX140+HY140+HZ140+IA140</f><v /></c></row><row r="141" ht="14" customHeight="1"><c r="A141" s="25" t="n"><v>8</v></c><c r="B141" s="11"><f>IF(8&gt;$B$49+$B$50,$G$50*$B$54^$H$50,$E$50*$B$52^$F$50)</f><v /></c><c r="C141" s="11"><f>IF(8=1,0,$B$57)</f><v /></c><c r="D141" s="11"><f>-($B$57+(IF(8&lt;=$B$49,$B$56*$B$58+$B$55,IF(8&lt;=$B$49+$B$50,$B$56*$B$58,$B$56)))/B141)</f><v /></c><c r="E141" s="11"><f>IF(8=$B$49+$B$50,0,IF(8&gt;$B$49+$B$50,$B$56/B142,IF(8&gt;=$B$49,$B$56*$B$58/B142,($B$56*$B$58+$B$55)/B142)))</f><v /></c><c r="F141" s="11"><f>IF(8=$B$49,-$K$50*$B$55,0)</f><v /></c><c r="G141" s="11"><f>E141/(D141-C141*G140)</f><v /></c><c r="H141" s="11"><f>(F141-C141*H140)/(D141-C141*G140)</f><v /></c><c r="I141" s="15"><f>H141-G141*I142</f><v /></c><c r="J141" s="11"><f>IF(8&gt;$B$49+$B$50,$G$51*$B$54^$H$51,$E$51*$B$52^$F$51)</f><v /></c><c r="K141" s="11"><f>IF(8=1,0,$B$57)</f><v /></c><c r="L141" s="11"><f>-($B$57+(IF(8&lt;=$B$49,$B$56*$B$58+$B$55,IF(8&lt;=$B$49+$B$50,$B$56*$B$58,$B$56)))/J141)</f><v /></c><c r="M141" s="11"><f>IF(8=$B$49+$B$50,0,IF(8&gt;$B$49+$B$50,$B$56/J142,IF(8&gt;=$B$49,$B$56*$B$58/J142,($B$56*$B$58+$B$55)/J142)))</f><v /></c><c r="N141" s="11"><f>IF(8=$B$49,-$K$51*$B$55,0)</f><v /></c><c r="O141" s="11"><f>M141/(L141-K141*O140)</f><v /></c><c r="P141" s="11"><f>(N141-K141*P140)/(L141-K141*O140)</f><v /></c><c r="Q141" s="15"><f>P141-O141*Q142</f><v /></c><c r="R141" s="11"><f>IF(8&gt;$B$49+$B$50,$G$52*$B$54^$H$52,$E$52*$B$52^$F$52)</f><v /></c><c r="S141" s="11"><f>IF(8=1,0,$B$57)</f><v /></c><c r="T141" s="11"><f>-($B$57+(IF(8&lt;=$B$49,$B$56*$B$58+$B$55,IF(8&lt;=$B$49+$B$50,$B$56*$B$58,$B$56)))/R141)</f><v /></c><c r="U141" s="11"><f>IF(8=$B$49+$B$50,0,IF(8&gt;$B$49+$B$50,$B$56/R142,IF(8&gt;=$B$49,$B$56*$B$58/R142,($B$56*$B$58+$B$55)/R142)))</f><v /></c><c r="V141" s="11"><f>IF(8=$B$49,-$K$52*$B$55,0)</f><v /></c><c r="W141" s="11"><f>U141/(T141-S141*W140)</f><v /></c><c r="X141" s="11"><f>(V141-S141*X140)/(T141-S141*W140)</f><v /></c><c r="Y141" s="15"><f>X141-W141*Y142</f><v /></c><c r="Z141" s="11"><f>IF(8&gt;$B$49+$B$50,$G$53*$B$54^$H$53,$E$53*$B$52^$F$53)</f><v /></c><c r="AA141" s="11"><f>IF(8=1,0,$B$57)</f><v /></c><c r="AB141" s="11"><f>-($B$57+(IF(8&lt;=$B$49,$B$56*$B$58+$B$55,IF(8&lt;=$B$49+$B$50,$B$56*$B$58,$B$56)))/Z141)</f><v /></c><c r="AC141" s="11"><f>IF(8=$B$49+$B$50,0,IF(8&gt;$B$49+$B$50,$B$56/Z142,IF(8&gt;=$B$49,$B$56*$B$58/Z142,($B$56*$B$58+$B$55)/Z142)))</f><v /></c><c r="AD141" s="11"><f>IF(8=$B$49,-$K$53*$B$55,0)</f><v /></c><c r="AE141" s="11"><f>AC141/(AB141-AA141*AE140)</f><v /></c><c r="AF141" s="11"><f>(AD141-AA141*AF140)/(AB141-AA141*AE140)</f><v /></c><c r="AG141" s="15"><f>AF141-AE141*AG142</f><v /></c><c r="AH141" s="11"><f>IF(8&gt;$B$49+$B$50,$G$54*$B$54^$H$54,$E$54*$B$52^$F$54)</f><v /></c><c r="AI141" s="11"><f>IF(8=1,0,$B$57)</f><v /></c><c r="AJ141" s="11"><f>-($B$57+(IF(8&lt;=$B$49,$B$56*$B$58+$B$55,IF(8&lt;=$B$49+$B$50,$B$56*$B$58,$B$56)))/AH141)</f><v /></c><c r="AK141" s="11"><f>IF(8=$B$49+$B$50,0,IF(8&gt;$B$49+$B$50,$B$56/AH142,IF(8&gt;=$B$49,$B$56*$B$58/AH142,($B$56*$B$58+$B$55)/AH142)))</f><v /></c><c r="AL141" s="11"><f>IF(8=$B$49,-$K$54*$B$55,0)</f><v /></c><c r="AM141" s="11"><f>AK141/(AJ141-AI141*AM140)</f><v /></c><c r="AN141" s="11"><f>(AL141-AI141*AN140)/(AJ141-AI141*AM140)</f><v /></c><c r="AO141" s="15"><f>AN141-AM141*AO142</f><v /></c><c r="AP141" s="11"><f>IF(8&gt;$B$49+$B$50,$G$55*$B$54^$H$55,$E$55*$B$52^$F$55)</f><v /></c><c r="AQ141" s="11"><f>IF(8=1,0,$B$57)</f><v /></c><c r="AR141" s="11"><f>-($B$57+(IF(8&lt;=$B$49,$B$56*$B$58+$B$55,IF(8&lt;=$B$49+$B$50,$B$56*$B$58,$B$56)))/AP141)</f><v /></c><c r="AS141" s="11"><f>IF(8=$B$49+$B$50,0,IF(8&gt;$B$49+$B$50,$B$56/AP142,IF(8&gt;=$B$49,$B$56*$B$58/AP142,($B$56*$B$58+$B$55)/AP142)))</f><v /></c><c r="AT141" s="11"><f>IF(8=$B$49,-$K$55*$B$55,0)</f><v /></c><c r="AU141" s="11"><f>AS141/(AR141-AQ141*AU140)</f><v /></c><c r="AV141" s="11"><f>(AT141-AQ141*AV140)/(AR141-AQ141*AU140)</f><v /></c><c r="AW141" s="15"><f>AV141-AU141*AW142</f><v /></c><c r="AX141" s="11"><f>IF(8&gt;$B$49+$B$50,$G$56*$B$54^$H$56,$E$56*$B$52^$F$56)</f><v /></c><c r="AY141" s="11"><f>IF(8=1,0,$B$57)</f><v /></c><c r="AZ141" s="11"><f>-($B$57+(IF(8&lt;=$B$49,$B$56*$B$58+$B$55,IF(8&lt;=$B$49+$B$50,$B$56*$B$58,$B$56)))/AX141)</f><v /></c><c r="BA141" s="11"><f>IF(8=$B$49+$B$50,0,IF(8&gt;$B$49+$B$50,$B$56/AX142,IF(8&gt;=$B$49,$B$56*$B$58/AX142,($B$56*$B$58+$B$55)/AX142)))</f><v /></c><c r="BB141" s="11"><f>IF(8=$B$49,-$K$56*$B$55,0)</f><v /></c><c r="BC141" s="11"><f>BA141/(AZ141-AY141*BC140)</f><v /></c><c r="BD141" s="11"><f>(BB141-AY141*BD140)/(AZ141-AY141*BC140)</f><v /></c><c r="BE141" s="15"><f>BD141-BC141*BE142</f><v /></c><c r="BF141" s="11"><f>IF(8&gt;$B$49+$B$50,$G$57*$B$54^$H$57,$E$57*$B$52^$F$57)</f><v /></c><c r="BG141" s="11"><f>IF(8=1,0,$B$57)</f><v /></c><c r="BH141" s="11"><f>-($B$57+(IF(8&lt;=$B$49,$B$56*$B$58+$B$55,IF(8&lt;=$B$49+$B$50,$B$56*$B$58,$B$56)))/BF141)</f><v /></c><c r="BI141" s="11"><f>IF(8=$B$49+$B$50,0,IF(8&gt;$B$49+$B$50,$B$56/BF142,IF(8&gt;=$B$49,$B$56*$B$58/BF142,($B$56*$B$58+$B$55)/BF142)))</f><v /></c><c r="BJ141" s="11"><f>IF(8=$B$49,-$K$57*$B$55,0)</f><v /></c><c r="BK141" s="11"><f>BI141/(BH141-BG141*BK140)</f><v /></c><c r="BL141" s="11"><f>(BJ141-BG141*BL140)/(BH141-BG141*BK140)</f><v /></c><c r="BM141" s="15"><f>BL141-BK141*BM142</f><v /></c><c r="BN141" s="11"><f>IF(8&gt;$B$49+$B$50,$G$58*$B$54^$H$58,$E$58*$B$52^$F$58)</f><v /></c><c r="BO141" s="11"><f>IF(8=1,0,$B$57)</f><v /></c><c r="BP141" s="11"><f>-($B$57+(IF(8&lt;=$B$49,$B$56*$B$58+$B$55,IF(8&lt;=$B$49+$B$50,$B$56*$B$58,$B$56)))/BN141)</f><v /></c><c r="BQ141" s="11"><f>IF(8=$B$49+$B$50,0,IF(8&gt;$B$49+$B$50,$B$56/BN142,IF(8&gt;=$B$49,$B$56*$B$58/BN142,($B$56*$B$58+$B$55)/BN142)))</f><v /></c><c r="BR141" s="11"><f>IF(8=$B$49,-$K$58*$B$55,0)</f><v /></c><c r="BS141" s="11"><f>BQ141/(BP141-BO141*BS140)</f><v /></c><c r="BT141" s="11"><f>(BR141-BO141*BT140)/(BP141-BO141*BS140)</f><v /></c><c r="BU141" s="15"><f>BT141-BS141*BU142</f><v /></c><c r="BV141" s="11"><f>IF(8&gt;$B$49+$B$50,$G$59*$B$54^$H$59,$E$59*$B$52^$F$59)</f><v /></c><c r="BW141" s="11"><f>IF(8=1,0,$B$57)</f><v /></c><c r="BX141" s="11"><f>-($B$57+(IF(8&lt;=$B$49,$B$56*$B$58+$B$55,IF(8&lt;=$B$49+$B$50,$B$56*$B$58,$B$56)))/BV141)</f><v /></c><c r="BY141" s="11"><f>IF(8=$B$49+$B$50,0,IF(8&gt;$B$49+$B$50,$B$56/BV142,IF(8&gt;=$B$49,$B$56*$B$58/BV142,($B$56*$B$58+$B$55)/BV142)))</f><v /></c><c r="BZ141" s="11"><f>IF(8=$B$49,-$K$59*$B$55,0)</f><v /></c><c r="CA141" s="11"><f>BY141/(BX141-BW141*CA140)</f><v /></c><c r="CB141" s="11"><f>(BZ141-BW141*CB140)/(BX141-BW141*CA140)</f><v /></c><c r="CC141" s="15"><f>CB141-CA141*CC142</f><v /></c><c r="CD141" s="11"><f>IF(8&gt;$B$49+$B$50,$G$60*$B$54^$H$60,$E$60*$B$52^$F$60)</f><v /></c><c r="CE141" s="11"><f>IF(8=1,0,$B$57)</f><v /></c><c r="CF141" s="11"><f>-($B$57+(IF(8&lt;=$B$49,$B$56*$B$58+$B$55,IF(8&lt;=$B$49+$B$50,$B$56*$B$58,$B$56)))/CD141)</f><v /></c><c r="CG141" s="11"><f>IF(8=$B$49+$B$50,0,IF(8&gt;$B$49+$B$50,$B$56/CD142,IF(8&gt;=$B$49,$B$56*$B$58/CD142,($B$56*$B$58+$B$55)/CD142)))</f><v /></c><c r="CH141" s="11"><f>IF(8=$B$49,-$K$60*$B$55,0)</f><v /></c><c r="CI141" s="11"><f>CG141/(CF141-CE141*CI140)</f><v /></c><c r="CJ141" s="11"><f>(CH141-CE141*CJ140)/(CF141-CE141*CI140)</f><v /></c><c r="CK141" s="15"><f>CJ141-CI141*CK142</f><v /></c><c r="CL141" s="11"><f>IF(8&gt;$B$49+$B$50,$G$61*$B$54^$H$61,$E$61*$B$52^$F$61)</f><v /></c><c r="CM141" s="11"><f>IF(8=1,0,$B$57)</f><v /></c><c r="CN141" s="11"><f>-($B$57+(IF(8&lt;=$B$49,$B$56*$B$58+$B$55,IF(8&lt;=$B$49+$B$50,$B$56*$B$58,$B$56)))/CL141)</f><v /></c><c r="CO141" s="11"><f>IF(8=$B$49+$B$50,0,IF(8&gt;$B$49+$B$50,$B$56/CL142,IF(8&gt;=$B$49,$B$56*$B$58/CL142,($B$56*$B$58+$B$55)/CL142)))</f><v /></c><c r="CP141" s="11"><f>IF(8=$B$49,-$K$61*$B$55,0)</f><v /></c><c r="CQ141" s="11"><f>CO141/(CN141-CM141*CQ140)</f><v /></c><c r="CR141" s="11"><f>(CP141-CM141*CR140)/(CN141-CM141*CQ140)</f><v /></c><c r="CS141" s="15"><f>CR141-CQ141*CS142</f><v /></c><c r="CT141" s="11"><f>IF(8&gt;$B$49+$B$50,$G$62*$B$54^$H$62,$E$62*$B$52^$F$62)</f><v /></c><c r="CU141" s="11"><f>IF(8=1,0,$B$57)</f><v /></c><c r="CV141" s="11"><f>-($B$57+(IF(8&lt;=$B$49,$B$56*$B$58+$B$55,IF(8&lt;=$B$49+$B$50,$B$56*$B$58,$B$56)))/CT141)</f><v /></c><c r="CW141" s="11"><f>IF(8=$B$49+$B$50,0,IF(8&gt;$B$49+$B$50,$B$56/CT142,IF(8&gt;=$B$49,$B$56*$B$58/CT142,($B$56*$B$58+$B$55)/CT142)))</f><v /></c><c r="CX141" s="11"><f>IF(8=$B$49,-$K$62*$B$55,0)</f><v /></c><c r="CY141" s="11"><f>CW141/(CV141-CU141*CY140)</f><v /></c><c r="CZ141" s="11"><f>(CX141-CU141*CZ140)/(CV141-CU141*CY140)</f><v /></c><c r="DA141" s="15"><f>CZ141-CY141*DA142</f><v /></c><c r="DB141" s="11"><f>IF(8&gt;$B$49+$B$50,$G$63*$B$54^$H$63,$E$63*$B$52^$F$63)</f><v /></c><c r="DC141" s="11"><f>IF(8=1,0,$B$57)</f><v /></c><c r="DD141" s="11"><f>-($B$57+(IF(8&lt;=$B$49,$B$56*$B$58+$B$55,IF(8&lt;=$B$49+$B$50,$B$56*$B$58,$B$56)))/DB141)</f><v /></c><c r="DE141" s="11"><f>IF(8=$B$49+$B$50,0,IF(8&gt;$B$49+$B$50,$B$56/DB142,IF(8&gt;=$B$49,$B$56*$B$58/DB142,($B$56*$B$58+$B$55)/DB142)))</f><v /></c><c r="DF141" s="11"><f>IF(8=$B$49,-$K$63*$B$55,0)</f><v /></c><c r="DG141" s="11"><f>DE141/(DD141-DC141*DG140)</f><v /></c><c r="DH141" s="11"><f>(DF141-DC141*DH140)/(DD141-DC141*DG140)</f><v /></c><c r="DI141" s="15"><f>DH141-DG141*DI142</f><v /></c><c r="DJ141" s="11"><f>IF(8&gt;$B$49+$B$50,$G$64*$B$54^$H$64,$E$64*$B$52^$F$64)</f><v /></c><c r="DK141" s="11"><f>IF(8=1,0,$B$57)</f><v /></c><c r="DL141" s="11"><f>-($B$57+(IF(8&lt;=$B$49,$B$56*$B$58+$B$55,IF(8&lt;=$B$49+$B$50,$B$56*$B$58,$B$56)))/DJ141)</f><v /></c><c r="DM141" s="11"><f>IF(8=$B$49+$B$50,0,IF(8&gt;$B$49+$B$50,$B$56/DJ142,IF(8&gt;=$B$49,$B$56*$B$58/DJ142,($B$56*$B$58+$B$55)/DJ142)))</f><v /></c><c r="DN141" s="11"><f>IF(8=$B$49,-$K$64*$B$55,0)</f><v /></c><c r="DO141" s="11"><f>DM141/(DL141-DK141*DO140)</f><v /></c><c r="DP141" s="11"><f>(DN141-DK141*DP140)/(DL141-DK141*DO140)</f><v /></c><c r="DQ141" s="15"><f>DP141-DO141*DQ142</f><v /></c><c r="DR141" s="11"><f>IF(8&gt;$B$49+$B$50,$G$65*$B$54^$H$65,$E$65*$B$52^$F$65)</f><v /></c><c r="DS141" s="11"><f>IF(8=1,0,$B$57)</f><v /></c><c r="DT141" s="11"><f>-($B$57+(IF(8&lt;=$B$49,$B$56*$B$58+$B$55,IF(8&lt;=$B$49+$B$50,$B$56*$B$58,$B$56)))/DR141)</f><v /></c><c r="DU141" s="11"><f>IF(8=$B$49+$B$50,0,IF(8&gt;$B$49+$B$50,$B$56/DR142,IF(8&gt;=$B$49,$B$56*$B$58/DR142,($B$56*$B$58+$B$55)/DR142)))</f><v /></c><c r="DV141" s="11"><f>IF(8=$B$49,-$K$65*$B$55,0)</f><v /></c><c r="DW141" s="11"><f>DU141/(DT141-DS141*DW140)</f><v /></c><c r="DX141" s="11"><f>(DV141-DS141*DX140)/(DT141-DS141*DW140)</f><v /></c><c r="DY141" s="15"><f>DX141-DW141*DY142</f><v /></c><c r="DZ141" s="11"><f>IF(8&gt;$B$49+$B$50,$G$66*$B$54^$H$66,$E$66*$B$52^$F$66)</f><v /></c><c r="EA141" s="11"><f>IF(8=1,0,$B$57)</f><v /></c><c r="EB141" s="11"><f>-($B$57+(IF(8&lt;=$B$49,$B$56*$B$58+$B$55,IF(8&lt;=$B$49+$B$50,$B$56*$B$58,$B$56)))/DZ141)</f><v /></c><c r="EC141" s="11"><f>IF(8=$B$49+$B$50,0,IF(8&gt;$B$49+$B$50,$B$56/DZ142,IF(8&gt;=$B$49,$B$56*$B$58/DZ142,($B$56*$B$58+$B$55)/DZ142)))</f><v /></c><c r="ED141" s="11"><f>IF(8=$B$49,-$K$66*$B$55,0)</f><v /></c><c r="EE141" s="11"><f>EC141/(EB141-EA141*EE140)</f><v /></c><c r="EF141" s="11"><f>(ED141-EA141*EF140)/(EB141-EA141*EE140)</f><v /></c><c r="EG141" s="15"><f>EF141-EE141*EG142</f><v /></c><c r="EH141" s="11"><f>IF(8&gt;$B$49+$B$50,$G$67*$B$54^$H$67,$E$67*$B$52^$F$67)</f><v /></c><c r="EI141" s="11"><f>IF(8=1,0,$B$57)</f><v /></c><c r="EJ141" s="11"><f>-($B$57+(IF(8&lt;=$B$49,$B$56*$B$58+$B$55,IF(8&lt;=$B$49+$B$50,$B$56*$B$58,$B$56)))/EH141)</f><v /></c><c r="EK141" s="11"><f>IF(8=$B$49+$B$50,0,IF(8&gt;$B$49+$B$50,$B$56/EH142,IF(8&gt;=$B$49,$B$56*$B$58/EH142,($B$56*$B$58+$B$55)/EH142)))</f><v /></c><c r="EL141" s="11"><f>IF(8=$B$49,-$K$67*$B$55,0)</f><v /></c><c r="EM141" s="11"><f>EK141/(EJ141-EI141*EM140)</f><v /></c><c r="EN141" s="11"><f>(EL141-EI141*EN140)/(EJ141-EI141*EM140)</f><v /></c><c r="EO141" s="15"><f>EN141-EM141*EO142</f><v /></c><c r="EP141" s="11"><f>IF(8&gt;$B$49+$B$50,$G$68*$B$54^$H$68,$E$68*$B$52^$F$68)</f><v /></c><c r="EQ141" s="11"><f>IF(8=1,0,$B$57)</f><v /></c><c r="ER141" s="11"><f>-($B$57+(IF(8&lt;=$B$49,$B$56*$B$58+$B$55,IF(8&lt;=$B$49+$B$50,$B$56*$B$58,$B$56)))/EP141)</f><v /></c><c r="ES141" s="11"><f>IF(8=$B$49+$B$50,0,IF(8&gt;$B$49+$B$50,$B$56/EP142,IF(8&gt;=$B$49,$B$56*$B$58/EP142,($B$56*$B$58+$B$55)/EP142)))</f><v /></c><c r="ET141" s="11"><f>IF(8=$B$49,-$K$68*$B$55,0)</f><v /></c><c r="EU141" s="11"><f>ES141/(ER141-EQ141*EU140)</f><v /></c><c r="EV141" s="11"><f>(ET141-EQ141*EV140)/(ER141-EQ141*EU140)</f><v /></c><c r="EW141" s="15"><f>EV141-EU141*EW142</f><v /></c><c r="EX141" s="11"><f>IF(8&gt;$B$49+$B$50,$G$69*$B$54^$H$69,$E$69*$B$52^$F$69)</f><v /></c><c r="EY141" s="11"><f>IF(8=1,0,$B$57)</f><v /></c><c r="EZ141" s="11"><f>-($B$57+(IF(8&lt;=$B$49,$B$56*$B$58+$B$55,IF(8&lt;=$B$49+$B$50,$B$56*$B$58,$B$56)))/EX141)</f><v /></c><c r="FA141" s="11"><f>IF(8=$B$49+$B$50,0,IF(8&gt;$B$49+$B$50,$B$56/EX142,IF(8&gt;=$B$49,$B$56*$B$58/EX142,($B$56*$B$58+$B$55)/EX142)))</f><v /></c><c r="FB141" s="11"><f>IF(8=$B$49,-$K$69*$B$55,0)</f><v /></c><c r="FC141" s="11"><f>FA141/(EZ141-EY141*FC140)</f><v /></c><c r="FD141" s="11"><f>(FB141-EY141*FD140)/(EZ141-EY141*FC140)</f><v /></c><c r="FE141" s="15"><f>FD141-FC141*FE142</f><v /></c><c r="FF141" s="11"><f>IF(8&gt;$B$49+$B$50,$G$70*$B$54^$H$70,$E$70*$B$52^$F$70)</f><v /></c><c r="FG141" s="11"><f>IF(8=1,0,$B$57)</f><v /></c><c r="FH141" s="11"><f>-($B$57+(IF(8&lt;=$B$49,$B$56*$B$58+$B$55,IF(8&lt;=$B$49+$B$50,$B$56*$B$58,$B$56)))/FF141)</f><v /></c><c r="FI141" s="11"><f>IF(8=$B$49+$B$50,0,IF(8&gt;$B$49+$B$50,$B$56/FF142,IF(8&gt;=$B$49,$B$56*$B$58/FF142,($B$56*$B$58+$B$55)/FF142)))</f><v /></c><c r="FJ141" s="11"><f>IF(8=$B$49,-$K$70*$B$55,0)</f><v /></c><c r="FK141" s="11"><f>FI141/(FH141-FG141*FK140)</f><v /></c><c r="FL141" s="11"><f>(FJ141-FG141*FL140)/(FH141-FG141*FK140)</f><v /></c><c r="FM141" s="15"><f>FL141-FK141*FM142</f><v /></c><c r="FN141" s="11"><f>IF(8&gt;$B$49+$B$50,$G$71*$B$54^$H$71,$E$71*$B$52^$F$71)</f><v /></c><c r="FO141" s="11"><f>IF(8=1,0,$B$57)</f><v /></c><c r="FP141" s="11"><f>-($B$57+(IF(8&lt;=$B$49,$B$56*$B$58+$B$55,IF(8&lt;=$B$49+$B$50,$B$56*$B$58,$B$56)))/FN141)</f><v /></c><c r="FQ141" s="11"><f>IF(8=$B$49+$B$50,0,IF(8&gt;$B$49+$B$50,$B$56/FN142,IF(8&gt;=$B$49,$B$56*$B$58/FN142,($B$56*$B$58+$B$55)/FN142)))</f><v /></c><c r="FR141" s="11"><f>IF(8=$B$49,-$K$71*$B$55,0)</f><v /></c><c r="FS141" s="11"><f>FQ141/(FP141-FO141*FS140)</f><v /></c><c r="FT141" s="11"><f>(FR141-FO141*FT140)/(FP141-FO141*FS140)</f><v /></c><c r="FU141" s="15"><f>FT141-FS141*FU142</f><v /></c><c r="FV141" s="11"><f>IF(8&gt;$B$49+$B$50,$G$72*$B$54^$H$72,$E$72*$B$52^$F$72)</f><v /></c><c r="FW141" s="11"><f>IF(8=1,0,$B$57)</f><v /></c><c r="FX141" s="11"><f>-($B$57+(IF(8&lt;=$B$49,$B$56*$B$58+$B$55,IF(8&lt;=$B$49+$B$50,$B$56*$B$58,$B$56)))/FV141)</f><v /></c><c r="FY141" s="11"><f>IF(8=$B$49+$B$50,0,IF(8&gt;$B$49+$B$50,$B$56/FV142,IF(8&gt;=$B$49,$B$56*$B$58/FV142,($B$56*$B$58+$B$55)/FV142)))</f><v /></c><c r="FZ141" s="11"><f>IF(8=$B$49,-$K$72*$B$55,0)</f><v /></c><c r="GA141" s="11"><f>FY141/(FX141-FW141*GA140)</f><v /></c><c r="GB141" s="11"><f>(FZ141-FW141*GB140)/(FX141-FW141*GA140)</f><v /></c><c r="GC141" s="15"><f>GB141-GA141*GC142</f><v /></c><c r="GD141" s="11"><f>IF(8&gt;$B$49+$B$50,$G$73*$B$54^$H$73,$E$73*$B$52^$F$73)</f><v /></c><c r="GE141" s="11"><f>IF(8=1,0,$B$57)</f><v /></c><c r="GF141" s="11"><f>-($B$57+(IF(8&lt;=$B$49,$B$56*$B$58+$B$55,IF(8&lt;=$B$49+$B$50,$B$56*$B$58,$B$56)))/GD141)</f><v /></c><c r="GG141" s="11"><f>IF(8=$B$49+$B$50,0,IF(8&gt;$B$49+$B$50,$B$56/GD142,IF(8&gt;=$B$49,$B$56*$B$58/GD142,($B$56*$B$58+$B$55)/GD142)))</f><v /></c><c r="GH141" s="11"><f>IF(8=$B$49,-$K$73*$B$55,0)</f><v /></c><c r="GI141" s="11"><f>GG141/(GF141-GE141*GI140)</f><v /></c><c r="GJ141" s="11"><f>(GH141-GE141*GJ140)/(GF141-GE141*GI140)</f><v /></c><c r="GK141" s="15"><f>GJ141-GI141*GK142</f><v /></c><c r="GL141" s="11"><f>IF(8&gt;$B$49+$B$50,$G$74*$B$54^$H$74,$E$74*$B$52^$F$74)</f><v /></c><c r="GM141" s="11"><f>IF(8=1,0,$B$57)</f><v /></c><c r="GN141" s="11"><f>-($B$57+(IF(8&lt;=$B$49,$B$56*$B$58+$B$55,IF(8&lt;=$B$49+$B$50,$B$56*$B$58,$B$56)))/GL141)</f><v /></c><c r="GO141" s="11"><f>IF(8=$B$49+$B$50,0,IF(8&gt;$B$49+$B$50,$B$56/GL142,IF(8&gt;=$B$49,$B$56*$B$58/GL142,($B$56*$B$58+$B$55)/GL142)))</f><v /></c><c r="GP141" s="11"><f>IF(8=$B$49,-$K$74*$B$55,0)</f><v /></c><c r="GQ141" s="11"><f>GO141/(GN141-GM141*GQ140)</f><v /></c><c r="GR141" s="11"><f>(GP141-GM141*GR140)/(GN141-GM141*GQ140)</f><v /></c><c r="GS141" s="15"><f>GR141-GQ141*GS142</f><v /></c><c r="GT141" s="11"><f>IF(8&gt;$B$49+$B$50,$G$75*$B$54^$H$75,$E$75*$B$52^$F$75)</f><v /></c><c r="GU141" s="11"><f>IF(8=1,0,$B$57)</f><v /></c><c r="GV141" s="11"><f>-($B$57+(IF(8&lt;=$B$49,$B$56*$B$58+$B$55,IF(8&lt;=$B$49+$B$50,$B$56*$B$58,$B$56)))/GT141)</f><v /></c><c r="GW141" s="11"><f>IF(8=$B$49+$B$50,0,IF(8&gt;$B$49+$B$50,$B$56/GT142,IF(8&gt;=$B$49,$B$56*$B$58/GT142,($B$56*$B$58+$B$55)/GT142)))</f><v /></c><c r="GX141" s="11"><f>IF(8=$B$49,-$K$75*$B$55,0)</f><v /></c><c r="GY141" s="11"><f>GW141/(GV141-GU141*GY140)</f><v /></c><c r="GZ141" s="11"><f>(GX141-GU141*GZ140)/(GV141-GU141*GY140)</f><v /></c><c r="HA141" s="15"><f>GZ141-GY141*HA142</f><v /></c><c r="HB141" s="13"><f>IFERROR(I141/B141,0)</f><v /></c><c r="HC141" s="13"><f>IFERROR(Q141/J141,0)</f><v /></c><c r="HD141" s="13"><f>IFERROR(Y141/R141,0)</f><v /></c><c r="HE141" s="13"><f>IFERROR(AG141/Z141,0)</f><v /></c><c r="HF141" s="13"><f>IFERROR(AO141/AH141,0)</f><v /></c><c r="HG141" s="13"><f>IFERROR(AW141/AP141,0)</f><v /></c><c r="HH141" s="13"><f>IFERROR(BE141/AX141,0)</f><v /></c><c r="HI141" s="13"><f>IFERROR(BM141/BF141,0)</f><v /></c><c r="HJ141" s="13"><f>IFERROR(BU141/BN141,0)</f><v /></c><c r="HK141" s="13"><f>IFERROR(CC141/BV141,0)</f><v /></c><c r="HL141" s="13"><f>IFERROR(CK141/CD141,0)</f><v /></c><c r="HM141" s="13"><f>IFERROR(CS141/CL141,0)</f><v /></c><c r="HN141" s="13"><f>IFERROR(DA141/CT141,0)</f><v /></c><c r="HO141" s="13"><f>IFERROR(DI141/DB141,0)</f><v /></c><c r="HP141" s="13"><f>IFERROR(DQ141/DJ141,0)</f><v /></c><c r="HQ141" s="13"><f>IFERROR(DY141/DR141,0)</f><v /></c><c r="HR141" s="13"><f>IFERROR(EG141/DZ141,0)</f><v /></c><c r="HS141" s="13"><f>IFERROR(EO141/EH141,0)</f><v /></c><c r="HT141" s="13"><f>IFERROR(EW141/EP141,0)</f><v /></c><c r="HU141" s="13"><f>IFERROR(FE141/EX141,0)</f><v /></c><c r="HV141" s="13"><f>IFERROR(FM141/FF141,0)</f><v /></c><c r="HW141" s="13"><f>IFERROR(FU141/FN141,0)</f><v /></c><c r="HX141" s="13"><f>IFERROR(GC141/FV141,0)</f><v /></c><c r="HY141" s="13"><f>IFERROR(GK141/GD141,0)</f><v /></c><c r="HZ141" s="13"><f>IFERROR(GS141/GL141,0)</f><v /></c><c r="IA141" s="13"><f>IFERROR(HA141/GT141,0)</f><v /></c><c r="IB141" s="13"><f>I141+Q141+Y141+AG141+AO141+AW141+BE141+BM141+BU141+CC141+CK141+CS141+DA141+DI141+DQ141+DY141+EG141+EO141+EW141+FE141+FM141+FU141+GC141+GK141+GS141+HA141</f><v /></c><c r="IC141" s="13"><f>HB141+HC141+HD141+HE141+HF141+HG141+HH141+HI141+HJ141+HK141+HL141+HM141+HN141+HO141+HP141+HQ141+HR141+HS141+HT141+HU141+HV141+HW141+HX141+HY141+HZ141+IA141</f><v /></c></row><row r="142" ht="14" customHeight="1"><c r="A142" s="25" t="n"><v>9</v></c><c r="B142" s="11"><f>IF(9&gt;$B$49+$B$50,$G$50*$B$54^$H$50,$E$50*$B$52^$F$50)</f><v /></c><c r="C142" s="11"><f>IF(9=1,0,$B$57)</f><v /></c><c r="D142" s="11"><f>-($B$57+(IF(9&lt;=$B$49,$B$56*$B$58+$B$55,IF(9&lt;=$B$49+$B$50,$B$56*$B$58,$B$56)))/B142)</f><v /></c><c r="E142" s="11"><f>IF(9=$B$49+$B$50,0,IF(9&gt;$B$49+$B$50,$B$56/B143,IF(9&gt;=$B$49,$B$56*$B$58/B143,($B$56*$B$58+$B$55)/B143)))</f><v /></c><c r="F142" s="11"><f>IF(9=$B$49,-$K$50*$B$55,0)</f><v /></c><c r="G142" s="11"><f>E142/(D142-C142*G141)</f><v /></c><c r="H142" s="11"><f>(F142-C142*H141)/(D142-C142*G141)</f><v /></c><c r="I142" s="15"><f>H142-G142*I143</f><v /></c><c r="J142" s="11"><f>IF(9&gt;$B$49+$B$50,$G$51*$B$54^$H$51,$E$51*$B$52^$F$51)</f><v /></c><c r="K142" s="11"><f>IF(9=1,0,$B$57)</f><v /></c><c r="L142" s="11"><f>-($B$57+(IF(9&lt;=$B$49,$B$56*$B$58+$B$55,IF(9&lt;=$B$49+$B$50,$B$56*$B$58,$B$56)))/J142)</f><v /></c><c r="M142" s="11"><f>IF(9=$B$49+$B$50,0,IF(9&gt;$B$49+$B$50,$B$56/J143,IF(9&gt;=$B$49,$B$56*$B$58/J143,($B$56*$B$58+$B$55)/J143)))</f><v /></c><c r="N142" s="11"><f>IF(9=$B$49,-$K$51*$B$55,0)</f><v /></c><c r="O142" s="11"><f>M142/(L142-K142*O141)</f><v /></c><c r="P142" s="11"><f>(N142-K142*P141)/(L142-K142*O141)</f><v /></c><c r="Q142" s="15"><f>P142-O142*Q143</f><v /></c><c r="R142" s="11"><f>IF(9&gt;$B$49+$B$50,$G$52*$B$54^$H$52,$E$52*$B$52^$F$52)</f><v /></c><c r="S142" s="11"><f>IF(9=1,0,$B$57)</f><v /></c><c r="T142" s="11"><f>-($B$57+(IF(9&lt;=$B$49,$B$56*$B$58+$B$55,IF(9&lt;=$B$49+$B$50,$B$56*$B$58,$B$56)))/R142)</f><v /></c><c r="U142" s="11"><f>IF(9=$B$49+$B$50,0,IF(9&gt;$B$49+$B$50,$B$56/R143,IF(9&gt;=$B$49,$B$56*$B$58/R143,($B$56*$B$58+$B$55)/R143)))</f><v /></c><c r="V142" s="11"><f>IF(9=$B$49,-$K$52*$B$55,0)</f><v /></c><c r="W142" s="11"><f>U142/(T142-S142*W141)</f><v /></c><c r="X142" s="11"><f>(V142-S142*X141)/(T142-S142*W141)</f><v /></c><c r="Y142" s="15"><f>X142-W142*Y143</f><v /></c><c r="Z142" s="11"><f>IF(9&gt;$B$49+$B$50,$G$53*$B$54^$H$53,$E$53*$B$52^$F$53)</f><v /></c><c r="AA142" s="11"><f>IF(9=1,0,$B$57)</f><v /></c><c r="AB142" s="11"><f>-($B$57+(IF(9&lt;=$B$49,$B$56*$B$58+$B$55,IF(9&lt;=$B$49+$B$50,$B$56*$B$58,$B$56)))/Z142)</f><v /></c><c r="AC142" s="11"><f>IF(9=$B$49+$B$50,0,IF(9&gt;$B$49+$B$50,$B$56/Z143,IF(9&gt;=$B$49,$B$56*$B$58/Z143,($B$56*$B$58+$B$55)/Z143)))</f><v /></c><c r="AD142" s="11"><f>IF(9=$B$49,-$K$53*$B$55,0)</f><v /></c><c r="AE142" s="11"><f>AC142/(AB142-AA142*AE141)</f><v /></c><c r="AF142" s="11"><f>(AD142-AA142*AF141)/(AB142-AA142*AE141)</f><v /></c><c r="AG142" s="15"><f>AF142-AE142*AG143</f><v /></c><c r="AH142" s="11"><f>IF(9&gt;$B$49+$B$50,$G$54*$B$54^$H$54,$E$54*$B$52^$F$54)</f><v /></c><c r="AI142" s="11"><f>IF(9=1,0,$B$57)</f><v /></c><c r="AJ142" s="11"><f>-($B$57+(IF(9&lt;=$B$49,$B$56*$B$58+$B$55,IF(9&lt;=$B$49+$B$50,$B$56*$B$58,$B$56)))/AH142)</f><v /></c><c r="AK142" s="11"><f>IF(9=$B$49+$B$50,0,IF(9&gt;$B$49+$B$50,$B$56/AH143,IF(9&gt;=$B$49,$B$56*$B$58/AH143,($B$56*$B$58+$B$55)/AH143)))</f><v /></c><c r="AL142" s="11"><f>IF(9=$B$49,-$K$54*$B$55,0)</f><v /></c><c r="AM142" s="11"><f>AK142/(AJ142-AI142*AM141)</f><v /></c><c r="AN142" s="11"><f>(AL142-AI142*AN141)/(AJ142-AI142*AM141)</f><v /></c><c r="AO142" s="15"><f>AN142-AM142*AO143</f><v /></c><c r="AP142" s="11"><f>IF(9&gt;$B$49+$B$50,$G$55*$B$54^$H$55,$E$55*$B$52^$F$55)</f><v /></c><c r="AQ142" s="11"><f>IF(9=1,0,$B$57)</f><v /></c><c r="AR142" s="11"><f>-($B$57+(IF(9&lt;=$B$49,$B$56*$B$58+$B$55,IF(9&lt;=$B$49+$B$50,$B$56*$B$58,$B$56)))/AP142)</f><v /></c><c r="AS142" s="11"><f>IF(9=$B$49+$B$50,0,IF(9&gt;$B$49+$B$50,$B$56/AP143,IF(9&gt;=$B$49,$B$56*$B$58/AP143,($B$56*$B$58+$B$55)/AP143)))</f><v /></c><c r="AT142" s="11"><f>IF(9=$B$49,-$K$55*$B$55,0)</f><v /></c><c r="AU142" s="11"><f>AS142/(AR142-AQ142*AU141)</f><v /></c><c r="AV142" s="11"><f>(AT142-AQ142*AV141)/(AR142-AQ142*AU141)</f><v /></c><c r="AW142" s="15"><f>AV142-AU142*AW143</f><v /></c><c r="AX142" s="11"><f>IF(9&gt;$B$49+$B$50,$G$56*$B$54^$H$56,$E$56*$B$52^$F$56)</f><v /></c><c r="AY142" s="11"><f>IF(9=1,0,$B$57)</f><v /></c><c r="AZ142" s="11"><f>-($B$57+(IF(9&lt;=$B$49,$B$56*$B$58+$B$55,IF(9&lt;=$B$49+$B$50,$B$56*$B$58,$B$56)))/AX142)</f><v /></c><c r="BA142" s="11"><f>IF(9=$B$49+$B$50,0,IF(9&gt;$B$49+$B$50,$B$56/AX143,IF(9&gt;=$B$49,$B$56*$B$58/AX143,($B$56*$B$58+$B$55)/AX143)))</f><v /></c><c r="BB142" s="11"><f>IF(9=$B$49,-$K$56*$B$55,0)</f><v /></c><c r="BC142" s="11"><f>BA142/(AZ142-AY142*BC141)</f><v /></c><c r="BD142" s="11"><f>(BB142-AY142*BD141)/(AZ142-AY142*BC141)</f><v /></c><c r="BE142" s="15"><f>BD142-BC142*BE143</f><v /></c><c r="BF142" s="11"><f>IF(9&gt;$B$49+$B$50,$G$57*$B$54^$H$57,$E$57*$B$52^$F$57)</f><v /></c><c r="BG142" s="11"><f>IF(9=1,0,$B$57)</f><v /></c><c r="BH142" s="11"><f>-($B$57+(IF(9&lt;=$B$49,$B$56*$B$58+$B$55,IF(9&lt;=$B$49+$B$50,$B$56*$B$58,$B$56)))/BF142)</f><v /></c><c r="BI142" s="11"><f>IF(9=$B$49+$B$50,0,IF(9&gt;$B$49+$B$50,$B$56/BF143,IF(9&gt;=$B$49,$B$56*$B$58/BF143,($B$56*$B$58+$B$55)/BF143)))</f><v /></c><c r="BJ142" s="11"><f>IF(9=$B$49,-$K$57*$B$55,0)</f><v /></c><c r="BK142" s="11"><f>BI142/(BH142-BG142*BK141)</f><v /></c><c r="BL142" s="11"><f>(BJ142-BG142*BL141)/(BH142-BG142*BK141)</f><v /></c><c r="BM142" s="15"><f>BL142-BK142*BM143</f><v /></c><c r="BN142" s="11"><f>IF(9&gt;$B$49+$B$50,$G$58*$B$54^$H$58,$E$58*$B$52^$F$58)</f><v /></c><c r="BO142" s="11"><f>IF(9=1,0,$B$57)</f><v /></c><c r="BP142" s="11"><f>-($B$57+(IF(9&lt;=$B$49,$B$56*$B$58+$B$55,IF(9&lt;=$B$49+$B$50,$B$56*$B$58,$B$56)))/BN142)</f><v /></c><c r="BQ142" s="11"><f>IF(9=$B$49+$B$50,0,IF(9&gt;$B$49+$B$50,$B$56/BN143,IF(9&gt;=$B$49,$B$56*$B$58/BN143,($B$56*$B$58+$B$55)/BN143)))</f><v /></c><c r="BR142" s="11"><f>IF(9=$B$49,-$K$58*$B$55,0)</f><v /></c><c r="BS142" s="11"><f>BQ142/(BP142-BO142*BS141)</f><v /></c><c r="BT142" s="11"><f>(BR142-BO142*BT141)/(BP142-BO142*BS141)</f><v /></c><c r="BU142" s="15"><f>BT142-BS142*BU143</f><v /></c><c r="BV142" s="11"><f>IF(9&gt;$B$49+$B$50,$G$59*$B$54^$H$59,$E$59*$B$52^$F$59)</f><v /></c><c r="BW142" s="11"><f>IF(9=1,0,$B$57)</f><v /></c><c r="BX142" s="11"><f>-($B$57+(IF(9&lt;=$B$49,$B$56*$B$58+$B$55,IF(9&lt;=$B$49+$B$50,$B$56*$B$58,$B$56)))/BV142)</f><v /></c><c r="BY142" s="11"><f>IF(9=$B$49+$B$50,0,IF(9&gt;$B$49+$B$50,$B$56/BV143,IF(9&gt;=$B$49,$B$56*$B$58/BV143,($B$56*$B$58+$B$55)/BV143)))</f><v /></c><c r="BZ142" s="11"><f>IF(9=$B$49,-$K$59*$B$55,0)</f><v /></c><c r="CA142" s="11"><f>BY142/(BX142-BW142*CA141)</f><v /></c><c r="CB142" s="11"><f>(BZ142-BW142*CB141)/(BX142-BW142*CA141)</f><v /></c><c r="CC142" s="15"><f>CB142-CA142*CC143</f><v /></c><c r="CD142" s="11"><f>IF(9&gt;$B$49+$B$50,$G$60*$B$54^$H$60,$E$60*$B$52^$F$60)</f><v /></c><c r="CE142" s="11"><f>IF(9=1,0,$B$57)</f><v /></c><c r="CF142" s="11"><f>-($B$57+(IF(9&lt;=$B$49,$B$56*$B$58+$B$55,IF(9&lt;=$B$49+$B$50,$B$56*$B$58,$B$56)))/CD142)</f><v /></c><c r="CG142" s="11"><f>IF(9=$B$49+$B$50,0,IF(9&gt;$B$49+$B$50,$B$56/CD143,IF(9&gt;=$B$49,$B$56*$B$58/CD143,($B$56*$B$58+$B$55)/CD143)))</f><v /></c><c r="CH142" s="11"><f>IF(9=$B$49,-$K$60*$B$55,0)</f><v /></c><c r="CI142" s="11"><f>CG142/(CF142-CE142*CI141)</f><v /></c><c r="CJ142" s="11"><f>(CH142-CE142*CJ141)/(CF142-CE142*CI141)</f><v /></c><c r="CK142" s="15"><f>CJ142-CI142*CK143</f><v /></c><c r="CL142" s="11"><f>IF(9&gt;$B$49+$B$50,$G$61*$B$54^$H$61,$E$61*$B$52^$F$61)</f><v /></c><c r="CM142" s="11"><f>IF(9=1,0,$B$57)</f><v /></c><c r="CN142" s="11"><f>-($B$57+(IF(9&lt;=$B$49,$B$56*$B$58+$B$55,IF(9&lt;=$B$49+$B$50,$B$56*$B$58,$B$56)))/CL142)</f><v /></c><c r="CO142" s="11"><f>IF(9=$B$49+$B$50,0,IF(9&gt;$B$49+$B$50,$B$56/CL143,IF(9&gt;=$B$49,$B$56*$B$58/CL143,($B$56*$B$58+$B$55)/CL143)))</f><v /></c><c r="CP142" s="11"><f>IF(9=$B$49,-$K$61*$B$55,0)</f><v /></c><c r="CQ142" s="11"><f>CO142/(CN142-CM142*CQ141)</f><v /></c><c r="CR142" s="11"><f>(CP142-CM142*CR141)/(CN142-CM142*CQ141)</f><v /></c><c r="CS142" s="15"><f>CR142-CQ142*CS143</f><v /></c><c r="CT142" s="11"><f>IF(9&gt;$B$49+$B$50,$G$62*$B$54^$H$62,$E$62*$B$52^$F$62)</f><v /></c><c r="CU142" s="11"><f>IF(9=1,0,$B$57)</f><v /></c><c r="CV142" s="11"><f>-($B$57+(IF(9&lt;=$B$49,$B$56*$B$58+$B$55,IF(9&lt;=$B$49+$B$50,$B$56*$B$58,$B$56)))/CT142)</f><v /></c><c r="CW142" s="11"><f>IF(9=$B$49+$B$50,0,IF(9&gt;$B$49+$B$50,$B$56/CT143,IF(9&gt;=$B$49,$B$56*$B$58/CT143,($B$56*$B$58+$B$55)/CT143)))</f><v /></c><c r="CX142" s="11"><f>IF(9=$B$49,-$K$62*$B$55,0)</f><v /></c><c r="CY142" s="11"><f>CW142/(CV142-CU142*CY141)</f><v /></c><c r="CZ142" s="11"><f>(CX142-CU142*CZ141)/(CV142-CU142*CY141)</f><v /></c><c r="DA142" s="15"><f>CZ142-CY142*DA143</f><v /></c><c r="DB142" s="11"><f>IF(9&gt;$B$49+$B$50,$G$63*$B$54^$H$63,$E$63*$B$52^$F$63)</f><v /></c><c r="DC142" s="11"><f>IF(9=1,0,$B$57)</f><v /></c><c r="DD142" s="11"><f>-($B$57+(IF(9&lt;=$B$49,$B$56*$B$58+$B$55,IF(9&lt;=$B$49+$B$50,$B$56*$B$58,$B$56)))/DB142)</f><v /></c><c r="DE142" s="11"><f>IF(9=$B$49+$B$50,0,IF(9&gt;$B$49+$B$50,$B$56/DB143,IF(9&gt;=$B$49,$B$56*$B$58/DB143,($B$56*$B$58+$B$55)/DB143)))</f><v /></c><c r="DF142" s="11"><f>IF(9=$B$49,-$K$63*$B$55,0)</f><v /></c><c r="DG142" s="11"><f>DE142/(DD142-DC142*DG141)</f><v /></c><c r="DH142" s="11"><f>(DF142-DC142*DH141)/(DD142-DC142*DG141)</f><v /></c><c r="DI142" s="15"><f>DH142-DG142*DI143</f><v /></c><c r="DJ142" s="11"><f>IF(9&gt;$B$49+$B$50,$G$64*$B$54^$H$64,$E$64*$B$52^$F$64)</f><v /></c><c r="DK142" s="11"><f>IF(9=1,0,$B$57)</f><v /></c><c r="DL142" s="11"><f>-($B$57+(IF(9&lt;=$B$49,$B$56*$B$58+$B$55,IF(9&lt;=$B$49+$B$50,$B$56*$B$58,$B$56)))/DJ142)</f><v /></c><c r="DM142" s="11"><f>IF(9=$B$49+$B$50,0,IF(9&gt;$B$49+$B$50,$B$56/DJ143,IF(9&gt;=$B$49,$B$56*$B$58/DJ143,($B$56*$B$58+$B$55)/DJ143)))</f><v /></c><c r="DN142" s="11"><f>IF(9=$B$49,-$K$64*$B$55,0)</f><v /></c><c r="DO142" s="11"><f>DM142/(DL142-DK142*DO141)</f><v /></c><c r="DP142" s="11"><f>(DN142-DK142*DP141)/(DL142-DK142*DO141)</f><v /></c><c r="DQ142" s="15"><f>DP142-DO142*DQ143</f><v /></c><c r="DR142" s="11"><f>IF(9&gt;$B$49+$B$50,$G$65*$B$54^$H$65,$E$65*$B$52^$F$65)</f><v /></c><c r="DS142" s="11"><f>IF(9=1,0,$B$57)</f><v /></c><c r="DT142" s="11"><f>-($B$57+(IF(9&lt;=$B$49,$B$56*$B$58+$B$55,IF(9&lt;=$B$49+$B$50,$B$56*$B$58,$B$56)))/DR142)</f><v /></c><c r="DU142" s="11"><f>IF(9=$B$49+$B$50,0,IF(9&gt;$B$49+$B$50,$B$56/DR143,IF(9&gt;=$B$49,$B$56*$B$58/DR143,($B$56*$B$58+$B$55)/DR143)))</f><v /></c><c r="DV142" s="11"><f>IF(9=$B$49,-$K$65*$B$55,0)</f><v /></c><c r="DW142" s="11"><f>DU142/(DT142-DS142*DW141)</f><v /></c><c r="DX142" s="11"><f>(DV142-DS142*DX141)/(DT142-DS142*DW141)</f><v /></c><c r="DY142" s="15"><f>DX142-DW142*DY143</f><v /></c><c r="DZ142" s="11"><f>IF(9&gt;$B$49+$B$50,$G$66*$B$54^$H$66,$E$66*$B$52^$F$66)</f><v /></c><c r="EA142" s="11"><f>IF(9=1,0,$B$57)</f><v /></c><c r="EB142" s="11"><f>-($B$57+(IF(9&lt;=$B$49,$B$56*$B$58+$B$55,IF(9&lt;=$B$49+$B$50,$B$56*$B$58,$B$56)))/DZ142)</f><v /></c><c r="EC142" s="11"><f>IF(9=$B$49+$B$50,0,IF(9&gt;$B$49+$B$50,$B$56/DZ143,IF(9&gt;=$B$49,$B$56*$B$58/DZ143,($B$56*$B$58+$B$55)/DZ143)))</f><v /></c><c r="ED142" s="11"><f>IF(9=$B$49,-$K$66*$B$55,0)</f><v /></c><c r="EE142" s="11"><f>EC142/(EB142-EA142*EE141)</f><v /></c><c r="EF142" s="11"><f>(ED142-EA142*EF141)/(EB142-EA142*EE141)</f><v /></c><c r="EG142" s="15"><f>EF142-EE142*EG143</f><v /></c><c r="EH142" s="11"><f>IF(9&gt;$B$49+$B$50,$G$67*$B$54^$H$67,$E$67*$B$52^$F$67)</f><v /></c><c r="EI142" s="11"><f>IF(9=1,0,$B$57)</f><v /></c><c r="EJ142" s="11"><f>-($B$57+(IF(9&lt;=$B$49,$B$56*$B$58+$B$55,IF(9&lt;=$B$49+$B$50,$B$56*$B$58,$B$56)))/EH142)</f><v /></c><c r="EK142" s="11"><f>IF(9=$B$49+$B$50,0,IF(9&gt;$B$49+$B$50,$B$56/EH143,IF(9&gt;=$B$49,$B$56*$B$58/EH143,($B$56*$B$58+$B$55)/EH143)))</f><v /></c><c r="EL142" s="11"><f>IF(9=$B$49,-$K$67*$B$55,0)</f><v /></c><c r="EM142" s="11"><f>EK142/(EJ142-EI142*EM141)</f><v /></c><c r="EN142" s="11"><f>(EL142-EI142*EN141)/(EJ142-EI142*EM141)</f><v /></c><c r="EO142" s="15"><f>EN142-EM142*EO143</f><v /></c><c r="EP142" s="11"><f>IF(9&gt;$B$49+$B$50,$G$68*$B$54^$H$68,$E$68*$B$52^$F$68)</f><v /></c><c r="EQ142" s="11"><f>IF(9=1,0,$B$57)</f><v /></c><c r="ER142" s="11"><f>-($B$57+(IF(9&lt;=$B$49,$B$56*$B$58+$B$55,IF(9&lt;=$B$49+$B$50,$B$56*$B$58,$B$56)))/EP142)</f><v /></c><c r="ES142" s="11"><f>IF(9=$B$49+$B$50,0,IF(9&gt;$B$49+$B$50,$B$56/EP143,IF(9&gt;=$B$49,$B$56*$B$58/EP143,($B$56*$B$58+$B$55)/EP143)))</f><v /></c><c r="ET142" s="11"><f>IF(9=$B$49,-$K$68*$B$55,0)</f><v /></c><c r="EU142" s="11"><f>ES142/(ER142-EQ142*EU141)</f><v /></c><c r="EV142" s="11"><f>(ET142-EQ142*EV141)/(ER142-EQ142*EU141)</f><v /></c><c r="EW142" s="15"><f>EV142-EU142*EW143</f><v /></c><c r="EX142" s="11"><f>IF(9&gt;$B$49+$B$50,$G$69*$B$54^$H$69,$E$69*$B$52^$F$69)</f><v /></c><c r="EY142" s="11"><f>IF(9=1,0,$B$57)</f><v /></c><c r="EZ142" s="11"><f>-($B$57+(IF(9&lt;=$B$49,$B$56*$B$58+$B$55,IF(9&lt;=$B$49+$B$50,$B$56*$B$58,$B$56)))/EX142)</f><v /></c><c r="FA142" s="11"><f>IF(9=$B$49+$B$50,0,IF(9&gt;$B$49+$B$50,$B$56/EX143,IF(9&gt;=$B$49,$B$56*$B$58/EX143,($B$56*$B$58+$B$55)/EX143)))</f><v /></c><c r="FB142" s="11"><f>IF(9=$B$49,-$K$69*$B$55,0)</f><v /></c><c r="FC142" s="11"><f>FA142/(EZ142-EY142*FC141)</f><v /></c><c r="FD142" s="11"><f>(FB142-EY142*FD141)/(EZ142-EY142*FC141)</f><v /></c><c r="FE142" s="15"><f>FD142-FC142*FE143</f><v /></c><c r="FF142" s="11"><f>IF(9&gt;$B$49+$B$50,$G$70*$B$54^$H$70,$E$70*$B$52^$F$70)</f><v /></c><c r="FG142" s="11"><f>IF(9=1,0,$B$57)</f><v /></c><c r="FH142" s="11"><f>-($B$57+(IF(9&lt;=$B$49,$B$56*$B$58+$B$55,IF(9&lt;=$B$49+$B$50,$B$56*$B$58,$B$56)))/FF142)</f><v /></c><c r="FI142" s="11"><f>IF(9=$B$49+$B$50,0,IF(9&gt;$B$49+$B$50,$B$56/FF143,IF(9&gt;=$B$49,$B$56*$B$58/FF143,($B$56*$B$58+$B$55)/FF143)))</f><v /></c><c r="FJ142" s="11"><f>IF(9=$B$49,-$K$70*$B$55,0)</f><v /></c><c r="FK142" s="11"><f>FI142/(FH142-FG142*FK141)</f><v /></c><c r="FL142" s="11"><f>(FJ142-FG142*FL141)/(FH142-FG142*FK141)</f><v /></c><c r="FM142" s="15"><f>FL142-FK142*FM143</f><v /></c><c r="FN142" s="11"><f>IF(9&gt;$B$49+$B$50,$G$71*$B$54^$H$71,$E$71*$B$52^$F$71)</f><v /></c><c r="FO142" s="11"><f>IF(9=1,0,$B$57)</f><v /></c><c r="FP142" s="11"><f>-($B$57+(IF(9&lt;=$B$49,$B$56*$B$58+$B$55,IF(9&lt;=$B$49+$B$50,$B$56*$B$58,$B$56)))/FN142)</f><v /></c><c r="FQ142" s="11"><f>IF(9=$B$49+$B$50,0,IF(9&gt;$B$49+$B$50,$B$56/FN143,IF(9&gt;=$B$49,$B$56*$B$58/FN143,($B$56*$B$58+$B$55)/FN143)))</f><v /></c><c r="FR142" s="11"><f>IF(9=$B$49,-$K$71*$B$55,0)</f><v /></c><c r="FS142" s="11"><f>FQ142/(FP142-FO142*FS141)</f><v /></c><c r="FT142" s="11"><f>(FR142-FO142*FT141)/(FP142-FO142*FS141)</f><v /></c><c r="FU142" s="15"><f>FT142-FS142*FU143</f><v /></c><c r="FV142" s="11"><f>IF(9&gt;$B$49+$B$50,$G$72*$B$54^$H$72,$E$72*$B$52^$F$72)</f><v /></c><c r="FW142" s="11"><f>IF(9=1,0,$B$57)</f><v /></c><c r="FX142" s="11"><f>-($B$57+(IF(9&lt;=$B$49,$B$56*$B$58+$B$55,IF(9&lt;=$B$49+$B$50,$B$56*$B$58,$B$56)))/FV142)</f><v /></c><c r="FY142" s="11"><f>IF(9=$B$49+$B$50,0,IF(9&gt;$B$49+$B$50,$B$56/FV143,IF(9&gt;=$B$49,$B$56*$B$58/FV143,($B$56*$B$58+$B$55)/FV143)))</f><v /></c><c r="FZ142" s="11"><f>IF(9=$B$49,-$K$72*$B$55,0)</f><v /></c><c r="GA142" s="11"><f>FY142/(FX142-FW142*GA141)</f><v /></c><c r="GB142" s="11"><f>(FZ142-FW142*GB141)/(FX142-FW142*GA141)</f><v /></c><c r="GC142" s="15"><f>GB142-GA142*GC143</f><v /></c><c r="GD142" s="11"><f>IF(9&gt;$B$49+$B$50,$G$73*$B$54^$H$73,$E$73*$B$52^$F$73)</f><v /></c><c r="GE142" s="11"><f>IF(9=1,0,$B$57)</f><v /></c><c r="GF142" s="11"><f>-($B$57+(IF(9&lt;=$B$49,$B$56*$B$58+$B$55,IF(9&lt;=$B$49+$B$50,$B$56*$B$58,$B$56)))/GD142)</f><v /></c><c r="GG142" s="11"><f>IF(9=$B$49+$B$50,0,IF(9&gt;$B$49+$B$50,$B$56/GD143,IF(9&gt;=$B$49,$B$56*$B$58/GD143,($B$56*$B$58+$B$55)/GD143)))</f><v /></c><c r="GH142" s="11"><f>IF(9=$B$49,-$K$73*$B$55,0)</f><v /></c><c r="GI142" s="11"><f>GG142/(GF142-GE142*GI141)</f><v /></c><c r="GJ142" s="11"><f>(GH142-GE142*GJ141)/(GF142-GE142*GI141)</f><v /></c><c r="GK142" s="15"><f>GJ142-GI142*GK143</f><v /></c><c r="GL142" s="11"><f>IF(9&gt;$B$49+$B$50,$G$74*$B$54^$H$74,$E$74*$B$52^$F$74)</f><v /></c><c r="GM142" s="11"><f>IF(9=1,0,$B$57)</f><v /></c><c r="GN142" s="11"><f>-($B$57+(IF(9&lt;=$B$49,$B$56*$B$58+$B$55,IF(9&lt;=$B$49+$B$50,$B$56*$B$58,$B$56)))/GL142)</f><v /></c><c r="GO142" s="11"><f>IF(9=$B$49+$B$50,0,IF(9&gt;$B$49+$B$50,$B$56/GL143,IF(9&gt;=$B$49,$B$56*$B$58/GL143,($B$56*$B$58+$B$55)/GL143)))</f><v /></c><c r="GP142" s="11"><f>IF(9=$B$49,-$K$74*$B$55,0)</f><v /></c><c r="GQ142" s="11"><f>GO142/(GN142-GM142*GQ141)</f><v /></c><c r="GR142" s="11"><f>(GP142-GM142*GR141)/(GN142-GM142*GQ141)</f><v /></c><c r="GS142" s="15"><f>GR142-GQ142*GS143</f><v /></c><c r="GT142" s="11"><f>IF(9&gt;$B$49+$B$50,$G$75*$B$54^$H$75,$E$75*$B$52^$F$75)</f><v /></c><c r="GU142" s="11"><f>IF(9=1,0,$B$57)</f><v /></c><c r="GV142" s="11"><f>-($B$57+(IF(9&lt;=$B$49,$B$56*$B$58+$B$55,IF(9&lt;=$B$49+$B$50,$B$56*$B$58,$B$56)))/GT142)</f><v /></c><c r="GW142" s="11"><f>IF(9=$B$49+$B$50,0,IF(9&gt;$B$49+$B$50,$B$56/GT143,IF(9&gt;=$B$49,$B$56*$B$58/GT143,($B$56*$B$58+$B$55)/GT143)))</f><v /></c><c r="GX142" s="11"><f>IF(9=$B$49,-$K$75*$B$55,0)</f><v /></c><c r="GY142" s="11"><f>GW142/(GV142-GU142*GY141)</f><v /></c><c r="GZ142" s="11"><f>(GX142-GU142*GZ141)/(GV142-GU142*GY141)</f><v /></c><c r="HA142" s="15"><f>GZ142-GY142*HA143</f><v /></c><c r="HB142" s="13"><f>IFERROR(I142/B142,0)</f><v /></c><c r="HC142" s="13"><f>IFERROR(Q142/J142,0)</f><v /></c><c r="HD142" s="13"><f>IFERROR(Y142/R142,0)</f><v /></c><c r="HE142" s="13"><f>IFERROR(AG142/Z142,0)</f><v /></c><c r="HF142" s="13"><f>IFERROR(AO142/AH142,0)</f><v /></c><c r="HG142" s="13"><f>IFERROR(AW142/AP142,0)</f><v /></c><c r="HH142" s="13"><f>IFERROR(BE142/AX142,0)</f><v /></c><c r="HI142" s="13"><f>IFERROR(BM142/BF142,0)</f><v /></c><c r="HJ142" s="13"><f>IFERROR(BU142/BN142,0)</f><v /></c><c r="HK142" s="13"><f>IFERROR(CC142/BV142,0)</f><v /></c><c r="HL142" s="13"><f>IFERROR(CK142/CD142,0)</f><v /></c><c r="HM142" s="13"><f>IFERROR(CS142/CL142,0)</f><v /></c><c r="HN142" s="13"><f>IFERROR(DA142/CT142,0)</f><v /></c><c r="HO142" s="13"><f>IFERROR(DI142/DB142,0)</f><v /></c><c r="HP142" s="13"><f>IFERROR(DQ142/DJ142,0)</f><v /></c><c r="HQ142" s="13"><f>IFERROR(DY142/DR142,0)</f><v /></c><c r="HR142" s="13"><f>IFERROR(EG142/DZ142,0)</f><v /></c><c r="HS142" s="13"><f>IFERROR(EO142/EH142,0)</f><v /></c><c r="HT142" s="13"><f>IFERROR(EW142/EP142,0)</f><v /></c><c r="HU142" s="13"><f>IFERROR(FE142/EX142,0)</f><v /></c><c r="HV142" s="13"><f>IFERROR(FM142/FF142,0)</f><v /></c><c r="HW142" s="13"><f>IFERROR(FU142/FN142,0)</f><v /></c><c r="HX142" s="13"><f>IFERROR(GC142/FV142,0)</f><v /></c><c r="HY142" s="13"><f>IFERROR(GK142/GD142,0)</f><v /></c><c r="HZ142" s="13"><f>IFERROR(GS142/GL142,0)</f><v /></c><c r="IA142" s="13"><f>IFERROR(HA142/GT142,0)</f><v /></c><c r="IB142" s="13"><f>I142+Q142+Y142+AG142+AO142+AW142+BE142+BM142+BU142+CC142+CK142+CS142+DA142+DI142+DQ142+DY142+EG142+EO142+EW142+FE142+FM142+FU142+GC142+GK142+GS142+HA142</f><v /></c><c r="IC142" s="13"><f>HB142+HC142+HD142+HE142+HF142+HG142+HH142+HI142+HJ142+HK142+HL142+HM142+HN142+HO142+HP142+HQ142+HR142+HS142+HT142+HU142+HV142+HW142+HX142+HY142+HZ142+IA142</f><v /></c></row><row r="143" ht="14" customHeight="1"><c r="A143" s="25" t="n"><v>10</v></c><c r="B143" s="11"><f>IF(10&gt;$B$49+$B$50,$G$50*$B$54^$H$50,$E$50*$B$52^$F$50)</f><v /></c><c r="C143" s="11"><f>IF(10=1,0,$B$57)</f><v /></c><c r="D143" s="11"><f>-($B$57+(IF(10&lt;=$B$49,$B$56*$B$58+$B$55,IF(10&lt;=$B$49+$B$50,$B$56*$B$58,$B$56)))/B143)</f><v /></c><c r="E143" s="11"><f>IF(10=$B$49+$B$50,0,IF(10&gt;$B$49+$B$50,$B$56/B144,IF(10&gt;=$B$49,$B$56*$B$58/B144,($B$56*$B$58+$B$55)/B144)))</f><v /></c><c r="F143" s="11"><f>IF(10=$B$49,-$K$50*$B$55,0)</f><v /></c><c r="G143" s="11"><f>E143/(D143-C143*G142)</f><v /></c><c r="H143" s="11"><f>(F143-C143*H142)/(D143-C143*G142)</f><v /></c><c r="I143" s="15"><f>H143-G143*I144</f><v /></c><c r="J143" s="11"><f>IF(10&gt;$B$49+$B$50,$G$51*$B$54^$H$51,$E$51*$B$52^$F$51)</f><v /></c><c r="K143" s="11"><f>IF(10=1,0,$B$57)</f><v /></c><c r="L143" s="11"><f>-($B$57+(IF(10&lt;=$B$49,$B$56*$B$58+$B$55,IF(10&lt;=$B$49+$B$50,$B$56*$B$58,$B$56)))/J143)</f><v /></c><c r="M143" s="11"><f>IF(10=$B$49+$B$50,0,IF(10&gt;$B$49+$B$50,$B$56/J144,IF(10&gt;=$B$49,$B$56*$B$58/J144,($B$56*$B$58+$B$55)/J144)))</f><v /></c><c r="N143" s="11"><f>IF(10=$B$49,-$K$51*$B$55,0)</f><v /></c><c r="O143" s="11"><f>M143/(L143-K143*O142)</f><v /></c><c r="P143" s="11"><f>(N143-K143*P142)/(L143-K143*O142)</f><v /></c><c r="Q143" s="15"><f>P143-O143*Q144</f><v /></c><c r="R143" s="11"><f>IF(10&gt;$B$49+$B$50,$G$52*$B$54^$H$52,$E$52*$B$52^$F$52)</f><v /></c><c r="S143" s="11"><f>IF(10=1,0,$B$57)</f><v /></c><c r="T143" s="11"><f>-($B$57+(IF(10&lt;=$B$49,$B$56*$B$58+$B$55,IF(10&lt;=$B$49+$B$50,$B$56*$B$58,$B$56)))/R143)</f><v /></c><c r="U143" s="11"><f>IF(10=$B$49+$B$50,0,IF(10&gt;$B$49+$B$50,$B$56/R144,IF(10&gt;=$B$49,$B$56*$B$58/R144,($B$56*$B$58+$B$55)/R144)))</f><v /></c><c r="V143" s="11"><f>IF(10=$B$49,-$K$52*$B$55,0)</f><v /></c><c r="W143" s="11"><f>U143/(T143-S143*W142)</f><v /></c><c r="X143" s="11"><f>(V143-S143*X142)/(T143-S143*W142)</f><v /></c><c r="Y143" s="15"><f>X143-W143*Y144</f><v /></c><c r="Z143" s="11"><f>IF(10&gt;$B$49+$B$50,$G$53*$B$54^$H$53,$E$53*$B$52^$F$53)</f><v /></c><c r="AA143" s="11"><f>IF(10=1,0,$B$57)</f><v /></c><c r="AB143" s="11"><f>-($B$57+(IF(10&lt;=$B$49,$B$56*$B$58+$B$55,IF(10&lt;=$B$49+$B$50,$B$56*$B$58,$B$56)))/Z143)</f><v /></c><c r="AC143" s="11"><f>IF(10=$B$49+$B$50,0,IF(10&gt;$B$49+$B$50,$B$56/Z144,IF(10&gt;=$B$49,$B$56*$B$58/Z144,($B$56*$B$58+$B$55)/Z144)))</f><v /></c><c r="AD143" s="11"><f>IF(10=$B$49,-$K$53*$B$55,0)</f><v /></c><c r="AE143" s="11"><f>AC143/(AB143-AA143*AE142)</f><v /></c><c r="AF143" s="11"><f>(AD143-AA143*AF142)/(AB143-AA143*AE142)</f><v /></c><c r="AG143" s="15"><f>AF143-AE143*AG144</f><v /></c><c r="AH143" s="11"><f>IF(10&gt;$B$49+$B$50,$G$54*$B$54^$H$54,$E$54*$B$52^$F$54)</f><v /></c><c r="AI143" s="11"><f>IF(10=1,0,$B$57)</f><v /></c><c r="AJ143" s="11"><f>-($B$57+(IF(10&lt;=$B$49,$B$56*$B$58+$B$55,IF(10&lt;=$B$49+$B$50,$B$56*$B$58,$B$56)))/AH143)</f><v /></c><c r="AK143" s="11"><f>IF(10=$B$49+$B$50,0,IF(10&gt;$B$49+$B$50,$B$56/AH144,IF(10&gt;=$B$49,$B$56*$B$58/AH144,($B$56*$B$58+$B$55)/AH144)))</f><v /></c><c r="AL143" s="11"><f>IF(10=$B$49,-$K$54*$B$55,0)</f><v /></c><c r="AM143" s="11"><f>AK143/(AJ143-AI143*AM142)</f><v /></c><c r="AN143" s="11"><f>(AL143-AI143*AN142)/(AJ143-AI143*AM142)</f><v /></c><c r="AO143" s="15"><f>AN143-AM143*AO144</f><v /></c><c r="AP143" s="11"><f>IF(10&gt;$B$49+$B$50,$G$55*$B$54^$H$55,$E$55*$B$52^$F$55)</f><v /></c><c r="AQ143" s="11"><f>IF(10=1,0,$B$57)</f><v /></c><c r="AR143" s="11"><f>-($B$57+(IF(10&lt;=$B$49,$B$56*$B$58+$B$55,IF(10&lt;=$B$49+$B$50,$B$56*$B$58,$B$56)))/AP143)</f><v /></c><c r="AS143" s="11"><f>IF(10=$B$49+$B$50,0,IF(10&gt;$B$49+$B$50,$B$56/AP144,IF(10&gt;=$B$49,$B$56*$B$58/AP144,($B$56*$B$58+$B$55)/AP144)))</f><v /></c><c r="AT143" s="11"><f>IF(10=$B$49,-$K$55*$B$55,0)</f><v /></c><c r="AU143" s="11"><f>AS143/(AR143-AQ143*AU142)</f><v /></c><c r="AV143" s="11"><f>(AT143-AQ143*AV142)/(AR143-AQ143*AU142)</f><v /></c><c r="AW143" s="15"><f>AV143-AU143*AW144</f><v /></c><c r="AX143" s="11"><f>IF(10&gt;$B$49+$B$50,$G$56*$B$54^$H$56,$E$56*$B$52^$F$56)</f><v /></c><c r="AY143" s="11"><f>IF(10=1,0,$B$57)</f><v /></c><c r="AZ143" s="11"><f>-($B$57+(IF(10&lt;=$B$49,$B$56*$B$58+$B$55,IF(10&lt;=$B$49+$B$50,$B$56*$B$58,$B$56)))/AX143)</f><v /></c><c r="BA143" s="11"><f>IF(10=$B$49+$B$50,0,IF(10&gt;$B$49+$B$50,$B$56/AX144,IF(10&gt;=$B$49,$B$56*$B$58/AX144,($B$56*$B$58+$B$55)/AX144)))</f><v /></c><c r="BB143" s="11"><f>IF(10=$B$49,-$K$56*$B$55,0)</f><v /></c><c r="BC143" s="11"><f>BA143/(AZ143-AY143*BC142)</f><v /></c><c r="BD143" s="11"><f>(BB143-AY143*BD142)/(AZ143-AY143*BC142)</f><v /></c><c r="BE143" s="15"><f>BD143-BC143*BE144</f><v /></c><c r="BF143" s="11"><f>IF(10&gt;$B$49+$B$50,$G$57*$B$54^$H$57,$E$57*$B$52^$F$57)</f><v /></c><c r="BG143" s="11"><f>IF(10=1,0,$B$57)</f><v /></c><c r="BH143" s="11"><f>-($B$57+(IF(10&lt;=$B$49,$B$56*$B$58+$B$55,IF(10&lt;=$B$49+$B$50,$B$56*$B$58,$B$56)))/BF143)</f><v /></c><c r="BI143" s="11"><f>IF(10=$B$49+$B$50,0,IF(10&gt;$B$49+$B$50,$B$56/BF144,IF(10&gt;=$B$49,$B$56*$B$58/BF144,($B$56*$B$58+$B$55)/BF144)))</f><v /></c><c r="BJ143" s="11"><f>IF(10=$B$49,-$K$57*$B$55,0)</f><v /></c><c r="BK143" s="11"><f>BI143/(BH143-BG143*BK142)</f><v /></c><c r="BL143" s="11"><f>(BJ143-BG143*BL142)/(BH143-BG143*BK142)</f><v /></c><c r="BM143" s="15"><f>BL143-BK143*BM144</f><v /></c><c r="BN143" s="11"><f>IF(10&gt;$B$49+$B$50,$G$58*$B$54^$H$58,$E$58*$B$52^$F$58)</f><v /></c><c r="BO143" s="11"><f>IF(10=1,0,$B$57)</f><v /></c><c r="BP143" s="11"><f>-($B$57+(IF(10&lt;=$B$49,$B$56*$B$58+$B$55,IF(10&lt;=$B$49+$B$50,$B$56*$B$58,$B$56)))/BN143)</f><v /></c><c r="BQ143" s="11"><f>IF(10=$B$49+$B$50,0,IF(10&gt;$B$49+$B$50,$B$56/BN144,IF(10&gt;=$B$49,$B$56*$B$58/BN144,($B$56*$B$58+$B$55)/BN144)))</f><v /></c><c r="BR143" s="11"><f>IF(10=$B$49,-$K$58*$B$55,0)</f><v /></c><c r="BS143" s="11"><f>BQ143/(BP143-BO143*BS142)</f><v /></c><c r="BT143" s="11"><f>(BR143-BO143*BT142)/(BP143-BO143*BS142)</f><v /></c><c r="BU143" s="15"><f>BT143-BS143*BU144</f><v /></c><c r="BV143" s="11"><f>IF(10&gt;$B$49+$B$50,$G$59*$B$54^$H$59,$E$59*$B$52^$F$59)</f><v /></c><c r="BW143" s="11"><f>IF(10=1,0,$B$57)</f><v /></c><c r="BX143" s="11"><f>-($B$57+(IF(10&lt;=$B$49,$B$56*$B$58+$B$55,IF(10&lt;=$B$49+$B$50,$B$56*$B$58,$B$56)))/BV143)</f><v /></c><c r="BY143" s="11"><f>IF(10=$B$49+$B$50,0,IF(10&gt;$B$49+$B$50,$B$56/BV144,IF(10&gt;=$B$49,$B$56*$B$58/BV144,($B$56*$B$58+$B$55)/BV144)))</f><v /></c><c r="BZ143" s="11"><f>IF(10=$B$49,-$K$59*$B$55,0)</f><v /></c><c r="CA143" s="11"><f>BY143/(BX143-BW143*CA142)</f><v /></c><c r="CB143" s="11"><f>(BZ143-BW143*CB142)/(BX143-BW143*CA142)</f><v /></c><c r="CC143" s="15"><f>CB143-CA143*CC144</f><v /></c><c r="CD143" s="11"><f>IF(10&gt;$B$49+$B$50,$G$60*$B$54^$H$60,$E$60*$B$52^$F$60)</f><v /></c><c r="CE143" s="11"><f>IF(10=1,0,$B$57)</f><v /></c><c r="CF143" s="11"><f>-($B$57+(IF(10&lt;=$B$49,$B$56*$B$58+$B$55,IF(10&lt;=$B$49+$B$50,$B$56*$B$58,$B$56)))/CD143)</f><v /></c><c r="CG143" s="11"><f>IF(10=$B$49+$B$50,0,IF(10&gt;$B$49+$B$50,$B$56/CD144,IF(10&gt;=$B$49,$B$56*$B$58/CD144,($B$56*$B$58+$B$55)/CD144)))</f><v /></c><c r="CH143" s="11"><f>IF(10=$B$49,-$K$60*$B$55,0)</f><v /></c><c r="CI143" s="11"><f>CG143/(CF143-CE143*CI142)</f><v /></c><c r="CJ143" s="11"><f>(CH143-CE143*CJ142)/(CF143-CE143*CI142)</f><v /></c><c r="CK143" s="15"><f>CJ143-CI143*CK144</f><v /></c><c r="CL143" s="11"><f>IF(10&gt;$B$49+$B$50,$G$61*$B$54^$H$61,$E$61*$B$52^$F$61)</f><v /></c><c r="CM143" s="11"><f>IF(10=1,0,$B$57)</f><v /></c><c r="CN143" s="11"><f>-($B$57+(IF(10&lt;=$B$49,$B$56*$B$58+$B$55,IF(10&lt;=$B$49+$B$50,$B$56*$B$58,$B$56)))/CL143)</f><v /></c><c r="CO143" s="11"><f>IF(10=$B$49+$B$50,0,IF(10&gt;$B$49+$B$50,$B$56/CL144,IF(10&gt;=$B$49,$B$56*$B$58/CL144,($B$56*$B$58+$B$55)/CL144)))</f><v /></c><c r="CP143" s="11"><f>IF(10=$B$49,-$K$61*$B$55,0)</f><v /></c><c r="CQ143" s="11"><f>CO143/(CN143-CM143*CQ142)</f><v /></c><c r="CR143" s="11"><f>(CP143-CM143*CR142)/(CN143-CM143*CQ142)</f><v /></c><c r="CS143" s="15"><f>CR143-CQ143*CS144</f><v /></c><c r="CT143" s="11"><f>IF(10&gt;$B$49+$B$50,$G$62*$B$54^$H$62,$E$62*$B$52^$F$62)</f><v /></c><c r="CU143" s="11"><f>IF(10=1,0,$B$57)</f><v /></c><c r="CV143" s="11"><f>-($B$57+(IF(10&lt;=$B$49,$B$56*$B$58+$B$55,IF(10&lt;=$B$49+$B$50,$B$56*$B$58,$B$56)))/CT143)</f><v /></c><c r="CW143" s="11"><f>IF(10=$B$49+$B$50,0,IF(10&gt;$B$49+$B$50,$B$56/CT144,IF(10&gt;=$B$49,$B$56*$B$58/CT144,($B$56*$B$58+$B$55)/CT144)))</f><v /></c><c r="CX143" s="11"><f>IF(10=$B$49,-$K$62*$B$55,0)</f><v /></c><c r="CY143" s="11"><f>CW143/(CV143-CU143*CY142)</f><v /></c><c r="CZ143" s="11"><f>(CX143-CU143*CZ142)/(CV143-CU143*CY142)</f><v /></c><c r="DA143" s="15"><f>CZ143-CY143*DA144</f><v /></c><c r="DB143" s="11"><f>IF(10&gt;$B$49+$B$50,$G$63*$B$54^$H$63,$E$63*$B$52^$F$63)</f><v /></c><c r="DC143" s="11"><f>IF(10=1,0,$B$57)</f><v /></c><c r="DD143" s="11"><f>-($B$57+(IF(10&lt;=$B$49,$B$56*$B$58+$B$55,IF(10&lt;=$B$49+$B$50,$B$56*$B$58,$B$56)))/DB143)</f><v /></c><c r="DE143" s="11"><f>IF(10=$B$49+$B$50,0,IF(10&gt;$B$49+$B$50,$B$56/DB144,IF(10&gt;=$B$49,$B$56*$B$58/DB144,($B$56*$B$58+$B$55)/DB144)))</f><v /></c><c r="DF143" s="11"><f>IF(10=$B$49,-$K$63*$B$55,0)</f><v /></c><c r="DG143" s="11"><f>DE143/(DD143-DC143*DG142)</f><v /></c><c r="DH143" s="11"><f>(DF143-DC143*DH142)/(DD143-DC143*DG142)</f><v /></c><c r="DI143" s="15"><f>DH143-DG143*DI144</f><v /></c><c r="DJ143" s="11"><f>IF(10&gt;$B$49+$B$50,$G$64*$B$54^$H$64,$E$64*$B$52^$F$64)</f><v /></c><c r="DK143" s="11"><f>IF(10=1,0,$B$57)</f><v /></c><c r="DL143" s="11"><f>-($B$57+(IF(10&lt;=$B$49,$B$56*$B$58+$B$55,IF(10&lt;=$B$49+$B$50,$B$56*$B$58,$B$56)))/DJ143)</f><v /></c><c r="DM143" s="11"><f>IF(10=$B$49+$B$50,0,IF(10&gt;$B$49+$B$50,$B$56/DJ144,IF(10&gt;=$B$49,$B$56*$B$58/DJ144,($B$56*$B$58+$B$55)/DJ144)))</f><v /></c><c r="DN143" s="11"><f>IF(10=$B$49,-$K$64*$B$55,0)</f><v /></c><c r="DO143" s="11"><f>DM143/(DL143-DK143*DO142)</f><v /></c><c r="DP143" s="11"><f>(DN143-DK143*DP142)/(DL143-DK143*DO142)</f><v /></c><c r="DQ143" s="15"><f>DP143-DO143*DQ144</f><v /></c><c r="DR143" s="11"><f>IF(10&gt;$B$49+$B$50,$G$65*$B$54^$H$65,$E$65*$B$52^$F$65)</f><v /></c><c r="DS143" s="11"><f>IF(10=1,0,$B$57)</f><v /></c><c r="DT143" s="11"><f>-($B$57+(IF(10&lt;=$B$49,$B$56*$B$58+$B$55,IF(10&lt;=$B$49+$B$50,$B$56*$B$58,$B$56)))/DR143)</f><v /></c><c r="DU143" s="11"><f>IF(10=$B$49+$B$50,0,IF(10&gt;$B$49+$B$50,$B$56/DR144,IF(10&gt;=$B$49,$B$56*$B$58/DR144,($B$56*$B$58+$B$55)/DR144)))</f><v /></c><c r="DV143" s="11"><f>IF(10=$B$49,-$K$65*$B$55,0)</f><v /></c><c r="DW143" s="11"><f>DU143/(DT143-DS143*DW142)</f><v /></c><c r="DX143" s="11"><f>(DV143-DS143*DX142)/(DT143-DS143*DW142)</f><v /></c><c r="DY143" s="15"><f>DX143-DW143*DY144</f><v /></c><c r="DZ143" s="11"><f>IF(10&gt;$B$49+$B$50,$G$66*$B$54^$H$66,$E$66*$B$52^$F$66)</f><v /></c><c r="EA143" s="11"><f>IF(10=1,0,$B$57)</f><v /></c><c r="EB143" s="11"><f>-($B$57+(IF(10&lt;=$B$49,$B$56*$B$58+$B$55,IF(10&lt;=$B$49+$B$50,$B$56*$B$58,$B$56)))/DZ143)</f><v /></c><c r="EC143" s="11"><f>IF(10=$B$49+$B$50,0,IF(10&gt;$B$49+$B$50,$B$56/DZ144,IF(10&gt;=$B$49,$B$56*$B$58/DZ144,($B$56*$B$58+$B$55)/DZ144)))</f><v /></c><c r="ED143" s="11"><f>IF(10=$B$49,-$K$66*$B$55,0)</f><v /></c><c r="EE143" s="11"><f>EC143/(EB143-EA143*EE142)</f><v /></c><c r="EF143" s="11"><f>(ED143-EA143*EF142)/(EB143-EA143*EE142)</f><v /></c><c r="EG143" s="15"><f>EF143-EE143*EG144</f><v /></c><c r="EH143" s="11"><f>IF(10&gt;$B$49+$B$50,$G$67*$B$54^$H$67,$E$67*$B$52^$F$67)</f><v /></c><c r="EI143" s="11"><f>IF(10=1,0,$B$57)</f><v /></c><c r="EJ143" s="11"><f>-($B$57+(IF(10&lt;=$B$49,$B$56*$B$58+$B$55,IF(10&lt;=$B$49+$B$50,$B$56*$B$58,$B$56)))/EH143)</f><v /></c><c r="EK143" s="11"><f>IF(10=$B$49+$B$50,0,IF(10&gt;$B$49+$B$50,$B$56/EH144,IF(10&gt;=$B$49,$B$56*$B$58/EH144,($B$56*$B$58+$B$55)/EH144)))</f><v /></c><c r="EL143" s="11"><f>IF(10=$B$49,-$K$67*$B$55,0)</f><v /></c><c r="EM143" s="11"><f>EK143/(EJ143-EI143*EM142)</f><v /></c><c r="EN143" s="11"><f>(EL143-EI143*EN142)/(EJ143-EI143*EM142)</f><v /></c><c r="EO143" s="15"><f>EN143-EM143*EO144</f><v /></c><c r="EP143" s="11"><f>IF(10&gt;$B$49+$B$50,$G$68*$B$54^$H$68,$E$68*$B$52^$F$68)</f><v /></c><c r="EQ143" s="11"><f>IF(10=1,0,$B$57)</f><v /></c><c r="ER143" s="11"><f>-($B$57+(IF(10&lt;=$B$49,$B$56*$B$58+$B$55,IF(10&lt;=$B$49+$B$50,$B$56*$B$58,$B$56)))/EP143)</f><v /></c><c r="ES143" s="11"><f>IF(10=$B$49+$B$50,0,IF(10&gt;$B$49+$B$50,$B$56/EP144,IF(10&gt;=$B$49,$B$56*$B$58/EP144,($B$56*$B$58+$B$55)/EP144)))</f><v /></c><c r="ET143" s="11"><f>IF(10=$B$49,-$K$68*$B$55,0)</f><v /></c><c r="EU143" s="11"><f>ES143/(ER143-EQ143*EU142)</f><v /></c><c r="EV143" s="11"><f>(ET143-EQ143*EV142)/(ER143-EQ143*EU142)</f><v /></c><c r="EW143" s="15"><f>EV143-EU143*EW144</f><v /></c><c r="EX143" s="11"><f>IF(10&gt;$B$49+$B$50,$G$69*$B$54^$H$69,$E$69*$B$52^$F$69)</f><v /></c><c r="EY143" s="11"><f>IF(10=1,0,$B$57)</f><v /></c><c r="EZ143" s="11"><f>-($B$57+(IF(10&lt;=$B$49,$B$56*$B$58+$B$55,IF(10&lt;=$B$49+$B$50,$B$56*$B$58,$B$56)))/EX143)</f><v /></c><c r="FA143" s="11"><f>IF(10=$B$49+$B$50,0,IF(10&gt;$B$49+$B$50,$B$56/EX144,IF(10&gt;=$B$49,$B$56*$B$58/EX144,($B$56*$B$58+$B$55)/EX144)))</f><v /></c><c r="FB143" s="11"><f>IF(10=$B$49,-$K$69*$B$55,0)</f><v /></c><c r="FC143" s="11"><f>FA143/(EZ143-EY143*FC142)</f><v /></c><c r="FD143" s="11"><f>(FB143-EY143*FD142)/(EZ143-EY143*FC142)</f><v /></c><c r="FE143" s="15"><f>FD143-FC143*FE144</f><v /></c><c r="FF143" s="11"><f>IF(10&gt;$B$49+$B$50,$G$70*$B$54^$H$70,$E$70*$B$52^$F$70)</f><v /></c><c r="FG143" s="11"><f>IF(10=1,0,$B$57)</f><v /></c><c r="FH143" s="11"><f>-($B$57+(IF(10&lt;=$B$49,$B$56*$B$58+$B$55,IF(10&lt;=$B$49+$B$50,$B$56*$B$58,$B$56)))/FF143)</f><v /></c><c r="FI143" s="11"><f>IF(10=$B$49+$B$50,0,IF(10&gt;$B$49+$B$50,$B$56/FF144,IF(10&gt;=$B$49,$B$56*$B$58/FF144,($B$56*$B$58+$B$55)/FF144)))</f><v /></c><c r="FJ143" s="11"><f>IF(10=$B$49,-$K$70*$B$55,0)</f><v /></c><c r="FK143" s="11"><f>FI143/(FH143-FG143*FK142)</f><v /></c><c r="FL143" s="11"><f>(FJ143-FG143*FL142)/(FH143-FG143*FK142)</f><v /></c><c r="FM143" s="15"><f>FL143-FK143*FM144</f><v /></c><c r="FN143" s="11"><f>IF(10&gt;$B$49+$B$50,$G$71*$B$54^$H$71,$E$71*$B$52^$F$71)</f><v /></c><c r="FO143" s="11"><f>IF(10=1,0,$B$57)</f><v /></c><c r="FP143" s="11"><f>-($B$57+(IF(10&lt;=$B$49,$B$56*$B$58+$B$55,IF(10&lt;=$B$49+$B$50,$B$56*$B$58,$B$56)))/FN143)</f><v /></c><c r="FQ143" s="11"><f>IF(10=$B$49+$B$50,0,IF(10&gt;$B$49+$B$50,$B$56/FN144,IF(10&gt;=$B$49,$B$56*$B$58/FN144,($B$56*$B$58+$B$55)/FN144)))</f><v /></c><c r="FR143" s="11"><f>IF(10=$B$49,-$K$71*$B$55,0)</f><v /></c><c r="FS143" s="11"><f>FQ143/(FP143-FO143*FS142)</f><v /></c><c r="FT143" s="11"><f>(FR143-FO143*FT142)/(FP143-FO143*FS142)</f><v /></c><c r="FU143" s="15"><f>FT143-FS143*FU144</f><v /></c><c r="FV143" s="11"><f>IF(10&gt;$B$49+$B$50,$G$72*$B$54^$H$72,$E$72*$B$52^$F$72)</f><v /></c><c r="FW143" s="11"><f>IF(10=1,0,$B$57)</f><v /></c><c r="FX143" s="11"><f>-($B$57+(IF(10&lt;=$B$49,$B$56*$B$58+$B$55,IF(10&lt;=$B$49+$B$50,$B$56*$B$58,$B$56)))/FV143)</f><v /></c><c r="FY143" s="11"><f>IF(10=$B$49+$B$50,0,IF(10&gt;$B$49+$B$50,$B$56/FV144,IF(10&gt;=$B$49,$B$56*$B$58/FV144,($B$56*$B$58+$B$55)/FV144)))</f><v /></c><c r="FZ143" s="11"><f>IF(10=$B$49,-$K$72*$B$55,0)</f><v /></c><c r="GA143" s="11"><f>FY143/(FX143-FW143*GA142)</f><v /></c><c r="GB143" s="11"><f>(FZ143-FW143*GB142)/(FX143-FW143*GA142)</f><v /></c><c r="GC143" s="15"><f>GB143-GA143*GC144</f><v /></c><c r="GD143" s="11"><f>IF(10&gt;$B$49+$B$50,$G$73*$B$54^$H$73,$E$73*$B$52^$F$73)</f><v /></c><c r="GE143" s="11"><f>IF(10=1,0,$B$57)</f><v /></c><c r="GF143" s="11"><f>-($B$57+(IF(10&lt;=$B$49,$B$56*$B$58+$B$55,IF(10&lt;=$B$49+$B$50,$B$56*$B$58,$B$56)))/GD143)</f><v /></c><c r="GG143" s="11"><f>IF(10=$B$49+$B$50,0,IF(10&gt;$B$49+$B$50,$B$56/GD144,IF(10&gt;=$B$49,$B$56*$B$58/GD144,($B$56*$B$58+$B$55)/GD144)))</f><v /></c><c r="GH143" s="11"><f>IF(10=$B$49,-$K$73*$B$55,0)</f><v /></c><c r="GI143" s="11"><f>GG143/(GF143-GE143*GI142)</f><v /></c><c r="GJ143" s="11"><f>(GH143-GE143*GJ142)/(GF143-GE143*GI142)</f><v /></c><c r="GK143" s="15"><f>GJ143-GI143*GK144</f><v /></c><c r="GL143" s="11"><f>IF(10&gt;$B$49+$B$50,$G$74*$B$54^$H$74,$E$74*$B$52^$F$74)</f><v /></c><c r="GM143" s="11"><f>IF(10=1,0,$B$57)</f><v /></c><c r="GN143" s="11"><f>-($B$57+(IF(10&lt;=$B$49,$B$56*$B$58+$B$55,IF(10&lt;=$B$49+$B$50,$B$56*$B$58,$B$56)))/GL143)</f><v /></c><c r="GO143" s="11"><f>IF(10=$B$49+$B$50,0,IF(10&gt;$B$49+$B$50,$B$56/GL144,IF(10&gt;=$B$49,$B$56*$B$58/GL144,($B$56*$B$58+$B$55)/GL144)))</f><v /></c><c r="GP143" s="11"><f>IF(10=$B$49,-$K$74*$B$55,0)</f><v /></c><c r="GQ143" s="11"><f>GO143/(GN143-GM143*GQ142)</f><v /></c><c r="GR143" s="11"><f>(GP143-GM143*GR142)/(GN143-GM143*GQ142)</f><v /></c><c r="GS143" s="15"><f>GR143-GQ143*GS144</f><v /></c><c r="GT143" s="11"><f>IF(10&gt;$B$49+$B$50,$G$75*$B$54^$H$75,$E$75*$B$52^$F$75)</f><v /></c><c r="GU143" s="11"><f>IF(10=1,0,$B$57)</f><v /></c><c r="GV143" s="11"><f>-($B$57+(IF(10&lt;=$B$49,$B$56*$B$58+$B$55,IF(10&lt;=$B$49+$B$50,$B$56*$B$58,$B$56)))/GT143)</f><v /></c><c r="GW143" s="11"><f>IF(10=$B$49+$B$50,0,IF(10&gt;$B$49+$B$50,$B$56/GT144,IF(10&gt;=$B$49,$B$56*$B$58/GT144,($B$56*$B$58+$B$55)/GT144)))</f><v /></c><c r="GX143" s="11"><f>IF(10=$B$49,-$K$75*$B$55,0)</f><v /></c><c r="GY143" s="11"><f>GW143/(GV143-GU143*GY142)</f><v /></c><c r="GZ143" s="11"><f>(GX143-GU143*GZ142)/(GV143-GU143*GY142)</f><v /></c><c r="HA143" s="15"><f>GZ143-GY143*HA144</f><v /></c><c r="HB143" s="13"><f>IFERROR(I143/B143,0)</f><v /></c><c r="HC143" s="13"><f>IFERROR(Q143/J143,0)</f><v /></c><c r="HD143" s="13"><f>IFERROR(Y143/R143,0)</f><v /></c><c r="HE143" s="13"><f>IFERROR(AG143/Z143,0)</f><v /></c><c r="HF143" s="13"><f>IFERROR(AO143/AH143,0)</f><v /></c><c r="HG143" s="13"><f>IFERROR(AW143/AP143,0)</f><v /></c><c r="HH143" s="13"><f>IFERROR(BE143/AX143,0)</f><v /></c><c r="HI143" s="13"><f>IFERROR(BM143/BF143,0)</f><v /></c><c r="HJ143" s="13"><f>IFERROR(BU143/BN143,0)</f><v /></c><c r="HK143" s="13"><f>IFERROR(CC143/BV143,0)</f><v /></c><c r="HL143" s="13"><f>IFERROR(CK143/CD143,0)</f><v /></c><c r="HM143" s="13"><f>IFERROR(CS143/CL143,0)</f><v /></c><c r="HN143" s="13"><f>IFERROR(DA143/CT143,0)</f><v /></c><c r="HO143" s="13"><f>IFERROR(DI143/DB143,0)</f><v /></c><c r="HP143" s="13"><f>IFERROR(DQ143/DJ143,0)</f><v /></c><c r="HQ143" s="13"><f>IFERROR(DY143/DR143,0)</f><v /></c><c r="HR143" s="13"><f>IFERROR(EG143/DZ143,0)</f><v /></c><c r="HS143" s="13"><f>IFERROR(EO143/EH143,0)</f><v /></c><c r="HT143" s="13"><f>IFERROR(EW143/EP143,0)</f><v /></c><c r="HU143" s="13"><f>IFERROR(FE143/EX143,0)</f><v /></c><c r="HV143" s="13"><f>IFERROR(FM143/FF143,0)</f><v /></c><c r="HW143" s="13"><f>IFERROR(FU143/FN143,0)</f><v /></c><c r="HX143" s="13"><f>IFERROR(GC143/FV143,0)</f><v /></c><c r="HY143" s="13"><f>IFERROR(GK143/GD143,0)</f><v /></c><c r="HZ143" s="13"><f>IFERROR(GS143/GL143,0)</f><v /></c><c r="IA143" s="13"><f>IFERROR(HA143/GT143,0)</f><v /></c><c r="IB143" s="13"><f>I143+Q143+Y143+AG143+AO143+AW143+BE143+BM143+BU143+CC143+CK143+CS143+DA143+DI143+DQ143+DY143+EG143+EO143+EW143+FE143+FM143+FU143+GC143+GK143+GS143+HA143</f><v /></c><c r="IC143" s="13"><f>HB143+HC143+HD143+HE143+HF143+HG143+HH143+HI143+HJ143+HK143+HL143+HM143+HN143+HO143+HP143+HQ143+HR143+HS143+HT143+HU143+HV143+HW143+HX143+HY143+HZ143+IA143</f><v /></c></row><row r="144" ht="14" customHeight="1"><c r="A144" s="25" t="n"><v>11</v></c><c r="B144" s="11"><f>IF(11&gt;$B$49+$B$50,$G$50*$B$54^$H$50,$E$50*$B$52^$F$50)</f><v /></c><c r="C144" s="11"><f>IF(11=1,0,$B$57)</f><v /></c><c r="D144" s="11"><f>-($B$57+(IF(11&lt;=$B$49,$B$56*$B$58+$B$55,IF(11&lt;=$B$49+$B$50,$B$56*$B$58,$B$56)))/B144)</f><v /></c><c r="E144" s="11"><f>IF(11=$B$49+$B$50,0,IF(11&gt;$B$49+$B$50,$B$56/B145,IF(11&gt;=$B$49,$B$56*$B$58/B145,($B$56*$B$58+$B$55)/B145)))</f><v /></c><c r="F144" s="11"><f>IF(11=$B$49,-$K$50*$B$55,0)</f><v /></c><c r="G144" s="11"><f>E144/(D144-C144*G143)</f><v /></c><c r="H144" s="11"><f>(F144-C144*H143)/(D144-C144*G143)</f><v /></c><c r="I144" s="15"><f>H144-G144*I145</f><v /></c><c r="J144" s="11"><f>IF(11&gt;$B$49+$B$50,$G$51*$B$54^$H$51,$E$51*$B$52^$F$51)</f><v /></c><c r="K144" s="11"><f>IF(11=1,0,$B$57)</f><v /></c><c r="L144" s="11"><f>-($B$57+(IF(11&lt;=$B$49,$B$56*$B$58+$B$55,IF(11&lt;=$B$49+$B$50,$B$56*$B$58,$B$56)))/J144)</f><v /></c><c r="M144" s="11"><f>IF(11=$B$49+$B$50,0,IF(11&gt;$B$49+$B$50,$B$56/J145,IF(11&gt;=$B$49,$B$56*$B$58/J145,($B$56*$B$58+$B$55)/J145)))</f><v /></c><c r="N144" s="11"><f>IF(11=$B$49,-$K$51*$B$55,0)</f><v /></c><c r="O144" s="11"><f>M144/(L144-K144*O143)</f><v /></c><c r="P144" s="11"><f>(N144-K144*P143)/(L144-K144*O143)</f><v /></c><c r="Q144" s="15"><f>P144-O144*Q145</f><v /></c><c r="R144" s="11"><f>IF(11&gt;$B$49+$B$50,$G$52*$B$54^$H$52,$E$52*$B$52^$F$52)</f><v /></c><c r="S144" s="11"><f>IF(11=1,0,$B$57)</f><v /></c><c r="T144" s="11"><f>-($B$57+(IF(11&lt;=$B$49,$B$56*$B$58+$B$55,IF(11&lt;=$B$49+$B$50,$B$56*$B$58,$B$56)))/R144)</f><v /></c><c r="U144" s="11"><f>IF(11=$B$49+$B$50,0,IF(11&gt;$B$49+$B$50,$B$56/R145,IF(11&gt;=$B$49,$B$56*$B$58/R145,($B$56*$B$58+$B$55)/R145)))</f><v /></c><c r="V144" s="11"><f>IF(11=$B$49,-$K$52*$B$55,0)</f><v /></c><c r="W144" s="11"><f>U144/(T144-S144*W143)</f><v /></c><c r="X144" s="11"><f>(V144-S144*X143)/(T144-S144*W143)</f><v /></c><c r="Y144" s="15"><f>X144-W144*Y145</f><v /></c><c r="Z144" s="11"><f>IF(11&gt;$B$49+$B$50,$G$53*$B$54^$H$53,$E$53*$B$52^$F$53)</f><v /></c><c r="AA144" s="11"><f>IF(11=1,0,$B$57)</f><v /></c><c r="AB144" s="11"><f>-($B$57+(IF(11&lt;=$B$49,$B$56*$B$58+$B$55,IF(11&lt;=$B$49+$B$50,$B$56*$B$58,$B$56)))/Z144)</f><v /></c><c r="AC144" s="11"><f>IF(11=$B$49+$B$50,0,IF(11&gt;$B$49+$B$50,$B$56/Z145,IF(11&gt;=$B$49,$B$56*$B$58/Z145,($B$56*$B$58+$B$55)/Z145)))</f><v /></c><c r="AD144" s="11"><f>IF(11=$B$49,-$K$53*$B$55,0)</f><v /></c><c r="AE144" s="11"><f>AC144/(AB144-AA144*AE143)</f><v /></c><c r="AF144" s="11"><f>(AD144-AA144*AF143)/(AB144-AA144*AE143)</f><v /></c><c r="AG144" s="15"><f>AF144-AE144*AG145</f><v /></c><c r="AH144" s="11"><f>IF(11&gt;$B$49+$B$50,$G$54*$B$54^$H$54,$E$54*$B$52^$F$54)</f><v /></c><c r="AI144" s="11"><f>IF(11=1,0,$B$57)</f><v /></c><c r="AJ144" s="11"><f>-($B$57+(IF(11&lt;=$B$49,$B$56*$B$58+$B$55,IF(11&lt;=$B$49+$B$50,$B$56*$B$58,$B$56)))/AH144)</f><v /></c><c r="AK144" s="11"><f>IF(11=$B$49+$B$50,0,IF(11&gt;$B$49+$B$50,$B$56/AH145,IF(11&gt;=$B$49,$B$56*$B$58/AH145,($B$56*$B$58+$B$55)/AH145)))</f><v /></c><c r="AL144" s="11"><f>IF(11=$B$49,-$K$54*$B$55,0)</f><v /></c><c r="AM144" s="11"><f>AK144/(AJ144-AI144*AM143)</f><v /></c><c r="AN144" s="11"><f>(AL144-AI144*AN143)/(AJ144-AI144*AM143)</f><v /></c><c r="AO144" s="15"><f>AN144-AM144*AO145</f><v /></c><c r="AP144" s="11"><f>IF(11&gt;$B$49+$B$50,$G$55*$B$54^$H$55,$E$55*$B$52^$F$55)</f><v /></c><c r="AQ144" s="11"><f>IF(11=1,0,$B$57)</f><v /></c><c r="AR144" s="11"><f>-($B$57+(IF(11&lt;=$B$49,$B$56*$B$58+$B$55,IF(11&lt;=$B$49+$B$50,$B$56*$B$58,$B$56)))/AP144)</f><v /></c><c r="AS144" s="11"><f>IF(11=$B$49+$B$50,0,IF(11&gt;$B$49+$B$50,$B$56/AP145,IF(11&gt;=$B$49,$B$56*$B$58/AP145,($B$56*$B$58+$B$55)/AP145)))</f><v /></c><c r="AT144" s="11"><f>IF(11=$B$49,-$K$55*$B$55,0)</f><v /></c><c r="AU144" s="11"><f>AS144/(AR144-AQ144*AU143)</f><v /></c><c r="AV144" s="11"><f>(AT144-AQ144*AV143)/(AR144-AQ144*AU143)</f><v /></c><c r="AW144" s="15"><f>AV144-AU144*AW145</f><v /></c><c r="AX144" s="11"><f>IF(11&gt;$B$49+$B$50,$G$56*$B$54^$H$56,$E$56*$B$52^$F$56)</f><v /></c><c r="AY144" s="11"><f>IF(11=1,0,$B$57)</f><v /></c><c r="AZ144" s="11"><f>-($B$57+(IF(11&lt;=$B$49,$B$56*$B$58+$B$55,IF(11&lt;=$B$49+$B$50,$B$56*$B$58,$B$56)))/AX144)</f><v /></c><c r="BA144" s="11"><f>IF(11=$B$49+$B$50,0,IF(11&gt;$B$49+$B$50,$B$56/AX145,IF(11&gt;=$B$49,$B$56*$B$58/AX145,($B$56*$B$58+$B$55)/AX145)))</f><v /></c><c r="BB144" s="11"><f>IF(11=$B$49,-$K$56*$B$55,0)</f><v /></c><c r="BC144" s="11"><f>BA144/(AZ144-AY144*BC143)</f><v /></c><c r="BD144" s="11"><f>(BB144-AY144*BD143)/(AZ144-AY144*BC143)</f><v /></c><c r="BE144" s="15"><f>BD144-BC144*BE145</f><v /></c><c r="BF144" s="11"><f>IF(11&gt;$B$49+$B$50,$G$57*$B$54^$H$57,$E$57*$B$52^$F$57)</f><v /></c><c r="BG144" s="11"><f>IF(11=1,0,$B$57)</f><v /></c><c r="BH144" s="11"><f>-($B$57+(IF(11&lt;=$B$49,$B$56*$B$58+$B$55,IF(11&lt;=$B$49+$B$50,$B$56*$B$58,$B$56)))/BF144)</f><v /></c><c r="BI144" s="11"><f>IF(11=$B$49+$B$50,0,IF(11&gt;$B$49+$B$50,$B$56/BF145,IF(11&gt;=$B$49,$B$56*$B$58/BF145,($B$56*$B$58+$B$55)/BF145)))</f><v /></c><c r="BJ144" s="11"><f>IF(11=$B$49,-$K$57*$B$55,0)</f><v /></c><c r="BK144" s="11"><f>BI144/(BH144-BG144*BK143)</f><v /></c><c r="BL144" s="11"><f>(BJ144-BG144*BL143)/(BH144-BG144*BK143)</f><v /></c><c r="BM144" s="15"><f>BL144-BK144*BM145</f><v /></c><c r="BN144" s="11"><f>IF(11&gt;$B$49+$B$50,$G$58*$B$54^$H$58,$E$58*$B$52^$F$58)</f><v /></c><c r="BO144" s="11"><f>IF(11=1,0,$B$57)</f><v /></c><c r="BP144" s="11"><f>-($B$57+(IF(11&lt;=$B$49,$B$56*$B$58+$B$55,IF(11&lt;=$B$49+$B$50,$B$56*$B$58,$B$56)))/BN144)</f><v /></c><c r="BQ144" s="11"><f>IF(11=$B$49+$B$50,0,IF(11&gt;$B$49+$B$50,$B$56/BN145,IF(11&gt;=$B$49,$B$56*$B$58/BN145,($B$56*$B$58+$B$55)/BN145)))</f><v /></c><c r="BR144" s="11"><f>IF(11=$B$49,-$K$58*$B$55,0)</f><v /></c><c r="BS144" s="11"><f>BQ144/(BP144-BO144*BS143)</f><v /></c><c r="BT144" s="11"><f>(BR144-BO144*BT143)/(BP144-BO144*BS143)</f><v /></c><c r="BU144" s="15"><f>BT144-BS144*BU145</f><v /></c><c r="BV144" s="11"><f>IF(11&gt;$B$49+$B$50,$G$59*$B$54^$H$59,$E$59*$B$52^$F$59)</f><v /></c><c r="BW144" s="11"><f>IF(11=1,0,$B$57)</f><v /></c><c r="BX144" s="11"><f>-($B$57+(IF(11&lt;=$B$49,$B$56*$B$58+$B$55,IF(11&lt;=$B$49+$B$50,$B$56*$B$58,$B$56)))/BV144)</f><v /></c><c r="BY144" s="11"><f>IF(11=$B$49+$B$50,0,IF(11&gt;$B$49+$B$50,$B$56/BV145,IF(11&gt;=$B$49,$B$56*$B$58/BV145,($B$56*$B$58+$B$55)/BV145)))</f><v /></c><c r="BZ144" s="11"><f>IF(11=$B$49,-$K$59*$B$55,0)</f><v /></c><c r="CA144" s="11"><f>BY144/(BX144-BW144*CA143)</f><v /></c><c r="CB144" s="11"><f>(BZ144-BW144*CB143)/(BX144-BW144*CA143)</f><v /></c><c r="CC144" s="15"><f>CB144-CA144*CC145</f><v /></c><c r="CD144" s="11"><f>IF(11&gt;$B$49+$B$50,$G$60*$B$54^$H$60,$E$60*$B$52^$F$60)</f><v /></c><c r="CE144" s="11"><f>IF(11=1,0,$B$57)</f><v /></c><c r="CF144" s="11"><f>-($B$57+(IF(11&lt;=$B$49,$B$56*$B$58+$B$55,IF(11&lt;=$B$49+$B$50,$B$56*$B$58,$B$56)))/CD144)</f><v /></c><c r="CG144" s="11"><f>IF(11=$B$49+$B$50,0,IF(11&gt;$B$49+$B$50,$B$56/CD145,IF(11&gt;=$B$49,$B$56*$B$58/CD145,($B$56*$B$58+$B$55)/CD145)))</f><v /></c><c r="CH144" s="11"><f>IF(11=$B$49,-$K$60*$B$55,0)</f><v /></c><c r="CI144" s="11"><f>CG144/(CF144-CE144*CI143)</f><v /></c><c r="CJ144" s="11"><f>(CH144-CE144*CJ143)/(CF144-CE144*CI143)</f><v /></c><c r="CK144" s="15"><f>CJ144-CI144*CK145</f><v /></c><c r="CL144" s="11"><f>IF(11&gt;$B$49+$B$50,$G$61*$B$54^$H$61,$E$61*$B$52^$F$61)</f><v /></c><c r="CM144" s="11"><f>IF(11=1,0,$B$57)</f><v /></c><c r="CN144" s="11"><f>-($B$57+(IF(11&lt;=$B$49,$B$56*$B$58+$B$55,IF(11&lt;=$B$49+$B$50,$B$56*$B$58,$B$56)))/CL144)</f><v /></c><c r="CO144" s="11"><f>IF(11=$B$49+$B$50,0,IF(11&gt;$B$49+$B$50,$B$56/CL145,IF(11&gt;=$B$49,$B$56*$B$58/CL145,($B$56*$B$58+$B$55)/CL145)))</f><v /></c><c r="CP144" s="11"><f>IF(11=$B$49,-$K$61*$B$55,0)</f><v /></c><c r="CQ144" s="11"><f>CO144/(CN144-CM144*CQ143)</f><v /></c><c r="CR144" s="11"><f>(CP144-CM144*CR143)/(CN144-CM144*CQ143)</f><v /></c><c r="CS144" s="15"><f>CR144-CQ144*CS145</f><v /></c><c r="CT144" s="11"><f>IF(11&gt;$B$49+$B$50,$G$62*$B$54^$H$62,$E$62*$B$52^$F$62)</f><v /></c><c r="CU144" s="11"><f>IF(11=1,0,$B$57)</f><v /></c><c r="CV144" s="11"><f>-($B$57+(IF(11&lt;=$B$49,$B$56*$B$58+$B$55,IF(11&lt;=$B$49+$B$50,$B$56*$B$58,$B$56)))/CT144)</f><v /></c><c r="CW144" s="11"><f>IF(11=$B$49+$B$50,0,IF(11&gt;$B$49+$B$50,$B$56/CT145,IF(11&gt;=$B$49,$B$56*$B$58/CT145,($B$56*$B$58+$B$55)/CT145)))</f><v /></c><c r="CX144" s="11"><f>IF(11=$B$49,-$K$62*$B$55,0)</f><v /></c><c r="CY144" s="11"><f>CW144/(CV144-CU144*CY143)</f><v /></c><c r="CZ144" s="11"><f>(CX144-CU144*CZ143)/(CV144-CU144*CY143)</f><v /></c><c r="DA144" s="15"><f>CZ144-CY144*DA145</f><v /></c><c r="DB144" s="11"><f>IF(11&gt;$B$49+$B$50,$G$63*$B$54^$H$63,$E$63*$B$52^$F$63)</f><v /></c><c r="DC144" s="11"><f>IF(11=1,0,$B$57)</f><v /></c><c r="DD144" s="11"><f>-($B$57+(IF(11&lt;=$B$49,$B$56*$B$58+$B$55,IF(11&lt;=$B$49+$B$50,$B$56*$B$58,$B$56)))/DB144)</f><v /></c><c r="DE144" s="11"><f>IF(11=$B$49+$B$50,0,IF(11&gt;$B$49+$B$50,$B$56/DB145,IF(11&gt;=$B$49,$B$56*$B$58/DB145,($B$56*$B$58+$B$55)/DB145)))</f><v /></c><c r="DF144" s="11"><f>IF(11=$B$49,-$K$63*$B$55,0)</f><v /></c><c r="DG144" s="11"><f>DE144/(DD144-DC144*DG143)</f><v /></c><c r="DH144" s="11"><f>(DF144-DC144*DH143)/(DD144-DC144*DG143)</f><v /></c><c r="DI144" s="15"><f>DH144-DG144*DI145</f><v /></c><c r="DJ144" s="11"><f>IF(11&gt;$B$49+$B$50,$G$64*$B$54^$H$64,$E$64*$B$52^$F$64)</f><v /></c><c r="DK144" s="11"><f>IF(11=1,0,$B$57)</f><v /></c><c r="DL144" s="11"><f>-($B$57+(IF(11&lt;=$B$49,$B$56*$B$58+$B$55,IF(11&lt;=$B$49+$B$50,$B$56*$B$58,$B$56)))/DJ144)</f><v /></c><c r="DM144" s="11"><f>IF(11=$B$49+$B$50,0,IF(11&gt;$B$49+$B$50,$B$56/DJ145,IF(11&gt;=$B$49,$B$56*$B$58/DJ145,($B$56*$B$58+$B$55)/DJ145)))</f><v /></c><c r="DN144" s="11"><f>IF(11=$B$49,-$K$64*$B$55,0)</f><v /></c><c r="DO144" s="11"><f>DM144/(DL144-DK144*DO143)</f><v /></c><c r="DP144" s="11"><f>(DN144-DK144*DP143)/(DL144-DK144*DO143)</f><v /></c><c r="DQ144" s="15"><f>DP144-DO144*DQ145</f><v /></c><c r="DR144" s="11"><f>IF(11&gt;$B$49+$B$50,$G$65*$B$54^$H$65,$E$65*$B$52^$F$65)</f><v /></c><c r="DS144" s="11"><f>IF(11=1,0,$B$57)</f><v /></c><c r="DT144" s="11"><f>-($B$57+(IF(11&lt;=$B$49,$B$56*$B$58+$B$55,IF(11&lt;=$B$49+$B$50,$B$56*$B$58,$B$56)))/DR144)</f><v /></c><c r="DU144" s="11"><f>IF(11=$B$49+$B$50,0,IF(11&gt;$B$49+$B$50,$B$56/DR145,IF(11&gt;=$B$49,$B$56*$B$58/DR145,($B$56*$B$58+$B$55)/DR145)))</f><v /></c><c r="DV144" s="11"><f>IF(11=$B$49,-$K$65*$B$55,0)</f><v /></c><c r="DW144" s="11"><f>DU144/(DT144-DS144*DW143)</f><v /></c><c r="DX144" s="11"><f>(DV144-DS144*DX143)/(DT144-DS144*DW143)</f><v /></c><c r="DY144" s="15"><f>DX144-DW144*DY145</f><v /></c><c r="DZ144" s="11"><f>IF(11&gt;$B$49+$B$50,$G$66*$B$54^$H$66,$E$66*$B$52^$F$66)</f><v /></c><c r="EA144" s="11"><f>IF(11=1,0,$B$57)</f><v /></c><c r="EB144" s="11"><f>-($B$57+(IF(11&lt;=$B$49,$B$56*$B$58+$B$55,IF(11&lt;=$B$49+$B$50,$B$56*$B$58,$B$56)))/DZ144)</f><v /></c><c r="EC144" s="11"><f>IF(11=$B$49+$B$50,0,IF(11&gt;$B$49+$B$50,$B$56/DZ145,IF(11&gt;=$B$49,$B$56*$B$58/DZ145,($B$56*$B$58+$B$55)/DZ145)))</f><v /></c><c r="ED144" s="11"><f>IF(11=$B$49,-$K$66*$B$55,0)</f><v /></c><c r="EE144" s="11"><f>EC144/(EB144-EA144*EE143)</f><v /></c><c r="EF144" s="11"><f>(ED144-EA144*EF143)/(EB144-EA144*EE143)</f><v /></c><c r="EG144" s="15"><f>EF144-EE144*EG145</f><v /></c><c r="EH144" s="11"><f>IF(11&gt;$B$49+$B$50,$G$67*$B$54^$H$67,$E$67*$B$52^$F$67)</f><v /></c><c r="EI144" s="11"><f>IF(11=1,0,$B$57)</f><v /></c><c r="EJ144" s="11"><f>-($B$57+(IF(11&lt;=$B$49,$B$56*$B$58+$B$55,IF(11&lt;=$B$49+$B$50,$B$56*$B$58,$B$56)))/EH144)</f><v /></c><c r="EK144" s="11"><f>IF(11=$B$49+$B$50,0,IF(11&gt;$B$49+$B$50,$B$56/EH145,IF(11&gt;=$B$49,$B$56*$B$58/EH145,($B$56*$B$58+$B$55)/EH145)))</f><v /></c><c r="EL144" s="11"><f>IF(11=$B$49,-$K$67*$B$55,0)</f><v /></c><c r="EM144" s="11"><f>EK144/(EJ144-EI144*EM143)</f><v /></c><c r="EN144" s="11"><f>(EL144-EI144*EN143)/(EJ144-EI144*EM143)</f><v /></c><c r="EO144" s="15"><f>EN144-EM144*EO145</f><v /></c><c r="EP144" s="11"><f>IF(11&gt;$B$49+$B$50,$G$68*$B$54^$H$68,$E$68*$B$52^$F$68)</f><v /></c><c r="EQ144" s="11"><f>IF(11=1,0,$B$57)</f><v /></c><c r="ER144" s="11"><f>-($B$57+(IF(11&lt;=$B$49,$B$56*$B$58+$B$55,IF(11&lt;=$B$49+$B$50,$B$56*$B$58,$B$56)))/EP144)</f><v /></c><c r="ES144" s="11"><f>IF(11=$B$49+$B$50,0,IF(11&gt;$B$49+$B$50,$B$56/EP145,IF(11&gt;=$B$49,$B$56*$B$58/EP145,($B$56*$B$58+$B$55)/EP145)))</f><v /></c><c r="ET144" s="11"><f>IF(11=$B$49,-$K$68*$B$55,0)</f><v /></c><c r="EU144" s="11"><f>ES144/(ER144-EQ144*EU143)</f><v /></c><c r="EV144" s="11"><f>(ET144-EQ144*EV143)/(ER144-EQ144*EU143)</f><v /></c><c r="EW144" s="15"><f>EV144-EU144*EW145</f><v /></c><c r="EX144" s="11"><f>IF(11&gt;$B$49+$B$50,$G$69*$B$54^$H$69,$E$69*$B$52^$F$69)</f><v /></c><c r="EY144" s="11"><f>IF(11=1,0,$B$57)</f><v /></c><c r="EZ144" s="11"><f>-($B$57+(IF(11&lt;=$B$49,$B$56*$B$58+$B$55,IF(11&lt;=$B$49+$B$50,$B$56*$B$58,$B$56)))/EX144)</f><v /></c><c r="FA144" s="11"><f>IF(11=$B$49+$B$50,0,IF(11&gt;$B$49+$B$50,$B$56/EX145,IF(11&gt;=$B$49,$B$56*$B$58/EX145,($B$56*$B$58+$B$55)/EX145)))</f><v /></c><c r="FB144" s="11"><f>IF(11=$B$49,-$K$69*$B$55,0)</f><v /></c><c r="FC144" s="11"><f>FA144/(EZ144-EY144*FC143)</f><v /></c><c r="FD144" s="11"><f>(FB144-EY144*FD143)/(EZ144-EY144*FC143)</f><v /></c><c r="FE144" s="15"><f>FD144-FC144*FE145</f><v /></c><c r="FF144" s="11"><f>IF(11&gt;$B$49+$B$50,$G$70*$B$54^$H$70,$E$70*$B$52^$F$70)</f><v /></c><c r="FG144" s="11"><f>IF(11=1,0,$B$57)</f><v /></c><c r="FH144" s="11"><f>-($B$57+(IF(11&lt;=$B$49,$B$56*$B$58+$B$55,IF(11&lt;=$B$49+$B$50,$B$56*$B$58,$B$56)))/FF144)</f><v /></c><c r="FI144" s="11"><f>IF(11=$B$49+$B$50,0,IF(11&gt;$B$49+$B$50,$B$56/FF145,IF(11&gt;=$B$49,$B$56*$B$58/FF145,($B$56*$B$58+$B$55)/FF145)))</f><v /></c><c r="FJ144" s="11"><f>IF(11=$B$49,-$K$70*$B$55,0)</f><v /></c><c r="FK144" s="11"><f>FI144/(FH144-FG144*FK143)</f><v /></c><c r="FL144" s="11"><f>(FJ144-FG144*FL143)/(FH144-FG144*FK143)</f><v /></c><c r="FM144" s="15"><f>FL144-FK144*FM145</f><v /></c><c r="FN144" s="11"><f>IF(11&gt;$B$49+$B$50,$G$71*$B$54^$H$71,$E$71*$B$52^$F$71)</f><v /></c><c r="FO144" s="11"><f>IF(11=1,0,$B$57)</f><v /></c><c r="FP144" s="11"><f>-($B$57+(IF(11&lt;=$B$49,$B$56*$B$58+$B$55,IF(11&lt;=$B$49+$B$50,$B$56*$B$58,$B$56)))/FN144)</f><v /></c><c r="FQ144" s="11"><f>IF(11=$B$49+$B$50,0,IF(11&gt;$B$49+$B$50,$B$56/FN145,IF(11&gt;=$B$49,$B$56*$B$58/FN145,($B$56*$B$58+$B$55)/FN145)))</f><v /></c><c r="FR144" s="11"><f>IF(11=$B$49,-$K$71*$B$55,0)</f><v /></c><c r="FS144" s="11"><f>FQ144/(FP144-FO144*FS143)</f><v /></c><c r="FT144" s="11"><f>(FR144-FO144*FT143)/(FP144-FO144*FS143)</f><v /></c><c r="FU144" s="15"><f>FT144-FS144*FU145</f><v /></c><c r="FV144" s="11"><f>IF(11&gt;$B$49+$B$50,$G$72*$B$54^$H$72,$E$72*$B$52^$F$72)</f><v /></c><c r="FW144" s="11"><f>IF(11=1,0,$B$57)</f><v /></c><c r="FX144" s="11"><f>-($B$57+(IF(11&lt;=$B$49,$B$56*$B$58+$B$55,IF(11&lt;=$B$49+$B$50,$B$56*$B$58,$B$56)))/FV144)</f><v /></c><c r="FY144" s="11"><f>IF(11=$B$49+$B$50,0,IF(11&gt;$B$49+$B$50,$B$56/FV145,IF(11&gt;=$B$49,$B$56*$B$58/FV145,($B$56*$B$58+$B$55)/FV145)))</f><v /></c><c r="FZ144" s="11"><f>IF(11=$B$49,-$K$72*$B$55,0)</f><v /></c><c r="GA144" s="11"><f>FY144/(FX144-FW144*GA143)</f><v /></c><c r="GB144" s="11"><f>(FZ144-FW144*GB143)/(FX144-FW144*GA143)</f><v /></c><c r="GC144" s="15"><f>GB144-GA144*GC145</f><v /></c><c r="GD144" s="11"><f>IF(11&gt;$B$49+$B$50,$G$73*$B$54^$H$73,$E$73*$B$52^$F$73)</f><v /></c><c r="GE144" s="11"><f>IF(11=1,0,$B$57)</f><v /></c><c r="GF144" s="11"><f>-($B$57+(IF(11&lt;=$B$49,$B$56*$B$58+$B$55,IF(11&lt;=$B$49+$B$50,$B$56*$B$58,$B$56)))/GD144)</f><v /></c><c r="GG144" s="11"><f>IF(11=$B$49+$B$50,0,IF(11&gt;$B$49+$B$50,$B$56/GD145,IF(11&gt;=$B$49,$B$56*$B$58/GD145,($B$56*$B$58+$B$55)/GD145)))</f><v /></c><c r="GH144" s="11"><f>IF(11=$B$49,-$K$73*$B$55,0)</f><v /></c><c r="GI144" s="11"><f>GG144/(GF144-GE144*GI143)</f><v /></c><c r="GJ144" s="11"><f>(GH144-GE144*GJ143)/(GF144-GE144*GI143)</f><v /></c><c r="GK144" s="15"><f>GJ144-GI144*GK145</f><v /></c><c r="GL144" s="11"><f>IF(11&gt;$B$49+$B$50,$G$74*$B$54^$H$74,$E$74*$B$52^$F$74)</f><v /></c><c r="GM144" s="11"><f>IF(11=1,0,$B$57)</f><v /></c><c r="GN144" s="11"><f>-($B$57+(IF(11&lt;=$B$49,$B$56*$B$58+$B$55,IF(11&lt;=$B$49+$B$50,$B$56*$B$58,$B$56)))/GL144)</f><v /></c><c r="GO144" s="11"><f>IF(11=$B$49+$B$50,0,IF(11&gt;$B$49+$B$50,$B$56/GL145,IF(11&gt;=$B$49,$B$56*$B$58/GL145,($B$56*$B$58+$B$55)/GL145)))</f><v /></c><c r="GP144" s="11"><f>IF(11=$B$49,-$K$74*$B$55,0)</f><v /></c><c r="GQ144" s="11"><f>GO144/(GN144-GM144*GQ143)</f><v /></c><c r="GR144" s="11"><f>(GP144-GM144*GR143)/(GN144-GM144*GQ143)</f><v /></c><c r="GS144" s="15"><f>GR144-GQ144*GS145</f><v /></c><c r="GT144" s="11"><f>IF(11&gt;$B$49+$B$50,$G$75*$B$54^$H$75,$E$75*$B$52^$F$75)</f><v /></c><c r="GU144" s="11"><f>IF(11=1,0,$B$57)</f><v /></c><c r="GV144" s="11"><f>-($B$57+(IF(11&lt;=$B$49,$B$56*$B$58+$B$55,IF(11&lt;=$B$49+$B$50,$B$56*$B$58,$B$56)))/GT144)</f><v /></c><c r="GW144" s="11"><f>IF(11=$B$49+$B$50,0,IF(11&gt;$B$49+$B$50,$B$56/GT145,IF(11&gt;=$B$49,$B$56*$B$58/GT145,($B$56*$B$58+$B$55)/GT145)))</f><v /></c><c r="GX144" s="11"><f>IF(11=$B$49,-$K$75*$B$55,0)</f><v /></c><c r="GY144" s="11"><f>GW144/(GV144-GU144*GY143)</f><v /></c><c r="GZ144" s="11"><f>(GX144-GU144*GZ143)/(GV144-GU144*GY143)</f><v /></c><c r="HA144" s="15"><f>GZ144-GY144*HA145</f><v /></c><c r="HB144" s="13"><f>IFERROR(I144/B144,0)</f><v /></c><c r="HC144" s="13"><f>IFERROR(Q144/J144,0)</f><v /></c><c r="HD144" s="13"><f>IFERROR(Y144/R144,0)</f><v /></c><c r="HE144" s="13"><f>IFERROR(AG144/Z144,0)</f><v /></c><c r="HF144" s="13"><f>IFERROR(AO144/AH144,0)</f><v /></c><c r="HG144" s="13"><f>IFERROR(AW144/AP144,0)</f><v /></c><c r="HH144" s="13"><f>IFERROR(BE144/AX144,0)</f><v /></c><c r="HI144" s="13"><f>IFERROR(BM144/BF144,0)</f><v /></c><c r="HJ144" s="13"><f>IFERROR(BU144/BN144,0)</f><v /></c><c r="HK144" s="13"><f>IFERROR(CC144/BV144,0)</f><v /></c><c r="HL144" s="13"><f>IFERROR(CK144/CD144,0)</f><v /></c><c r="HM144" s="13"><f>IFERROR(CS144/CL144,0)</f><v /></c><c r="HN144" s="13"><f>IFERROR(DA144/CT144,0)</f><v /></c><c r="HO144" s="13"><f>IFERROR(DI144/DB144,0)</f><v /></c><c r="HP144" s="13"><f>IFERROR(DQ144/DJ144,0)</f><v /></c><c r="HQ144" s="13"><f>IFERROR(DY144/DR144,0)</f><v /></c><c r="HR144" s="13"><f>IFERROR(EG144/DZ144,0)</f><v /></c><c r="HS144" s="13"><f>IFERROR(EO144/EH144,0)</f><v /></c><c r="HT144" s="13"><f>IFERROR(EW144/EP144,0)</f><v /></c><c r="HU144" s="13"><f>IFERROR(FE144/EX144,0)</f><v /></c><c r="HV144" s="13"><f>IFERROR(FM144/FF144,0)</f><v /></c><c r="HW144" s="13"><f>IFERROR(FU144/FN144,0)</f><v /></c><c r="HX144" s="13"><f>IFERROR(GC144/FV144,0)</f><v /></c><c r="HY144" s="13"><f>IFERROR(GK144/GD144,0)</f><v /></c><c r="HZ144" s="13"><f>IFERROR(GS144/GL144,0)</f><v /></c><c r="IA144" s="13"><f>IFERROR(HA144/GT144,0)</f><v /></c><c r="IB144" s="13"><f>I144+Q144+Y144+AG144+AO144+AW144+BE144+BM144+BU144+CC144+CK144+CS144+DA144+DI144+DQ144+DY144+EG144+EO144+EW144+FE144+FM144+FU144+GC144+GK144+GS144+HA144</f><v /></c><c r="IC144" s="13"><f>HB144+HC144+HD144+HE144+HF144+HG144+HH144+HI144+HJ144+HK144+HL144+HM144+HN144+HO144+HP144+HQ144+HR144+HS144+HT144+HU144+HV144+HW144+HX144+HY144+HZ144+IA144</f><v /></c></row><row r="145" ht="14" customHeight="1"><c r="A145" s="25" t="n"><v>12</v></c><c r="B145" s="11"><f>IF(12&gt;$B$49+$B$50,$G$50*$B$54^$H$50,$E$50*$B$52^$F$50)</f><v /></c><c r="C145" s="11"><f>IF(12=1,0,$B$57)</f><v /></c><c r="D145" s="11"><f>-($B$57+(IF(12&lt;=$B$49,$B$56*$B$58+$B$55,IF(12&lt;=$B$49+$B$50,$B$56*$B$58,$B$56)))/B145)</f><v /></c><c r="E145" s="11"><f>IF(12=$B$49+$B$50,0,IF(12&gt;$B$49+$B$50,$B$56/B146,IF(12&gt;=$B$49,$B$56*$B$58/B146,($B$56*$B$58+$B$55)/B146)))</f><v /></c><c r="F145" s="11"><f>IF(12=$B$49,-$K$50*$B$55,0)</f><v /></c><c r="G145" s="11"><f>E145/(D145-C145*G144)</f><v /></c><c r="H145" s="11"><f>(F145-C145*H144)/(D145-C145*G144)</f><v /></c><c r="I145" s="15"><f>H145-G145*I146</f><v /></c><c r="J145" s="11"><f>IF(12&gt;$B$49+$B$50,$G$51*$B$54^$H$51,$E$51*$B$52^$F$51)</f><v /></c><c r="K145" s="11"><f>IF(12=1,0,$B$57)</f><v /></c><c r="L145" s="11"><f>-($B$57+(IF(12&lt;=$B$49,$B$56*$B$58+$B$55,IF(12&lt;=$B$49+$B$50,$B$56*$B$58,$B$56)))/J145)</f><v /></c><c r="M145" s="11"><f>IF(12=$B$49+$B$50,0,IF(12&gt;$B$49+$B$50,$B$56/J146,IF(12&gt;=$B$49,$B$56*$B$58/J146,($B$56*$B$58+$B$55)/J146)))</f><v /></c><c r="N145" s="11"><f>IF(12=$B$49,-$K$51*$B$55,0)</f><v /></c><c r="O145" s="11"><f>M145/(L145-K145*O144)</f><v /></c><c r="P145" s="11"><f>(N145-K145*P144)/(L145-K145*O144)</f><v /></c><c r="Q145" s="15"><f>P145-O145*Q146</f><v /></c><c r="R145" s="11"><f>IF(12&gt;$B$49+$B$50,$G$52*$B$54^$H$52,$E$52*$B$52^$F$52)</f><v /></c><c r="S145" s="11"><f>IF(12=1,0,$B$57)</f><v /></c><c r="T145" s="11"><f>-($B$57+(IF(12&lt;=$B$49,$B$56*$B$58+$B$55,IF(12&lt;=$B$49+$B$50,$B$56*$B$58,$B$56)))/R145)</f><v /></c><c r="U145" s="11"><f>IF(12=$B$49+$B$50,0,IF(12&gt;$B$49+$B$50,$B$56/R146,IF(12&gt;=$B$49,$B$56*$B$58/R146,($B$56*$B$58+$B$55)/R146)))</f><v /></c><c r="V145" s="11"><f>IF(12=$B$49,-$K$52*$B$55,0)</f><v /></c><c r="W145" s="11"><f>U145/(T145-S145*W144)</f><v /></c><c r="X145" s="11"><f>(V145-S145*X144)/(T145-S145*W144)</f><v /></c><c r="Y145" s="15"><f>X145-W145*Y146</f><v /></c><c r="Z145" s="11"><f>IF(12&gt;$B$49+$B$50,$G$53*$B$54^$H$53,$E$53*$B$52^$F$53)</f><v /></c><c r="AA145" s="11"><f>IF(12=1,0,$B$57)</f><v /></c><c r="AB145" s="11"><f>-($B$57+(IF(12&lt;=$B$49,$B$56*$B$58+$B$55,IF(12&lt;=$B$49+$B$50,$B$56*$B$58,$B$56)))/Z145)</f><v /></c><c r="AC145" s="11"><f>IF(12=$B$49+$B$50,0,IF(12&gt;$B$49+$B$50,$B$56/Z146,IF(12&gt;=$B$49,$B$56*$B$58/Z146,($B$56*$B$58+$B$55)/Z146)))</f><v /></c><c r="AD145" s="11"><f>IF(12=$B$49,-$K$53*$B$55,0)</f><v /></c><c r="AE145" s="11"><f>AC145/(AB145-AA145*AE144)</f><v /></c><c r="AF145" s="11"><f>(AD145-AA145*AF144)/(AB145-AA145*AE144)</f><v /></c><c r="AG145" s="15"><f>AF145-AE145*AG146</f><v /></c><c r="AH145" s="11"><f>IF(12&gt;$B$49+$B$50,$G$54*$B$54^$H$54,$E$54*$B$52^$F$54)</f><v /></c><c r="AI145" s="11"><f>IF(12=1,0,$B$57)</f><v /></c><c r="AJ145" s="11"><f>-($B$57+(IF(12&lt;=$B$49,$B$56*$B$58+$B$55,IF(12&lt;=$B$49+$B$50,$B$56*$B$58,$B$56)))/AH145)</f><v /></c><c r="AK145" s="11"><f>IF(12=$B$49+$B$50,0,IF(12&gt;$B$49+$B$50,$B$56/AH146,IF(12&gt;=$B$49,$B$56*$B$58/AH146,($B$56*$B$58+$B$55)/AH146)))</f><v /></c><c r="AL145" s="11"><f>IF(12=$B$49,-$K$54*$B$55,0)</f><v /></c><c r="AM145" s="11"><f>AK145/(AJ145-AI145*AM144)</f><v /></c><c r="AN145" s="11"><f>(AL145-AI145*AN144)/(AJ145-AI145*AM144)</f><v /></c><c r="AO145" s="15"><f>AN145-AM145*AO146</f><v /></c><c r="AP145" s="11"><f>IF(12&gt;$B$49+$B$50,$G$55*$B$54^$H$55,$E$55*$B$52^$F$55)</f><v /></c><c r="AQ145" s="11"><f>IF(12=1,0,$B$57)</f><v /></c><c r="AR145" s="11"><f>-($B$57+(IF(12&lt;=$B$49,$B$56*$B$58+$B$55,IF(12&lt;=$B$49+$B$50,$B$56*$B$58,$B$56)))/AP145)</f><v /></c><c r="AS145" s="11"><f>IF(12=$B$49+$B$50,0,IF(12&gt;$B$49+$B$50,$B$56/AP146,IF(12&gt;=$B$49,$B$56*$B$58/AP146,($B$56*$B$58+$B$55)/AP146)))</f><v /></c><c r="AT145" s="11"><f>IF(12=$B$49,-$K$55*$B$55,0)</f><v /></c><c r="AU145" s="11"><f>AS145/(AR145-AQ145*AU144)</f><v /></c><c r="AV145" s="11"><f>(AT145-AQ145*AV144)/(AR145-AQ145*AU144)</f><v /></c><c r="AW145" s="15"><f>AV145-AU145*AW146</f><v /></c><c r="AX145" s="11"><f>IF(12&gt;$B$49+$B$50,$G$56*$B$54^$H$56,$E$56*$B$52^$F$56)</f><v /></c><c r="AY145" s="11"><f>IF(12=1,0,$B$57)</f><v /></c><c r="AZ145" s="11"><f>-($B$57+(IF(12&lt;=$B$49,$B$56*$B$58+$B$55,IF(12&lt;=$B$49+$B$50,$B$56*$B$58,$B$56)))/AX145)</f><v /></c><c r="BA145" s="11"><f>IF(12=$B$49+$B$50,0,IF(12&gt;$B$49+$B$50,$B$56/AX146,IF(12&gt;=$B$49,$B$56*$B$58/AX146,($B$56*$B$58+$B$55)/AX146)))</f><v /></c><c r="BB145" s="11"><f>IF(12=$B$49,-$K$56*$B$55,0)</f><v /></c><c r="BC145" s="11"><f>BA145/(AZ145-AY145*BC144)</f><v /></c><c r="BD145" s="11"><f>(BB145-AY145*BD144)/(AZ145-AY145*BC144)</f><v /></c><c r="BE145" s="15"><f>BD145-BC145*BE146</f><v /></c><c r="BF145" s="11"><f>IF(12&gt;$B$49+$B$50,$G$57*$B$54^$H$57,$E$57*$B$52^$F$57)</f><v /></c><c r="BG145" s="11"><f>IF(12=1,0,$B$57)</f><v /></c><c r="BH145" s="11"><f>-($B$57+(IF(12&lt;=$B$49,$B$56*$B$58+$B$55,IF(12&lt;=$B$49+$B$50,$B$56*$B$58,$B$56)))/BF145)</f><v /></c><c r="BI145" s="11"><f>IF(12=$B$49+$B$50,0,IF(12&gt;$B$49+$B$50,$B$56/BF146,IF(12&gt;=$B$49,$B$56*$B$58/BF146,($B$56*$B$58+$B$55)/BF146)))</f><v /></c><c r="BJ145" s="11"><f>IF(12=$B$49,-$K$57*$B$55,0)</f><v /></c><c r="BK145" s="11"><f>BI145/(BH145-BG145*BK144)</f><v /></c><c r="BL145" s="11"><f>(BJ145-BG145*BL144)/(BH145-BG145*BK144)</f><v /></c><c r="BM145" s="15"><f>BL145-BK145*BM146</f><v /></c><c r="BN145" s="11"><f>IF(12&gt;$B$49+$B$50,$G$58*$B$54^$H$58,$E$58*$B$52^$F$58)</f><v /></c><c r="BO145" s="11"><f>IF(12=1,0,$B$57)</f><v /></c><c r="BP145" s="11"><f>-($B$57+(IF(12&lt;=$B$49,$B$56*$B$58+$B$55,IF(12&lt;=$B$49+$B$50,$B$56*$B$58,$B$56)))/BN145)</f><v /></c><c r="BQ145" s="11"><f>IF(12=$B$49+$B$50,0,IF(12&gt;$B$49+$B$50,$B$56/BN146,IF(12&gt;=$B$49,$B$56*$B$58/BN146,($B$56*$B$58+$B$55)/BN146)))</f><v /></c><c r="BR145" s="11"><f>IF(12=$B$49,-$K$58*$B$55,0)</f><v /></c><c r="BS145" s="11"><f>BQ145/(BP145-BO145*BS144)</f><v /></c><c r="BT145" s="11"><f>(BR145-BO145*BT144)/(BP145-BO145*BS144)</f><v /></c><c r="BU145" s="15"><f>BT145-BS145*BU146</f><v /></c><c r="BV145" s="11"><f>IF(12&gt;$B$49+$B$50,$G$59*$B$54^$H$59,$E$59*$B$52^$F$59)</f><v /></c><c r="BW145" s="11"><f>IF(12=1,0,$B$57)</f><v /></c><c r="BX145" s="11"><f>-($B$57+(IF(12&lt;=$B$49,$B$56*$B$58+$B$55,IF(12&lt;=$B$49+$B$50,$B$56*$B$58,$B$56)))/BV145)</f><v /></c><c r="BY145" s="11"><f>IF(12=$B$49+$B$50,0,IF(12&gt;$B$49+$B$50,$B$56/BV146,IF(12&gt;=$B$49,$B$56*$B$58/BV146,($B$56*$B$58+$B$55)/BV146)))</f><v /></c><c r="BZ145" s="11"><f>IF(12=$B$49,-$K$59*$B$55,0)</f><v /></c><c r="CA145" s="11"><f>BY145/(BX145-BW145*CA144)</f><v /></c><c r="CB145" s="11"><f>(BZ145-BW145*CB144)/(BX145-BW145*CA144)</f><v /></c><c r="CC145" s="15"><f>CB145-CA145*CC146</f><v /></c><c r="CD145" s="11"><f>IF(12&gt;$B$49+$B$50,$G$60*$B$54^$H$60,$E$60*$B$52^$F$60)</f><v /></c><c r="CE145" s="11"><f>IF(12=1,0,$B$57)</f><v /></c><c r="CF145" s="11"><f>-($B$57+(IF(12&lt;=$B$49,$B$56*$B$58+$B$55,IF(12&lt;=$B$49+$B$50,$B$56*$B$58,$B$56)))/CD145)</f><v /></c><c r="CG145" s="11"><f>IF(12=$B$49+$B$50,0,IF(12&gt;$B$49+$B$50,$B$56/CD146,IF(12&gt;=$B$49,$B$56*$B$58/CD146,($B$56*$B$58+$B$55)/CD146)))</f><v /></c><c r="CH145" s="11"><f>IF(12=$B$49,-$K$60*$B$55,0)</f><v /></c><c r="CI145" s="11"><f>CG145/(CF145-CE145*CI144)</f><v /></c><c r="CJ145" s="11"><f>(CH145-CE145*CJ144)/(CF145-CE145*CI144)</f><v /></c><c r="CK145" s="15"><f>CJ145-CI145*CK146</f><v /></c><c r="CL145" s="11"><f>IF(12&gt;$B$49+$B$50,$G$61*$B$54^$H$61,$E$61*$B$52^$F$61)</f><v /></c><c r="CM145" s="11"><f>IF(12=1,0,$B$57)</f><v /></c><c r="CN145" s="11"><f>-($B$57+(IF(12&lt;=$B$49,$B$56*$B$58+$B$55,IF(12&lt;=$B$49+$B$50,$B$56*$B$58,$B$56)))/CL145)</f><v /></c><c r="CO145" s="11"><f>IF(12=$B$49+$B$50,0,IF(12&gt;$B$49+$B$50,$B$56/CL146,IF(12&gt;=$B$49,$B$56*$B$58/CL146,($B$56*$B$58+$B$55)/CL146)))</f><v /></c><c r="CP145" s="11"><f>IF(12=$B$49,-$K$61*$B$55,0)</f><v /></c><c r="CQ145" s="11"><f>CO145/(CN145-CM145*CQ144)</f><v /></c><c r="CR145" s="11"><f>(CP145-CM145*CR144)/(CN145-CM145*CQ144)</f><v /></c><c r="CS145" s="15"><f>CR145-CQ145*CS146</f><v /></c><c r="CT145" s="11"><f>IF(12&gt;$B$49+$B$50,$G$62*$B$54^$H$62,$E$62*$B$52^$F$62)</f><v /></c><c r="CU145" s="11"><f>IF(12=1,0,$B$57)</f><v /></c><c r="CV145" s="11"><f>-($B$57+(IF(12&lt;=$B$49,$B$56*$B$58+$B$55,IF(12&lt;=$B$49+$B$50,$B$56*$B$58,$B$56)))/CT145)</f><v /></c><c r="CW145" s="11"><f>IF(12=$B$49+$B$50,0,IF(12&gt;$B$49+$B$50,$B$56/CT146,IF(12&gt;=$B$49,$B$56*$B$58/CT146,($B$56*$B$58+$B$55)/CT146)))</f><v /></c><c r="CX145" s="11"><f>IF(12=$B$49,-$K$62*$B$55,0)</f><v /></c><c r="CY145" s="11"><f>CW145/(CV145-CU145*CY144)</f><v /></c><c r="CZ145" s="11"><f>(CX145-CU145*CZ144)/(CV145-CU145*CY144)</f><v /></c><c r="DA145" s="15"><f>CZ145-CY145*DA146</f><v /></c><c r="DB145" s="11"><f>IF(12&gt;$B$49+$B$50,$G$63*$B$54^$H$63,$E$63*$B$52^$F$63)</f><v /></c><c r="DC145" s="11"><f>IF(12=1,0,$B$57)</f><v /></c><c r="DD145" s="11"><f>-($B$57+(IF(12&lt;=$B$49,$B$56*$B$58+$B$55,IF(12&lt;=$B$49+$B$50,$B$56*$B$58,$B$56)))/DB145)</f><v /></c><c r="DE145" s="11"><f>IF(12=$B$49+$B$50,0,IF(12&gt;$B$49+$B$50,$B$56/DB146,IF(12&gt;=$B$49,$B$56*$B$58/DB146,($B$56*$B$58+$B$55)/DB146)))</f><v /></c><c r="DF145" s="11"><f>IF(12=$B$49,-$K$63*$B$55,0)</f><v /></c><c r="DG145" s="11"><f>DE145/(DD145-DC145*DG144)</f><v /></c><c r="DH145" s="11"><f>(DF145-DC145*DH144)/(DD145-DC145*DG144)</f><v /></c><c r="DI145" s="15"><f>DH145-DG145*DI146</f><v /></c><c r="DJ145" s="11"><f>IF(12&gt;$B$49+$B$50,$G$64*$B$54^$H$64,$E$64*$B$52^$F$64)</f><v /></c><c r="DK145" s="11"><f>IF(12=1,0,$B$57)</f><v /></c><c r="DL145" s="11"><f>-($B$57+(IF(12&lt;=$B$49,$B$56*$B$58+$B$55,IF(12&lt;=$B$49+$B$50,$B$56*$B$58,$B$56)))/DJ145)</f><v /></c><c r="DM145" s="11"><f>IF(12=$B$49+$B$50,0,IF(12&gt;$B$49+$B$50,$B$56/DJ146,IF(12&gt;=$B$49,$B$56*$B$58/DJ146,($B$56*$B$58+$B$55)/DJ146)))</f><v /></c><c r="DN145" s="11"><f>IF(12=$B$49,-$K$64*$B$55,0)</f><v /></c><c r="DO145" s="11"><f>DM145/(DL145-DK145*DO144)</f><v /></c><c r="DP145" s="11"><f>(DN145-DK145*DP144)/(DL145-DK145*DO144)</f><v /></c><c r="DQ145" s="15"><f>DP145-DO145*DQ146</f><v /></c><c r="DR145" s="11"><f>IF(12&gt;$B$49+$B$50,$G$65*$B$54^$H$65,$E$65*$B$52^$F$65)</f><v /></c><c r="DS145" s="11"><f>IF(12=1,0,$B$57)</f><v /></c><c r="DT145" s="11"><f>-($B$57+(IF(12&lt;=$B$49,$B$56*$B$58+$B$55,IF(12&lt;=$B$49+$B$50,$B$56*$B$58,$B$56)))/DR145)</f><v /></c><c r="DU145" s="11"><f>IF(12=$B$49+$B$50,0,IF(12&gt;$B$49+$B$50,$B$56/DR146,IF(12&gt;=$B$49,$B$56*$B$58/DR146,($B$56*$B$58+$B$55)/DR146)))</f><v /></c><c r="DV145" s="11"><f>IF(12=$B$49,-$K$65*$B$55,0)</f><v /></c><c r="DW145" s="11"><f>DU145/(DT145-DS145*DW144)</f><v /></c><c r="DX145" s="11"><f>(DV145-DS145*DX144)/(DT145-DS145*DW144)</f><v /></c><c r="DY145" s="15"><f>DX145-DW145*DY146</f><v /></c><c r="DZ145" s="11"><f>IF(12&gt;$B$49+$B$50,$G$66*$B$54^$H$66,$E$66*$B$52^$F$66)</f><v /></c><c r="EA145" s="11"><f>IF(12=1,0,$B$57)</f><v /></c><c r="EB145" s="11"><f>-($B$57+(IF(12&lt;=$B$49,$B$56*$B$58+$B$55,IF(12&lt;=$B$49+$B$50,$B$56*$B$58,$B$56)))/DZ145)</f><v /></c><c r="EC145" s="11"><f>IF(12=$B$49+$B$50,0,IF(12&gt;$B$49+$B$50,$B$56/DZ146,IF(12&gt;=$B$49,$B$56*$B$58/DZ146,($B$56*$B$58+$B$55)/DZ146)))</f><v /></c><c r="ED145" s="11"><f>IF(12=$B$49,-$K$66*$B$55,0)</f><v /></c><c r="EE145" s="11"><f>EC145/(EB145-EA145*EE144)</f><v /></c><c r="EF145" s="11"><f>(ED145-EA145*EF144)/(EB145-EA145*EE144)</f><v /></c><c r="EG145" s="15"><f>EF145-EE145*EG146</f><v /></c><c r="EH145" s="11"><f>IF(12&gt;$B$49+$B$50,$G$67*$B$54^$H$67,$E$67*$B$52^$F$67)</f><v /></c><c r="EI145" s="11"><f>IF(12=1,0,$B$57)</f><v /></c><c r="EJ145" s="11"><f>-($B$57+(IF(12&lt;=$B$49,$B$56*$B$58+$B$55,IF(12&lt;=$B$49+$B$50,$B$56*$B$58,$B$56)))/EH145)</f><v /></c><c r="EK145" s="11"><f>IF(12=$B$49+$B$50,0,IF(12&gt;$B$49+$B$50,$B$56/EH146,IF(12&gt;=$B$49,$B$56*$B$58/EH146,($B$56*$B$58+$B$55)/EH146)))</f><v /></c><c r="EL145" s="11"><f>IF(12=$B$49,-$K$67*$B$55,0)</f><v /></c><c r="EM145" s="11"><f>EK145/(EJ145-EI145*EM144)</f><v /></c><c r="EN145" s="11"><f>(EL145-EI145*EN144)/(EJ145-EI145*EM144)</f><v /></c><c r="EO145" s="15"><f>EN145-EM145*EO146</f><v /></c><c r="EP145" s="11"><f>IF(12&gt;$B$49+$B$50,$G$68*$B$54^$H$68,$E$68*$B$52^$F$68)</f><v /></c><c r="EQ145" s="11"><f>IF(12=1,0,$B$57)</f><v /></c><c r="ER145" s="11"><f>-($B$57+(IF(12&lt;=$B$49,$B$56*$B$58+$B$55,IF(12&lt;=$B$49+$B$50,$B$56*$B$58,$B$56)))/EP145)</f><v /></c><c r="ES145" s="11"><f>IF(12=$B$49+$B$50,0,IF(12&gt;$B$49+$B$50,$B$56/EP146,IF(12&gt;=$B$49,$B$56*$B$58/EP146,($B$56*$B$58+$B$55)/EP146)))</f><v /></c><c r="ET145" s="11"><f>IF(12=$B$49,-$K$68*$B$55,0)</f><v /></c><c r="EU145" s="11"><f>ES145/(ER145-EQ145*EU144)</f><v /></c><c r="EV145" s="11"><f>(ET145-EQ145*EV144)/(ER145-EQ145*EU144)</f><v /></c><c r="EW145" s="15"><f>EV145-EU145*EW146</f><v /></c><c r="EX145" s="11"><f>IF(12&gt;$B$49+$B$50,$G$69*$B$54^$H$69,$E$69*$B$52^$F$69)</f><v /></c><c r="EY145" s="11"><f>IF(12=1,0,$B$57)</f><v /></c><c r="EZ145" s="11"><f>-($B$57+(IF(12&lt;=$B$49,$B$56*$B$58+$B$55,IF(12&lt;=$B$49+$B$50,$B$56*$B$58,$B$56)))/EX145)</f><v /></c><c r="FA145" s="11"><f>IF(12=$B$49+$B$50,0,IF(12&gt;$B$49+$B$50,$B$56/EX146,IF(12&gt;=$B$49,$B$56*$B$58/EX146,($B$56*$B$58+$B$55)/EX146)))</f><v /></c><c r="FB145" s="11"><f>IF(12=$B$49,-$K$69*$B$55,0)</f><v /></c><c r="FC145" s="11"><f>FA145/(EZ145-EY145*FC144)</f><v /></c><c r="FD145" s="11"><f>(FB145-EY145*FD144)/(EZ145-EY145*FC144)</f><v /></c><c r="FE145" s="15"><f>FD145-FC145*FE146</f><v /></c><c r="FF145" s="11"><f>IF(12&gt;$B$49+$B$50,$G$70*$B$54^$H$70,$E$70*$B$52^$F$70)</f><v /></c><c r="FG145" s="11"><f>IF(12=1,0,$B$57)</f><v /></c><c r="FH145" s="11"><f>-($B$57+(IF(12&lt;=$B$49,$B$56*$B$58+$B$55,IF(12&lt;=$B$49+$B$50,$B$56*$B$58,$B$56)))/FF145)</f><v /></c><c r="FI145" s="11"><f>IF(12=$B$49+$B$50,0,IF(12&gt;$B$49+$B$50,$B$56/FF146,IF(12&gt;=$B$49,$B$56*$B$58/FF146,($B$56*$B$58+$B$55)/FF146)))</f><v /></c><c r="FJ145" s="11"><f>IF(12=$B$49,-$K$70*$B$55,0)</f><v /></c><c r="FK145" s="11"><f>FI145/(FH145-FG145*FK144)</f><v /></c><c r="FL145" s="11"><f>(FJ145-FG145*FL144)/(FH145-FG145*FK144)</f><v /></c><c r="FM145" s="15"><f>FL145-FK145*FM146</f><v /></c><c r="FN145" s="11"><f>IF(12&gt;$B$49+$B$50,$G$71*$B$54^$H$71,$E$71*$B$52^$F$71)</f><v /></c><c r="FO145" s="11"><f>IF(12=1,0,$B$57)</f><v /></c><c r="FP145" s="11"><f>-($B$57+(IF(12&lt;=$B$49,$B$56*$B$58+$B$55,IF(12&lt;=$B$49+$B$50,$B$56*$B$58,$B$56)))/FN145)</f><v /></c><c r="FQ145" s="11"><f>IF(12=$B$49+$B$50,0,IF(12&gt;$B$49+$B$50,$B$56/FN146,IF(12&gt;=$B$49,$B$56*$B$58/FN146,($B$56*$B$58+$B$55)/FN146)))</f><v /></c><c r="FR145" s="11"><f>IF(12=$B$49,-$K$71*$B$55,0)</f><v /></c><c r="FS145" s="11"><f>FQ145/(FP145-FO145*FS144)</f><v /></c><c r="FT145" s="11"><f>(FR145-FO145*FT144)/(FP145-FO145*FS144)</f><v /></c><c r="FU145" s="15"><f>FT145-FS145*FU146</f><v /></c><c r="FV145" s="11"><f>IF(12&gt;$B$49+$B$50,$G$72*$B$54^$H$72,$E$72*$B$52^$F$72)</f><v /></c><c r="FW145" s="11"><f>IF(12=1,0,$B$57)</f><v /></c><c r="FX145" s="11"><f>-($B$57+(IF(12&lt;=$B$49,$B$56*$B$58+$B$55,IF(12&lt;=$B$49+$B$50,$B$56*$B$58,$B$56)))/FV145)</f><v /></c><c r="FY145" s="11"><f>IF(12=$B$49+$B$50,0,IF(12&gt;$B$49+$B$50,$B$56/FV146,IF(12&gt;=$B$49,$B$56*$B$58/FV146,($B$56*$B$58+$B$55)/FV146)))</f><v /></c><c r="FZ145" s="11"><f>IF(12=$B$49,-$K$72*$B$55,0)</f><v /></c><c r="GA145" s="11"><f>FY145/(FX145-FW145*GA144)</f><v /></c><c r="GB145" s="11"><f>(FZ145-FW145*GB144)/(FX145-FW145*GA144)</f><v /></c><c r="GC145" s="15"><f>GB145-GA145*GC146</f><v /></c><c r="GD145" s="11"><f>IF(12&gt;$B$49+$B$50,$G$73*$B$54^$H$73,$E$73*$B$52^$F$73)</f><v /></c><c r="GE145" s="11"><f>IF(12=1,0,$B$57)</f><v /></c><c r="GF145" s="11"><f>-($B$57+(IF(12&lt;=$B$49,$B$56*$B$58+$B$55,IF(12&lt;=$B$49+$B$50,$B$56*$B$58,$B$56)))/GD145)</f><v /></c><c r="GG145" s="11"><f>IF(12=$B$49+$B$50,0,IF(12&gt;$B$49+$B$50,$B$56/GD146,IF(12&gt;=$B$49,$B$56*$B$58/GD146,($B$56*$B$58+$B$55)/GD146)))</f><v /></c><c r="GH145" s="11"><f>IF(12=$B$49,-$K$73*$B$55,0)</f><v /></c><c r="GI145" s="11"><f>GG145/(GF145-GE145*GI144)</f><v /></c><c r="GJ145" s="11"><f>(GH145-GE145*GJ144)/(GF145-GE145*GI144)</f><v /></c><c r="GK145" s="15"><f>GJ145-GI145*GK146</f><v /></c><c r="GL145" s="11"><f>IF(12&gt;$B$49+$B$50,$G$74*$B$54^$H$74,$E$74*$B$52^$F$74)</f><v /></c><c r="GM145" s="11"><f>IF(12=1,0,$B$57)</f><v /></c><c r="GN145" s="11"><f>-($B$57+(IF(12&lt;=$B$49,$B$56*$B$58+$B$55,IF(12&lt;=$B$49+$B$50,$B$56*$B$58,$B$56)))/GL145)</f><v /></c><c r="GO145" s="11"><f>IF(12=$B$49+$B$50,0,IF(12&gt;$B$49+$B$50,$B$56/GL146,IF(12&gt;=$B$49,$B$56*$B$58/GL146,($B$56*$B$58+$B$55)/GL146)))</f><v /></c><c r="GP145" s="11"><f>IF(12=$B$49,-$K$74*$B$55,0)</f><v /></c><c r="GQ145" s="11"><f>GO145/(GN145-GM145*GQ144)</f><v /></c><c r="GR145" s="11"><f>(GP145-GM145*GR144)/(GN145-GM145*GQ144)</f><v /></c><c r="GS145" s="15"><f>GR145-GQ145*GS146</f><v /></c><c r="GT145" s="11"><f>IF(12&gt;$B$49+$B$50,$G$75*$B$54^$H$75,$E$75*$B$52^$F$75)</f><v /></c><c r="GU145" s="11"><f>IF(12=1,0,$B$57)</f><v /></c><c r="GV145" s="11"><f>-($B$57+(IF(12&lt;=$B$49,$B$56*$B$58+$B$55,IF(12&lt;=$B$49+$B$50,$B$56*$B$58,$B$56)))/GT145)</f><v /></c><c r="GW145" s="11"><f>IF(12=$B$49+$B$50,0,IF(12&gt;$B$49+$B$50,$B$56/GT146,IF(12&gt;=$B$49,$B$56*$B$58/GT146,($B$56*$B$58+$B$55)/GT146)))</f><v /></c><c r="GX145" s="11"><f>IF(12=$B$49,-$K$75*$B$55,0)</f><v /></c><c r="GY145" s="11"><f>GW145/(GV145-GU145*GY144)</f><v /></c><c r="GZ145" s="11"><f>(GX145-GU145*GZ144)/(GV145-GU145*GY144)</f><v /></c><c r="HA145" s="15"><f>GZ145-GY145*HA146</f><v /></c><c r="HB145" s="13"><f>IFERROR(I145/B145,0)</f><v /></c><c r="HC145" s="13"><f>IFERROR(Q145/J145,0)</f><v /></c><c r="HD145" s="13"><f>IFERROR(Y145/R145,0)</f><v /></c><c r="HE145" s="13"><f>IFERROR(AG145/Z145,0)</f><v /></c><c r="HF145" s="13"><f>IFERROR(AO145/AH145,0)</f><v /></c><c r="HG145" s="13"><f>IFERROR(AW145/AP145,0)</f><v /></c><c r="HH145" s="13"><f>IFERROR(BE145/AX145,0)</f><v /></c><c r="HI145" s="13"><f>IFERROR(BM145/BF145,0)</f><v /></c><c r="HJ145" s="13"><f>IFERROR(BU145/BN145,0)</f><v /></c><c r="HK145" s="13"><f>IFERROR(CC145/BV145,0)</f><v /></c><c r="HL145" s="13"><f>IFERROR(CK145/CD145,0)</f><v /></c><c r="HM145" s="13"><f>IFERROR(CS145/CL145,0)</f><v /></c><c r="HN145" s="13"><f>IFERROR(DA145/CT145,0)</f><v /></c><c r="HO145" s="13"><f>IFERROR(DI145/DB145,0)</f><v /></c><c r="HP145" s="13"><f>IFERROR(DQ145/DJ145,0)</f><v /></c><c r="HQ145" s="13"><f>IFERROR(DY145/DR145,0)</f><v /></c><c r="HR145" s="13"><f>IFERROR(EG145/DZ145,0)</f><v /></c><c r="HS145" s="13"><f>IFERROR(EO145/EH145,0)</f><v /></c><c r="HT145" s="13"><f>IFERROR(EW145/EP145,0)</f><v /></c><c r="HU145" s="13"><f>IFERROR(FE145/EX145,0)</f><v /></c><c r="HV145" s="13"><f>IFERROR(FM145/FF145,0)</f><v /></c><c r="HW145" s="13"><f>IFERROR(FU145/FN145,0)</f><v /></c><c r="HX145" s="13"><f>IFERROR(GC145/FV145,0)</f><v /></c><c r="HY145" s="13"><f>IFERROR(GK145/GD145,0)</f><v /></c><c r="HZ145" s="13"><f>IFERROR(GS145/GL145,0)</f><v /></c><c r="IA145" s="13"><f>IFERROR(HA145/GT145,0)</f><v /></c><c r="IB145" s="13"><f>I145+Q145+Y145+AG145+AO145+AW145+BE145+BM145+BU145+CC145+CK145+CS145+DA145+DI145+DQ145+DY145+EG145+EO145+EW145+FE145+FM145+FU145+GC145+GK145+GS145+HA145</f><v /></c><c r="IC145" s="13"><f>HB145+HC145+HD145+HE145+HF145+HG145+HH145+HI145+HJ145+HK145+HL145+HM145+HN145+HO145+HP145+HQ145+HR145+HS145+HT145+HU145+HV145+HW145+HX145+HY145+HZ145+IA145</f><v /></c></row><row r="146" ht="14" customHeight="1"><c r="A146" s="25" t="n"><v>13</v></c><c r="B146" s="11"><f>IF(13&gt;$B$49+$B$50,$G$50*$B$54^$H$50,$E$50*$B$52^$F$50)</f><v /></c><c r="C146" s="11"><f>IF(13=1,0,$B$57)</f><v /></c><c r="D146" s="11"><f>-($B$57+(IF(13&lt;=$B$49,$B$56*$B$58+$B$55,IF(13&lt;=$B$49+$B$50,$B$56*$B$58,$B$56)))/B146)</f><v /></c><c r="E146" s="11"><f>IF(13=$B$49+$B$50,0,IF(13&gt;$B$49+$B$50,$B$56/B147,IF(13&gt;=$B$49,$B$56*$B$58/B147,($B$56*$B$58+$B$55)/B147)))</f><v /></c><c r="F146" s="11"><f>IF(13=$B$49,-$K$50*$B$55,0)</f><v /></c><c r="G146" s="11"><f>E146/(D146-C146*G145)</f><v /></c><c r="H146" s="11"><f>(F146-C146*H145)/(D146-C146*G145)</f><v /></c><c r="I146" s="15"><f>H146-G146*I147</f><v /></c><c r="J146" s="11"><f>IF(13&gt;$B$49+$B$50,$G$51*$B$54^$H$51,$E$51*$B$52^$F$51)</f><v /></c><c r="K146" s="11"><f>IF(13=1,0,$B$57)</f><v /></c><c r="L146" s="11"><f>-($B$57+(IF(13&lt;=$B$49,$B$56*$B$58+$B$55,IF(13&lt;=$B$49+$B$50,$B$56*$B$58,$B$56)))/J146)</f><v /></c><c r="M146" s="11"><f>IF(13=$B$49+$B$50,0,IF(13&gt;$B$49+$B$50,$B$56/J147,IF(13&gt;=$B$49,$B$56*$B$58/J147,($B$56*$B$58+$B$55)/J147)))</f><v /></c><c r="N146" s="11"><f>IF(13=$B$49,-$K$51*$B$55,0)</f><v /></c><c r="O146" s="11"><f>M146/(L146-K146*O145)</f><v /></c><c r="P146" s="11"><f>(N146-K146*P145)/(L146-K146*O145)</f><v /></c><c r="Q146" s="15"><f>P146-O146*Q147</f><v /></c><c r="R146" s="11"><f>IF(13&gt;$B$49+$B$50,$G$52*$B$54^$H$52,$E$52*$B$52^$F$52)</f><v /></c><c r="S146" s="11"><f>IF(13=1,0,$B$57)</f><v /></c><c r="T146" s="11"><f>-($B$57+(IF(13&lt;=$B$49,$B$56*$B$58+$B$55,IF(13&lt;=$B$49+$B$50,$B$56*$B$58,$B$56)))/R146)</f><v /></c><c r="U146" s="11"><f>IF(13=$B$49+$B$50,0,IF(13&gt;$B$49+$B$50,$B$56/R147,IF(13&gt;=$B$49,$B$56*$B$58/R147,($B$56*$B$58+$B$55)/R147)))</f><v /></c><c r="V146" s="11"><f>IF(13=$B$49,-$K$52*$B$55,0)</f><v /></c><c r="W146" s="11"><f>U146/(T146-S146*W145)</f><v /></c><c r="X146" s="11"><f>(V146-S146*X145)/(T146-S146*W145)</f><v /></c><c r="Y146" s="15"><f>X146-W146*Y147</f><v /></c><c r="Z146" s="11"><f>IF(13&gt;$B$49+$B$50,$G$53*$B$54^$H$53,$E$53*$B$52^$F$53)</f><v /></c><c r="AA146" s="11"><f>IF(13=1,0,$B$57)</f><v /></c><c r="AB146" s="11"><f>-($B$57+(IF(13&lt;=$B$49,$B$56*$B$58+$B$55,IF(13&lt;=$B$49+$B$50,$B$56*$B$58,$B$56)))/Z146)</f><v /></c><c r="AC146" s="11"><f>IF(13=$B$49+$B$50,0,IF(13&gt;$B$49+$B$50,$B$56/Z147,IF(13&gt;=$B$49,$B$56*$B$58/Z147,($B$56*$B$58+$B$55)/Z147)))</f><v /></c><c r="AD146" s="11"><f>IF(13=$B$49,-$K$53*$B$55,0)</f><v /></c><c r="AE146" s="11"><f>AC146/(AB146-AA146*AE145)</f><v /></c><c r="AF146" s="11"><f>(AD146-AA146*AF145)/(AB146-AA146*AE145)</f><v /></c><c r="AG146" s="15"><f>AF146-AE146*AG147</f><v /></c><c r="AH146" s="11"><f>IF(13&gt;$B$49+$B$50,$G$54*$B$54^$H$54,$E$54*$B$52^$F$54)</f><v /></c><c r="AI146" s="11"><f>IF(13=1,0,$B$57)</f><v /></c><c r="AJ146" s="11"><f>-($B$57+(IF(13&lt;=$B$49,$B$56*$B$58+$B$55,IF(13&lt;=$B$49+$B$50,$B$56*$B$58,$B$56)))/AH146)</f><v /></c><c r="AK146" s="11"><f>IF(13=$B$49+$B$50,0,IF(13&gt;$B$49+$B$50,$B$56/AH147,IF(13&gt;=$B$49,$B$56*$B$58/AH147,($B$56*$B$58+$B$55)/AH147)))</f><v /></c><c r="AL146" s="11"><f>IF(13=$B$49,-$K$54*$B$55,0)</f><v /></c><c r="AM146" s="11"><f>AK146/(AJ146-AI146*AM145)</f><v /></c><c r="AN146" s="11"><f>(AL146-AI146*AN145)/(AJ146-AI146*AM145)</f><v /></c><c r="AO146" s="15"><f>AN146-AM146*AO147</f><v /></c><c r="AP146" s="11"><f>IF(13&gt;$B$49+$B$50,$G$55*$B$54^$H$55,$E$55*$B$52^$F$55)</f><v /></c><c r="AQ146" s="11"><f>IF(13=1,0,$B$57)</f><v /></c><c r="AR146" s="11"><f>-($B$57+(IF(13&lt;=$B$49,$B$56*$B$58+$B$55,IF(13&lt;=$B$49+$B$50,$B$56*$B$58,$B$56)))/AP146)</f><v /></c><c r="AS146" s="11"><f>IF(13=$B$49+$B$50,0,IF(13&gt;$B$49+$B$50,$B$56/AP147,IF(13&gt;=$B$49,$B$56*$B$58/AP147,($B$56*$B$58+$B$55)/AP147)))</f><v /></c><c r="AT146" s="11"><f>IF(13=$B$49,-$K$55*$B$55,0)</f><v /></c><c r="AU146" s="11"><f>AS146/(AR146-AQ146*AU145)</f><v /></c><c r="AV146" s="11"><f>(AT146-AQ146*AV145)/(AR146-AQ146*AU145)</f><v /></c><c r="AW146" s="15"><f>AV146-AU146*AW147</f><v /></c><c r="AX146" s="11"><f>IF(13&gt;$B$49+$B$50,$G$56*$B$54^$H$56,$E$56*$B$52^$F$56)</f><v /></c><c r="AY146" s="11"><f>IF(13=1,0,$B$57)</f><v /></c><c r="AZ146" s="11"><f>-($B$57+(IF(13&lt;=$B$49,$B$56*$B$58+$B$55,IF(13&lt;=$B$49+$B$50,$B$56*$B$58,$B$56)))/AX146)</f><v /></c><c r="BA146" s="11"><f>IF(13=$B$49+$B$50,0,IF(13&gt;$B$49+$B$50,$B$56/AX147,IF(13&gt;=$B$49,$B$56*$B$58/AX147,($B$56*$B$58+$B$55)/AX147)))</f><v /></c><c r="BB146" s="11"><f>IF(13=$B$49,-$K$56*$B$55,0)</f><v /></c><c r="BC146" s="11"><f>BA146/(AZ146-AY146*BC145)</f><v /></c><c r="BD146" s="11"><f>(BB146-AY146*BD145)/(AZ146-AY146*BC145)</f><v /></c><c r="BE146" s="15"><f>BD146-BC146*BE147</f><v /></c><c r="BF146" s="11"><f>IF(13&gt;$B$49+$B$50,$G$57*$B$54^$H$57,$E$57*$B$52^$F$57)</f><v /></c><c r="BG146" s="11"><f>IF(13=1,0,$B$57)</f><v /></c><c r="BH146" s="11"><f>-($B$57+(IF(13&lt;=$B$49,$B$56*$B$58+$B$55,IF(13&lt;=$B$49+$B$50,$B$56*$B$58,$B$56)))/BF146)</f><v /></c><c r="BI146" s="11"><f>IF(13=$B$49+$B$50,0,IF(13&gt;$B$49+$B$50,$B$56/BF147,IF(13&gt;=$B$49,$B$56*$B$58/BF147,($B$56*$B$58+$B$55)/BF147)))</f><v /></c><c r="BJ146" s="11"><f>IF(13=$B$49,-$K$57*$B$55,0)</f><v /></c><c r="BK146" s="11"><f>BI146/(BH146-BG146*BK145)</f><v /></c><c r="BL146" s="11"><f>(BJ146-BG146*BL145)/(BH146-BG146*BK145)</f><v /></c><c r="BM146" s="15"><f>BL146-BK146*BM147</f><v /></c><c r="BN146" s="11"><f>IF(13&gt;$B$49+$B$50,$G$58*$B$54^$H$58,$E$58*$B$52^$F$58)</f><v /></c><c r="BO146" s="11"><f>IF(13=1,0,$B$57)</f><v /></c><c r="BP146" s="11"><f>-($B$57+(IF(13&lt;=$B$49,$B$56*$B$58+$B$55,IF(13&lt;=$B$49+$B$50,$B$56*$B$58,$B$56)))/BN146)</f><v /></c><c r="BQ146" s="11"><f>IF(13=$B$49+$B$50,0,IF(13&gt;$B$49+$B$50,$B$56/BN147,IF(13&gt;=$B$49,$B$56*$B$58/BN147,($B$56*$B$58+$B$55)/BN147)))</f><v /></c><c r="BR146" s="11"><f>IF(13=$B$49,-$K$58*$B$55,0)</f><v /></c><c r="BS146" s="11"><f>BQ146/(BP146-BO146*BS145)</f><v /></c><c r="BT146" s="11"><f>(BR146-BO146*BT145)/(BP146-BO146*BS145)</f><v /></c><c r="BU146" s="15"><f>BT146-BS146*BU147</f><v /></c><c r="BV146" s="11"><f>IF(13&gt;$B$49+$B$50,$G$59*$B$54^$H$59,$E$59*$B$52^$F$59)</f><v /></c><c r="BW146" s="11"><f>IF(13=1,0,$B$57)</f><v /></c><c r="BX146" s="11"><f>-($B$57+(IF(13&lt;=$B$49,$B$56*$B$58+$B$55,IF(13&lt;=$B$49+$B$50,$B$56*$B$58,$B$56)))/BV146)</f><v /></c><c r="BY146" s="11"><f>IF(13=$B$49+$B$50,0,IF(13&gt;$B$49+$B$50,$B$56/BV147,IF(13&gt;=$B$49,$B$56*$B$58/BV147,($B$56*$B$58+$B$55)/BV147)))</f><v /></c><c r="BZ146" s="11"><f>IF(13=$B$49,-$K$59*$B$55,0)</f><v /></c><c r="CA146" s="11"><f>BY146/(BX146-BW146*CA145)</f><v /></c><c r="CB146" s="11"><f>(BZ146-BW146*CB145)/(BX146-BW146*CA145)</f><v /></c><c r="CC146" s="15"><f>CB146-CA146*CC147</f><v /></c><c r="CD146" s="11"><f>IF(13&gt;$B$49+$B$50,$G$60*$B$54^$H$60,$E$60*$B$52^$F$60)</f><v /></c><c r="CE146" s="11"><f>IF(13=1,0,$B$57)</f><v /></c><c r="CF146" s="11"><f>-($B$57+(IF(13&lt;=$B$49,$B$56*$B$58+$B$55,IF(13&lt;=$B$49+$B$50,$B$56*$B$58,$B$56)))/CD146)</f><v /></c><c r="CG146" s="11"><f>IF(13=$B$49+$B$50,0,IF(13&gt;$B$49+$B$50,$B$56/CD147,IF(13&gt;=$B$49,$B$56*$B$58/CD147,($B$56*$B$58+$B$55)/CD147)))</f><v /></c><c r="CH146" s="11"><f>IF(13=$B$49,-$K$60*$B$55,0)</f><v /></c><c r="CI146" s="11"><f>CG146/(CF146-CE146*CI145)</f><v /></c><c r="CJ146" s="11"><f>(CH146-CE146*CJ145)/(CF146-CE146*CI145)</f><v /></c><c r="CK146" s="15"><f>CJ146-CI146*CK147</f><v /></c><c r="CL146" s="11"><f>IF(13&gt;$B$49+$B$50,$G$61*$B$54^$H$61,$E$61*$B$52^$F$61)</f><v /></c><c r="CM146" s="11"><f>IF(13=1,0,$B$57)</f><v /></c><c r="CN146" s="11"><f>-($B$57+(IF(13&lt;=$B$49,$B$56*$B$58+$B$55,IF(13&lt;=$B$49+$B$50,$B$56*$B$58,$B$56)))/CL146)</f><v /></c><c r="CO146" s="11"><f>IF(13=$B$49+$B$50,0,IF(13&gt;$B$49+$B$50,$B$56/CL147,IF(13&gt;=$B$49,$B$56*$B$58/CL147,($B$56*$B$58+$B$55)/CL147)))</f><v /></c><c r="CP146" s="11"><f>IF(13=$B$49,-$K$61*$B$55,0)</f><v /></c><c r="CQ146" s="11"><f>CO146/(CN146-CM146*CQ145)</f><v /></c><c r="CR146" s="11"><f>(CP146-CM146*CR145)/(CN146-CM146*CQ145)</f><v /></c><c r="CS146" s="15"><f>CR146-CQ146*CS147</f><v /></c><c r="CT146" s="11"><f>IF(13&gt;$B$49+$B$50,$G$62*$B$54^$H$62,$E$62*$B$52^$F$62)</f><v /></c><c r="CU146" s="11"><f>IF(13=1,0,$B$57)</f><v /></c><c r="CV146" s="11"><f>-($B$57+(IF(13&lt;=$B$49,$B$56*$B$58+$B$55,IF(13&lt;=$B$49+$B$50,$B$56*$B$58,$B$56)))/CT146)</f><v /></c><c r="CW146" s="11"><f>IF(13=$B$49+$B$50,0,IF(13&gt;$B$49+$B$50,$B$56/CT147,IF(13&gt;=$B$49,$B$56*$B$58/CT147,($B$56*$B$58+$B$55)/CT147)))</f><v /></c><c r="CX146" s="11"><f>IF(13=$B$49,-$K$62*$B$55,0)</f><v /></c><c r="CY146" s="11"><f>CW146/(CV146-CU146*CY145)</f><v /></c><c r="CZ146" s="11"><f>(CX146-CU146*CZ145)/(CV146-CU146*CY145)</f><v /></c><c r="DA146" s="15"><f>CZ146-CY146*DA147</f><v /></c><c r="DB146" s="11"><f>IF(13&gt;$B$49+$B$50,$G$63*$B$54^$H$63,$E$63*$B$52^$F$63)</f><v /></c><c r="DC146" s="11"><f>IF(13=1,0,$B$57)</f><v /></c><c r="DD146" s="11"><f>-($B$57+(IF(13&lt;=$B$49,$B$56*$B$58+$B$55,IF(13&lt;=$B$49+$B$50,$B$56*$B$58,$B$56)))/DB146)</f><v /></c><c r="DE146" s="11"><f>IF(13=$B$49+$B$50,0,IF(13&gt;$B$49+$B$50,$B$56/DB147,IF(13&gt;=$B$49,$B$56*$B$58/DB147,($B$56*$B$58+$B$55)/DB147)))</f><v /></c><c r="DF146" s="11"><f>IF(13=$B$49,-$K$63*$B$55,0)</f><v /></c><c r="DG146" s="11"><f>DE146/(DD146-DC146*DG145)</f><v /></c><c r="DH146" s="11"><f>(DF146-DC146*DH145)/(DD146-DC146*DG145)</f><v /></c><c r="DI146" s="15"><f>DH146-DG146*DI147</f><v /></c><c r="DJ146" s="11"><f>IF(13&gt;$B$49+$B$50,$G$64*$B$54^$H$64,$E$64*$B$52^$F$64)</f><v /></c><c r="DK146" s="11"><f>IF(13=1,0,$B$57)</f><v /></c><c r="DL146" s="11"><f>-($B$57+(IF(13&lt;=$B$49,$B$56*$B$58+$B$55,IF(13&lt;=$B$49+$B$50,$B$56*$B$58,$B$56)))/DJ146)</f><v /></c><c r="DM146" s="11"><f>IF(13=$B$49+$B$50,0,IF(13&gt;$B$49+$B$50,$B$56/DJ147,IF(13&gt;=$B$49,$B$56*$B$58/DJ147,($B$56*$B$58+$B$55)/DJ147)))</f><v /></c><c r="DN146" s="11"><f>IF(13=$B$49,-$K$64*$B$55,0)</f><v /></c><c r="DO146" s="11"><f>DM146/(DL146-DK146*DO145)</f><v /></c><c r="DP146" s="11"><f>(DN146-DK146*DP145)/(DL146-DK146*DO145)</f><v /></c><c r="DQ146" s="15"><f>DP146-DO146*DQ147</f><v /></c><c r="DR146" s="11"><f>IF(13&gt;$B$49+$B$50,$G$65*$B$54^$H$65,$E$65*$B$52^$F$65)</f><v /></c><c r="DS146" s="11"><f>IF(13=1,0,$B$57)</f><v /></c><c r="DT146" s="11"><f>-($B$57+(IF(13&lt;=$B$49,$B$56*$B$58+$B$55,IF(13&lt;=$B$49+$B$50,$B$56*$B$58,$B$56)))/DR146)</f><v /></c><c r="DU146" s="11"><f>IF(13=$B$49+$B$50,0,IF(13&gt;$B$49+$B$50,$B$56/DR147,IF(13&gt;=$B$49,$B$56*$B$58/DR147,($B$56*$B$58+$B$55)/DR147)))</f><v /></c><c r="DV146" s="11"><f>IF(13=$B$49,-$K$65*$B$55,0)</f><v /></c><c r="DW146" s="11"><f>DU146/(DT146-DS146*DW145)</f><v /></c><c r="DX146" s="11"><f>(DV146-DS146*DX145)/(DT146-DS146*DW145)</f><v /></c><c r="DY146" s="15"><f>DX146-DW146*DY147</f><v /></c><c r="DZ146" s="11"><f>IF(13&gt;$B$49+$B$50,$G$66*$B$54^$H$66,$E$66*$B$52^$F$66)</f><v /></c><c r="EA146" s="11"><f>IF(13=1,0,$B$57)</f><v /></c><c r="EB146" s="11"><f>-($B$57+(IF(13&lt;=$B$49,$B$56*$B$58+$B$55,IF(13&lt;=$B$49+$B$50,$B$56*$B$58,$B$56)))/DZ146)</f><v /></c><c r="EC146" s="11"><f>IF(13=$B$49+$B$50,0,IF(13&gt;$B$49+$B$50,$B$56/DZ147,IF(13&gt;=$B$49,$B$56*$B$58/DZ147,($B$56*$B$58+$B$55)/DZ147)))</f><v /></c><c r="ED146" s="11"><f>IF(13=$B$49,-$K$66*$B$55,0)</f><v /></c><c r="EE146" s="11"><f>EC146/(EB146-EA146*EE145)</f><v /></c><c r="EF146" s="11"><f>(ED146-EA146*EF145)/(EB146-EA146*EE145)</f><v /></c><c r="EG146" s="15"><f>EF146-EE146*EG147</f><v /></c><c r="EH146" s="11"><f>IF(13&gt;$B$49+$B$50,$G$67*$B$54^$H$67,$E$67*$B$52^$F$67)</f><v /></c><c r="EI146" s="11"><f>IF(13=1,0,$B$57)</f><v /></c><c r="EJ146" s="11"><f>-($B$57+(IF(13&lt;=$B$49,$B$56*$B$58+$B$55,IF(13&lt;=$B$49+$B$50,$B$56*$B$58,$B$56)))/EH146)</f><v /></c><c r="EK146" s="11"><f>IF(13=$B$49+$B$50,0,IF(13&gt;$B$49+$B$50,$B$56/EH147,IF(13&gt;=$B$49,$B$56*$B$58/EH147,($B$56*$B$58+$B$55)/EH147)))</f><v /></c><c r="EL146" s="11"><f>IF(13=$B$49,-$K$67*$B$55,0)</f><v /></c><c r="EM146" s="11"><f>EK146/(EJ146-EI146*EM145)</f><v /></c><c r="EN146" s="11"><f>(EL146-EI146*EN145)/(EJ146-EI146*EM145)</f><v /></c><c r="EO146" s="15"><f>EN146-EM146*EO147</f><v /></c><c r="EP146" s="11"><f>IF(13&gt;$B$49+$B$50,$G$68*$B$54^$H$68,$E$68*$B$52^$F$68)</f><v /></c><c r="EQ146" s="11"><f>IF(13=1,0,$B$57)</f><v /></c><c r="ER146" s="11"><f>-($B$57+(IF(13&lt;=$B$49,$B$56*$B$58+$B$55,IF(13&lt;=$B$49+$B$50,$B$56*$B$58,$B$56)))/EP146)</f><v /></c><c r="ES146" s="11"><f>IF(13=$B$49+$B$50,0,IF(13&gt;$B$49+$B$50,$B$56/EP147,IF(13&gt;=$B$49,$B$56*$B$58/EP147,($B$56*$B$58+$B$55)/EP147)))</f><v /></c><c r="ET146" s="11"><f>IF(13=$B$49,-$K$68*$B$55,0)</f><v /></c><c r="EU146" s="11"><f>ES146/(ER146-EQ146*EU145)</f><v /></c><c r="EV146" s="11"><f>(ET146-EQ146*EV145)/(ER146-EQ146*EU145)</f><v /></c><c r="EW146" s="15"><f>EV146-EU146*EW147</f><v /></c><c r="EX146" s="11"><f>IF(13&gt;$B$49+$B$50,$G$69*$B$54^$H$69,$E$69*$B$52^$F$69)</f><v /></c><c r="EY146" s="11"><f>IF(13=1,0,$B$57)</f><v /></c><c r="EZ146" s="11"><f>-($B$57+(IF(13&lt;=$B$49,$B$56*$B$58+$B$55,IF(13&lt;=$B$49+$B$50,$B$56*$B$58,$B$56)))/EX146)</f><v /></c><c r="FA146" s="11"><f>IF(13=$B$49+$B$50,0,IF(13&gt;$B$49+$B$50,$B$56/EX147,IF(13&gt;=$B$49,$B$56*$B$58/EX147,($B$56*$B$58+$B$55)/EX147)))</f><v /></c><c r="FB146" s="11"><f>IF(13=$B$49,-$K$69*$B$55,0)</f><v /></c><c r="FC146" s="11"><f>FA146/(EZ146-EY146*FC145)</f><v /></c><c r="FD146" s="11"><f>(FB146-EY146*FD145)/(EZ146-EY146*FC145)</f><v /></c><c r="FE146" s="15"><f>FD146-FC146*FE147</f><v /></c><c r="FF146" s="11"><f>IF(13&gt;$B$49+$B$50,$G$70*$B$54^$H$70,$E$70*$B$52^$F$70)</f><v /></c><c r="FG146" s="11"><f>IF(13=1,0,$B$57)</f><v /></c><c r="FH146" s="11"><f>-($B$57+(IF(13&lt;=$B$49,$B$56*$B$58+$B$55,IF(13&lt;=$B$49+$B$50,$B$56*$B$58,$B$56)))/FF146)</f><v /></c><c r="FI146" s="11"><f>IF(13=$B$49+$B$50,0,IF(13&gt;$B$49+$B$50,$B$56/FF147,IF(13&gt;=$B$49,$B$56*$B$58/FF147,($B$56*$B$58+$B$55)/FF147)))</f><v /></c><c r="FJ146" s="11"><f>IF(13=$B$49,-$K$70*$B$55,0)</f><v /></c><c r="FK146" s="11"><f>FI146/(FH146-FG146*FK145)</f><v /></c><c r="FL146" s="11"><f>(FJ146-FG146*FL145)/(FH146-FG146*FK145)</f><v /></c><c r="FM146" s="15"><f>FL146-FK146*FM147</f><v /></c><c r="FN146" s="11"><f>IF(13&gt;$B$49+$B$50,$G$71*$B$54^$H$71,$E$71*$B$52^$F$71)</f><v /></c><c r="FO146" s="11"><f>IF(13=1,0,$B$57)</f><v /></c><c r="FP146" s="11"><f>-($B$57+(IF(13&lt;=$B$49,$B$56*$B$58+$B$55,IF(13&lt;=$B$49+$B$50,$B$56*$B$58,$B$56)))/FN146)</f><v /></c><c r="FQ146" s="11"><f>IF(13=$B$49+$B$50,0,IF(13&gt;$B$49+$B$50,$B$56/FN147,IF(13&gt;=$B$49,$B$56*$B$58/FN147,($B$56*$B$58+$B$55)/FN147)))</f><v /></c><c r="FR146" s="11"><f>IF(13=$B$49,-$K$71*$B$55,0)</f><v /></c><c r="FS146" s="11"><f>FQ146/(FP146-FO146*FS145)</f><v /></c><c r="FT146" s="11"><f>(FR146-FO146*FT145)/(FP146-FO146*FS145)</f><v /></c><c r="FU146" s="15"><f>FT146-FS146*FU147</f><v /></c><c r="FV146" s="11"><f>IF(13&gt;$B$49+$B$50,$G$72*$B$54^$H$72,$E$72*$B$52^$F$72)</f><v /></c><c r="FW146" s="11"><f>IF(13=1,0,$B$57)</f><v /></c><c r="FX146" s="11"><f>-($B$57+(IF(13&lt;=$B$49,$B$56*$B$58+$B$55,IF(13&lt;=$B$49+$B$50,$B$56*$B$58,$B$56)))/FV146)</f><v /></c><c r="FY146" s="11"><f>IF(13=$B$49+$B$50,0,IF(13&gt;$B$49+$B$50,$B$56/FV147,IF(13&gt;=$B$49,$B$56*$B$58/FV147,($B$56*$B$58+$B$55)/FV147)))</f><v /></c><c r="FZ146" s="11"><f>IF(13=$B$49,-$K$72*$B$55,0)</f><v /></c><c r="GA146" s="11"><f>FY146/(FX146-FW146*GA145)</f><v /></c><c r="GB146" s="11"><f>(FZ146-FW146*GB145)/(FX146-FW146*GA145)</f><v /></c><c r="GC146" s="15"><f>GB146-GA146*GC147</f><v /></c><c r="GD146" s="11"><f>IF(13&gt;$B$49+$B$50,$G$73*$B$54^$H$73,$E$73*$B$52^$F$73)</f><v /></c><c r="GE146" s="11"><f>IF(13=1,0,$B$57)</f><v /></c><c r="GF146" s="11"><f>-($B$57+(IF(13&lt;=$B$49,$B$56*$B$58+$B$55,IF(13&lt;=$B$49+$B$50,$B$56*$B$58,$B$56)))/GD146)</f><v /></c><c r="GG146" s="11"><f>IF(13=$B$49+$B$50,0,IF(13&gt;$B$49+$B$50,$B$56/GD147,IF(13&gt;=$B$49,$B$56*$B$58/GD147,($B$56*$B$58+$B$55)/GD147)))</f><v /></c><c r="GH146" s="11"><f>IF(13=$B$49,-$K$73*$B$55,0)</f><v /></c><c r="GI146" s="11"><f>GG146/(GF146-GE146*GI145)</f><v /></c><c r="GJ146" s="11"><f>(GH146-GE146*GJ145)/(GF146-GE146*GI145)</f><v /></c><c r="GK146" s="15"><f>GJ146-GI146*GK147</f><v /></c><c r="GL146" s="11"><f>IF(13&gt;$B$49+$B$50,$G$74*$B$54^$H$74,$E$74*$B$52^$F$74)</f><v /></c><c r="GM146" s="11"><f>IF(13=1,0,$B$57)</f><v /></c><c r="GN146" s="11"><f>-($B$57+(IF(13&lt;=$B$49,$B$56*$B$58+$B$55,IF(13&lt;=$B$49+$B$50,$B$56*$B$58,$B$56)))/GL146)</f><v /></c><c r="GO146" s="11"><f>IF(13=$B$49+$B$50,0,IF(13&gt;$B$49+$B$50,$B$56/GL147,IF(13&gt;=$B$49,$B$56*$B$58/GL147,($B$56*$B$58+$B$55)/GL147)))</f><v /></c><c r="GP146" s="11"><f>IF(13=$B$49,-$K$74*$B$55,0)</f><v /></c><c r="GQ146" s="11"><f>GO146/(GN146-GM146*GQ145)</f><v /></c><c r="GR146" s="11"><f>(GP146-GM146*GR145)/(GN146-GM146*GQ145)</f><v /></c><c r="GS146" s="15"><f>GR146-GQ146*GS147</f><v /></c><c r="GT146" s="11"><f>IF(13&gt;$B$49+$B$50,$G$75*$B$54^$H$75,$E$75*$B$52^$F$75)</f><v /></c><c r="GU146" s="11"><f>IF(13=1,0,$B$57)</f><v /></c><c r="GV146" s="11"><f>-($B$57+(IF(13&lt;=$B$49,$B$56*$B$58+$B$55,IF(13&lt;=$B$49+$B$50,$B$56*$B$58,$B$56)))/GT146)</f><v /></c><c r="GW146" s="11"><f>IF(13=$B$49+$B$50,0,IF(13&gt;$B$49+$B$50,$B$56/GT147,IF(13&gt;=$B$49,$B$56*$B$58/GT147,($B$56*$B$58+$B$55)/GT147)))</f><v /></c><c r="GX146" s="11"><f>IF(13=$B$49,-$K$75*$B$55,0)</f><v /></c><c r="GY146" s="11"><f>GW146/(GV146-GU146*GY145)</f><v /></c><c r="GZ146" s="11"><f>(GX146-GU146*GZ145)/(GV146-GU146*GY145)</f><v /></c><c r="HA146" s="15"><f>GZ146-GY146*HA147</f><v /></c><c r="HB146" s="13"><f>IFERROR(I146/B146,0)</f><v /></c><c r="HC146" s="13"><f>IFERROR(Q146/J146,0)</f><v /></c><c r="HD146" s="13"><f>IFERROR(Y146/R146,0)</f><v /></c><c r="HE146" s="13"><f>IFERROR(AG146/Z146,0)</f><v /></c><c r="HF146" s="13"><f>IFERROR(AO146/AH146,0)</f><v /></c><c r="HG146" s="13"><f>IFERROR(AW146/AP146,0)</f><v /></c><c r="HH146" s="13"><f>IFERROR(BE146/AX146,0)</f><v /></c><c r="HI146" s="13"><f>IFERROR(BM146/BF146,0)</f><v /></c><c r="HJ146" s="13"><f>IFERROR(BU146/BN146,0)</f><v /></c><c r="HK146" s="13"><f>IFERROR(CC146/BV146,0)</f><v /></c><c r="HL146" s="13"><f>IFERROR(CK146/CD146,0)</f><v /></c><c r="HM146" s="13"><f>IFERROR(CS146/CL146,0)</f><v /></c><c r="HN146" s="13"><f>IFERROR(DA146/CT146,0)</f><v /></c><c r="HO146" s="13"><f>IFERROR(DI146/DB146,0)</f><v /></c><c r="HP146" s="13"><f>IFERROR(DQ146/DJ146,0)</f><v /></c><c r="HQ146" s="13"><f>IFERROR(DY146/DR146,0)</f><v /></c><c r="HR146" s="13"><f>IFERROR(EG146/DZ146,0)</f><v /></c><c r="HS146" s="13"><f>IFERROR(EO146/EH146,0)</f><v /></c><c r="HT146" s="13"><f>IFERROR(EW146/EP146,0)</f><v /></c><c r="HU146" s="13"><f>IFERROR(FE146/EX146,0)</f><v /></c><c r="HV146" s="13"><f>IFERROR(FM146/FF146,0)</f><v /></c><c r="HW146" s="13"><f>IFERROR(FU146/FN146,0)</f><v /></c><c r="HX146" s="13"><f>IFERROR(GC146/FV146,0)</f><v /></c><c r="HY146" s="13"><f>IFERROR(GK146/GD146,0)</f><v /></c><c r="HZ146" s="13"><f>IFERROR(GS146/GL146,0)</f><v /></c><c r="IA146" s="13"><f>IFERROR(HA146/GT146,0)</f><v /></c><c r="IB146" s="13"><f>I146+Q146+Y146+AG146+AO146+AW146+BE146+BM146+BU146+CC146+CK146+CS146+DA146+DI146+DQ146+DY146+EG146+EO146+EW146+FE146+FM146+FU146+GC146+GK146+GS146+HA146</f><v /></c><c r="IC146" s="13"><f>HB146+HC146+HD146+HE146+HF146+HG146+HH146+HI146+HJ146+HK146+HL146+HM146+HN146+HO146+HP146+HQ146+HR146+HS146+HT146+HU146+HV146+HW146+HX146+HY146+HZ146+IA146</f><v /></c></row><row r="147" ht="14" customHeight="1"><c r="A147" s="25" t="n"><v>14</v></c><c r="B147" s="11"><f>IF(14&gt;$B$49+$B$50,$G$50*$B$54^$H$50,$E$50*$B$52^$F$50)</f><v /></c><c r="C147" s="11"><f>IF(14=1,0,$B$57)</f><v /></c><c r="D147" s="11"><f>-($B$57+(IF(14&lt;=$B$49,$B$56*$B$58+$B$55,IF(14&lt;=$B$49+$B$50,$B$56*$B$58,$B$56)))/B147)</f><v /></c><c r="E147" s="11"><f>IF(14=$B$49+$B$50,0,IF(14&gt;$B$49+$B$50,$B$56/B148,IF(14&gt;=$B$49,$B$56*$B$58/B148,($B$56*$B$58+$B$55)/B148)))</f><v /></c><c r="F147" s="11"><f>IF(14=$B$49,-$K$50*$B$55,0)</f><v /></c><c r="G147" s="11"><f>E147/(D147-C147*G146)</f><v /></c><c r="H147" s="11"><f>(F147-C147*H146)/(D147-C147*G146)</f><v /></c><c r="I147" s="15"><f>H147-G147*I148</f><v /></c><c r="J147" s="11"><f>IF(14&gt;$B$49+$B$50,$G$51*$B$54^$H$51,$E$51*$B$52^$F$51)</f><v /></c><c r="K147" s="11"><f>IF(14=1,0,$B$57)</f><v /></c><c r="L147" s="11"><f>-($B$57+(IF(14&lt;=$B$49,$B$56*$B$58+$B$55,IF(14&lt;=$B$49+$B$50,$B$56*$B$58,$B$56)))/J147)</f><v /></c><c r="M147" s="11"><f>IF(14=$B$49+$B$50,0,IF(14&gt;$B$49+$B$50,$B$56/J148,IF(14&gt;=$B$49,$B$56*$B$58/J148,($B$56*$B$58+$B$55)/J148)))</f><v /></c><c r="N147" s="11"><f>IF(14=$B$49,-$K$51*$B$55,0)</f><v /></c><c r="O147" s="11"><f>M147/(L147-K147*O146)</f><v /></c><c r="P147" s="11"><f>(N147-K147*P146)/(L147-K147*O146)</f><v /></c><c r="Q147" s="15"><f>P147-O147*Q148</f><v /></c><c r="R147" s="11"><f>IF(14&gt;$B$49+$B$50,$G$52*$B$54^$H$52,$E$52*$B$52^$F$52)</f><v /></c><c r="S147" s="11"><f>IF(14=1,0,$B$57)</f><v /></c><c r="T147" s="11"><f>-($B$57+(IF(14&lt;=$B$49,$B$56*$B$58+$B$55,IF(14&lt;=$B$49+$B$50,$B$56*$B$58,$B$56)))/R147)</f><v /></c><c r="U147" s="11"><f>IF(14=$B$49+$B$50,0,IF(14&gt;$B$49+$B$50,$B$56/R148,IF(14&gt;=$B$49,$B$56*$B$58/R148,($B$56*$B$58+$B$55)/R148)))</f><v /></c><c r="V147" s="11"><f>IF(14=$B$49,-$K$52*$B$55,0)</f><v /></c><c r="W147" s="11"><f>U147/(T147-S147*W146)</f><v /></c><c r="X147" s="11"><f>(V147-S147*X146)/(T147-S147*W146)</f><v /></c><c r="Y147" s="15"><f>X147-W147*Y148</f><v /></c><c r="Z147" s="11"><f>IF(14&gt;$B$49+$B$50,$G$53*$B$54^$H$53,$E$53*$B$52^$F$53)</f><v /></c><c r="AA147" s="11"><f>IF(14=1,0,$B$57)</f><v /></c><c r="AB147" s="11"><f>-($B$57+(IF(14&lt;=$B$49,$B$56*$B$58+$B$55,IF(14&lt;=$B$49+$B$50,$B$56*$B$58,$B$56)))/Z147)</f><v /></c><c r="AC147" s="11"><f>IF(14=$B$49+$B$50,0,IF(14&gt;$B$49+$B$50,$B$56/Z148,IF(14&gt;=$B$49,$B$56*$B$58/Z148,($B$56*$B$58+$B$55)/Z148)))</f><v /></c><c r="AD147" s="11"><f>IF(14=$B$49,-$K$53*$B$55,0)</f><v /></c><c r="AE147" s="11"><f>AC147/(AB147-AA147*AE146)</f><v /></c><c r="AF147" s="11"><f>(AD147-AA147*AF146)/(AB147-AA147*AE146)</f><v /></c><c r="AG147" s="15"><f>AF147-AE147*AG148</f><v /></c><c r="AH147" s="11"><f>IF(14&gt;$B$49+$B$50,$G$54*$B$54^$H$54,$E$54*$B$52^$F$54)</f><v /></c><c r="AI147" s="11"><f>IF(14=1,0,$B$57)</f><v /></c><c r="AJ147" s="11"><f>-($B$57+(IF(14&lt;=$B$49,$B$56*$B$58+$B$55,IF(14&lt;=$B$49+$B$50,$B$56*$B$58,$B$56)))/AH147)</f><v /></c><c r="AK147" s="11"><f>IF(14=$B$49+$B$50,0,IF(14&gt;$B$49+$B$50,$B$56/AH148,IF(14&gt;=$B$49,$B$56*$B$58/AH148,($B$56*$B$58+$B$55)/AH148)))</f><v /></c><c r="AL147" s="11"><f>IF(14=$B$49,-$K$54*$B$55,0)</f><v /></c><c r="AM147" s="11"><f>AK147/(AJ147-AI147*AM146)</f><v /></c><c r="AN147" s="11"><f>(AL147-AI147*AN146)/(AJ147-AI147*AM146)</f><v /></c><c r="AO147" s="15"><f>AN147-AM147*AO148</f><v /></c><c r="AP147" s="11"><f>IF(14&gt;$B$49+$B$50,$G$55*$B$54^$H$55,$E$55*$B$52^$F$55)</f><v /></c><c r="AQ147" s="11"><f>IF(14=1,0,$B$57)</f><v /></c><c r="AR147" s="11"><f>-($B$57+(IF(14&lt;=$B$49,$B$56*$B$58+$B$55,IF(14&lt;=$B$49+$B$50,$B$56*$B$58,$B$56)))/AP147)</f><v /></c><c r="AS147" s="11"><f>IF(14=$B$49+$B$50,0,IF(14&gt;$B$49+$B$50,$B$56/AP148,IF(14&gt;=$B$49,$B$56*$B$58/AP148,($B$56*$B$58+$B$55)/AP148)))</f><v /></c><c r="AT147" s="11"><f>IF(14=$B$49,-$K$55*$B$55,0)</f><v /></c><c r="AU147" s="11"><f>AS147/(AR147-AQ147*AU146)</f><v /></c><c r="AV147" s="11"><f>(AT147-AQ147*AV146)/(AR147-AQ147*AU146)</f><v /></c><c r="AW147" s="15"><f>AV147-AU147*AW148</f><v /></c><c r="AX147" s="11"><f>IF(14&gt;$B$49+$B$50,$G$56*$B$54^$H$56,$E$56*$B$52^$F$56)</f><v /></c><c r="AY147" s="11"><f>IF(14=1,0,$B$57)</f><v /></c><c r="AZ147" s="11"><f>-($B$57+(IF(14&lt;=$B$49,$B$56*$B$58+$B$55,IF(14&lt;=$B$49+$B$50,$B$56*$B$58,$B$56)))/AX147)</f><v /></c><c r="BA147" s="11"><f>IF(14=$B$49+$B$50,0,IF(14&gt;$B$49+$B$50,$B$56/AX148,IF(14&gt;=$B$49,$B$56*$B$58/AX148,($B$56*$B$58+$B$55)/AX148)))</f><v /></c><c r="BB147" s="11"><f>IF(14=$B$49,-$K$56*$B$55,0)</f><v /></c><c r="BC147" s="11"><f>BA147/(AZ147-AY147*BC146)</f><v /></c><c r="BD147" s="11"><f>(BB147-AY147*BD146)/(AZ147-AY147*BC146)</f><v /></c><c r="BE147" s="15"><f>BD147-BC147*BE148</f><v /></c><c r="BF147" s="11"><f>IF(14&gt;$B$49+$B$50,$G$57*$B$54^$H$57,$E$57*$B$52^$F$57)</f><v /></c><c r="BG147" s="11"><f>IF(14=1,0,$B$57)</f><v /></c><c r="BH147" s="11"><f>-($B$57+(IF(14&lt;=$B$49,$B$56*$B$58+$B$55,IF(14&lt;=$B$49+$B$50,$B$56*$B$58,$B$56)))/BF147)</f><v /></c><c r="BI147" s="11"><f>IF(14=$B$49+$B$50,0,IF(14&gt;$B$49+$B$50,$B$56/BF148,IF(14&gt;=$B$49,$B$56*$B$58/BF148,($B$56*$B$58+$B$55)/BF148)))</f><v /></c><c r="BJ147" s="11"><f>IF(14=$B$49,-$K$57*$B$55,0)</f><v /></c><c r="BK147" s="11"><f>BI147/(BH147-BG147*BK146)</f><v /></c><c r="BL147" s="11"><f>(BJ147-BG147*BL146)/(BH147-BG147*BK146)</f><v /></c><c r="BM147" s="15"><f>BL147-BK147*BM148</f><v /></c><c r="BN147" s="11"><f>IF(14&gt;$B$49+$B$50,$G$58*$B$54^$H$58,$E$58*$B$52^$F$58)</f><v /></c><c r="BO147" s="11"><f>IF(14=1,0,$B$57)</f><v /></c><c r="BP147" s="11"><f>-($B$57+(IF(14&lt;=$B$49,$B$56*$B$58+$B$55,IF(14&lt;=$B$49+$B$50,$B$56*$B$58,$B$56)))/BN147)</f><v /></c><c r="BQ147" s="11"><f>IF(14=$B$49+$B$50,0,IF(14&gt;$B$49+$B$50,$B$56/BN148,IF(14&gt;=$B$49,$B$56*$B$58/BN148,($B$56*$B$58+$B$55)/BN148)))</f><v /></c><c r="BR147" s="11"><f>IF(14=$B$49,-$K$58*$B$55,0)</f><v /></c><c r="BS147" s="11"><f>BQ147/(BP147-BO147*BS146)</f><v /></c><c r="BT147" s="11"><f>(BR147-BO147*BT146)/(BP147-BO147*BS146)</f><v /></c><c r="BU147" s="15"><f>BT147-BS147*BU148</f><v /></c><c r="BV147" s="11"><f>IF(14&gt;$B$49+$B$50,$G$59*$B$54^$H$59,$E$59*$B$52^$F$59)</f><v /></c><c r="BW147" s="11"><f>IF(14=1,0,$B$57)</f><v /></c><c r="BX147" s="11"><f>-($B$57+(IF(14&lt;=$B$49,$B$56*$B$58+$B$55,IF(14&lt;=$B$49+$B$50,$B$56*$B$58,$B$56)))/BV147)</f><v /></c><c r="BY147" s="11"><f>IF(14=$B$49+$B$50,0,IF(14&gt;$B$49+$B$50,$B$56/BV148,IF(14&gt;=$B$49,$B$56*$B$58/BV148,($B$56*$B$58+$B$55)/BV148)))</f><v /></c><c r="BZ147" s="11"><f>IF(14=$B$49,-$K$59*$B$55,0)</f><v /></c><c r="CA147" s="11"><f>BY147/(BX147-BW147*CA146)</f><v /></c><c r="CB147" s="11"><f>(BZ147-BW147*CB146)/(BX147-BW147*CA146)</f><v /></c><c r="CC147" s="15"><f>CB147-CA147*CC148</f><v /></c><c r="CD147" s="11"><f>IF(14&gt;$B$49+$B$50,$G$60*$B$54^$H$60,$E$60*$B$52^$F$60)</f><v /></c><c r="CE147" s="11"><f>IF(14=1,0,$B$57)</f><v /></c><c r="CF147" s="11"><f>-($B$57+(IF(14&lt;=$B$49,$B$56*$B$58+$B$55,IF(14&lt;=$B$49+$B$50,$B$56*$B$58,$B$56)))/CD147)</f><v /></c><c r="CG147" s="11"><f>IF(14=$B$49+$B$50,0,IF(14&gt;$B$49+$B$50,$B$56/CD148,IF(14&gt;=$B$49,$B$56*$B$58/CD148,($B$56*$B$58+$B$55)/CD148)))</f><v /></c><c r="CH147" s="11"><f>IF(14=$B$49,-$K$60*$B$55,0)</f><v /></c><c r="CI147" s="11"><f>CG147/(CF147-CE147*CI146)</f><v /></c><c r="CJ147" s="11"><f>(CH147-CE147*CJ146)/(CF147-CE147*CI146)</f><v /></c><c r="CK147" s="15"><f>CJ147-CI147*CK148</f><v /></c><c r="CL147" s="11"><f>IF(14&gt;$B$49+$B$50,$G$61*$B$54^$H$61,$E$61*$B$52^$F$61)</f><v /></c><c r="CM147" s="11"><f>IF(14=1,0,$B$57)</f><v /></c><c r="CN147" s="11"><f>-($B$57+(IF(14&lt;=$B$49,$B$56*$B$58+$B$55,IF(14&lt;=$B$49+$B$50,$B$56*$B$58,$B$56)))/CL147)</f><v /></c><c r="CO147" s="11"><f>IF(14=$B$49+$B$50,0,IF(14&gt;$B$49+$B$50,$B$56/CL148,IF(14&gt;=$B$49,$B$56*$B$58/CL148,($B$56*$B$58+$B$55)/CL148)))</f><v /></c><c r="CP147" s="11"><f>IF(14=$B$49,-$K$61*$B$55,0)</f><v /></c><c r="CQ147" s="11"><f>CO147/(CN147-CM147*CQ146)</f><v /></c><c r="CR147" s="11"><f>(CP147-CM147*CR146)/(CN147-CM147*CQ146)</f><v /></c><c r="CS147" s="15"><f>CR147-CQ147*CS148</f><v /></c><c r="CT147" s="11"><f>IF(14&gt;$B$49+$B$50,$G$62*$B$54^$H$62,$E$62*$B$52^$F$62)</f><v /></c><c r="CU147" s="11"><f>IF(14=1,0,$B$57)</f><v /></c><c r="CV147" s="11"><f>-($B$57+(IF(14&lt;=$B$49,$B$56*$B$58+$B$55,IF(14&lt;=$B$49+$B$50,$B$56*$B$58,$B$56)))/CT147)</f><v /></c><c r="CW147" s="11"><f>IF(14=$B$49+$B$50,0,IF(14&gt;$B$49+$B$50,$B$56/CT148,IF(14&gt;=$B$49,$B$56*$B$58/CT148,($B$56*$B$58+$B$55)/CT148)))</f><v /></c><c r="CX147" s="11"><f>IF(14=$B$49,-$K$62*$B$55,0)</f><v /></c><c r="CY147" s="11"><f>CW147/(CV147-CU147*CY146)</f><v /></c><c r="CZ147" s="11"><f>(CX147-CU147*CZ146)/(CV147-CU147*CY146)</f><v /></c><c r="DA147" s="15"><f>CZ147-CY147*DA148</f><v /></c><c r="DB147" s="11"><f>IF(14&gt;$B$49+$B$50,$G$63*$B$54^$H$63,$E$63*$B$52^$F$63)</f><v /></c><c r="DC147" s="11"><f>IF(14=1,0,$B$57)</f><v /></c><c r="DD147" s="11"><f>-($B$57+(IF(14&lt;=$B$49,$B$56*$B$58+$B$55,IF(14&lt;=$B$49+$B$50,$B$56*$B$58,$B$56)))/DB147)</f><v /></c><c r="DE147" s="11"><f>IF(14=$B$49+$B$50,0,IF(14&gt;$B$49+$B$50,$B$56/DB148,IF(14&gt;=$B$49,$B$56*$B$58/DB148,($B$56*$B$58+$B$55)/DB148)))</f><v /></c><c r="DF147" s="11"><f>IF(14=$B$49,-$K$63*$B$55,0)</f><v /></c><c r="DG147" s="11"><f>DE147/(DD147-DC147*DG146)</f><v /></c><c r="DH147" s="11"><f>(DF147-DC147*DH146)/(DD147-DC147*DG146)</f><v /></c><c r="DI147" s="15"><f>DH147-DG147*DI148</f><v /></c><c r="DJ147" s="11"><f>IF(14&gt;$B$49+$B$50,$G$64*$B$54^$H$64,$E$64*$B$52^$F$64)</f><v /></c><c r="DK147" s="11"><f>IF(14=1,0,$B$57)</f><v /></c><c r="DL147" s="11"><f>-($B$57+(IF(14&lt;=$B$49,$B$56*$B$58+$B$55,IF(14&lt;=$B$49+$B$50,$B$56*$B$58,$B$56)))/DJ147)</f><v /></c><c r="DM147" s="11"><f>IF(14=$B$49+$B$50,0,IF(14&gt;$B$49+$B$50,$B$56/DJ148,IF(14&gt;=$B$49,$B$56*$B$58/DJ148,($B$56*$B$58+$B$55)/DJ148)))</f><v /></c><c r="DN147" s="11"><f>IF(14=$B$49,-$K$64*$B$55,0)</f><v /></c><c r="DO147" s="11"><f>DM147/(DL147-DK147*DO146)</f><v /></c><c r="DP147" s="11"><f>(DN147-DK147*DP146)/(DL147-DK147*DO146)</f><v /></c><c r="DQ147" s="15"><f>DP147-DO147*DQ148</f><v /></c><c r="DR147" s="11"><f>IF(14&gt;$B$49+$B$50,$G$65*$B$54^$H$65,$E$65*$B$52^$F$65)</f><v /></c><c r="DS147" s="11"><f>IF(14=1,0,$B$57)</f><v /></c><c r="DT147" s="11"><f>-($B$57+(IF(14&lt;=$B$49,$B$56*$B$58+$B$55,IF(14&lt;=$B$49+$B$50,$B$56*$B$58,$B$56)))/DR147)</f><v /></c><c r="DU147" s="11"><f>IF(14=$B$49+$B$50,0,IF(14&gt;$B$49+$B$50,$B$56/DR148,IF(14&gt;=$B$49,$B$56*$B$58/DR148,($B$56*$B$58+$B$55)/DR148)))</f><v /></c><c r="DV147" s="11"><f>IF(14=$B$49,-$K$65*$B$55,0)</f><v /></c><c r="DW147" s="11"><f>DU147/(DT147-DS147*DW146)</f><v /></c><c r="DX147" s="11"><f>(DV147-DS147*DX146)/(DT147-DS147*DW146)</f><v /></c><c r="DY147" s="15"><f>DX147-DW147*DY148</f><v /></c><c r="DZ147" s="11"><f>IF(14&gt;$B$49+$B$50,$G$66*$B$54^$H$66,$E$66*$B$52^$F$66)</f><v /></c><c r="EA147" s="11"><f>IF(14=1,0,$B$57)</f><v /></c><c r="EB147" s="11"><f>-($B$57+(IF(14&lt;=$B$49,$B$56*$B$58+$B$55,IF(14&lt;=$B$49+$B$50,$B$56*$B$58,$B$56)))/DZ147)</f><v /></c><c r="EC147" s="11"><f>IF(14=$B$49+$B$50,0,IF(14&gt;$B$49+$B$50,$B$56/DZ148,IF(14&gt;=$B$49,$B$56*$B$58/DZ148,($B$56*$B$58+$B$55)/DZ148)))</f><v /></c><c r="ED147" s="11"><f>IF(14=$B$49,-$K$66*$B$55,0)</f><v /></c><c r="EE147" s="11"><f>EC147/(EB147-EA147*EE146)</f><v /></c><c r="EF147" s="11"><f>(ED147-EA147*EF146)/(EB147-EA147*EE146)</f><v /></c><c r="EG147" s="15"><f>EF147-EE147*EG148</f><v /></c><c r="EH147" s="11"><f>IF(14&gt;$B$49+$B$50,$G$67*$B$54^$H$67,$E$67*$B$52^$F$67)</f><v /></c><c r="EI147" s="11"><f>IF(14=1,0,$B$57)</f><v /></c><c r="EJ147" s="11"><f>-($B$57+(IF(14&lt;=$B$49,$B$56*$B$58+$B$55,IF(14&lt;=$B$49+$B$50,$B$56*$B$58,$B$56)))/EH147)</f><v /></c><c r="EK147" s="11"><f>IF(14=$B$49+$B$50,0,IF(14&gt;$B$49+$B$50,$B$56/EH148,IF(14&gt;=$B$49,$B$56*$B$58/EH148,($B$56*$B$58+$B$55)/EH148)))</f><v /></c><c r="EL147" s="11"><f>IF(14=$B$49,-$K$67*$B$55,0)</f><v /></c><c r="EM147" s="11"><f>EK147/(EJ147-EI147*EM146)</f><v /></c><c r="EN147" s="11"><f>(EL147-EI147*EN146)/(EJ147-EI147*EM146)</f><v /></c><c r="EO147" s="15"><f>EN147-EM147*EO148</f><v /></c><c r="EP147" s="11"><f>IF(14&gt;$B$49+$B$50,$G$68*$B$54^$H$68,$E$68*$B$52^$F$68)</f><v /></c><c r="EQ147" s="11"><f>IF(14=1,0,$B$57)</f><v /></c><c r="ER147" s="11"><f>-($B$57+(IF(14&lt;=$B$49,$B$56*$B$58+$B$55,IF(14&lt;=$B$49+$B$50,$B$56*$B$58,$B$56)))/EP147)</f><v /></c><c r="ES147" s="11"><f>IF(14=$B$49+$B$50,0,IF(14&gt;$B$49+$B$50,$B$56/EP148,IF(14&gt;=$B$49,$B$56*$B$58/EP148,($B$56*$B$58+$B$55)/EP148)))</f><v /></c><c r="ET147" s="11"><f>IF(14=$B$49,-$K$68*$B$55,0)</f><v /></c><c r="EU147" s="11"><f>ES147/(ER147-EQ147*EU146)</f><v /></c><c r="EV147" s="11"><f>(ET147-EQ147*EV146)/(ER147-EQ147*EU146)</f><v /></c><c r="EW147" s="15"><f>EV147-EU147*EW148</f><v /></c><c r="EX147" s="11"><f>IF(14&gt;$B$49+$B$50,$G$69*$B$54^$H$69,$E$69*$B$52^$F$69)</f><v /></c><c r="EY147" s="11"><f>IF(14=1,0,$B$57)</f><v /></c><c r="EZ147" s="11"><f>-($B$57+(IF(14&lt;=$B$49,$B$56*$B$58+$B$55,IF(14&lt;=$B$49+$B$50,$B$56*$B$58,$B$56)))/EX147)</f><v /></c><c r="FA147" s="11"><f>IF(14=$B$49+$B$50,0,IF(14&gt;$B$49+$B$50,$B$56/EX148,IF(14&gt;=$B$49,$B$56*$B$58/EX148,($B$56*$B$58+$B$55)/EX148)))</f><v /></c><c r="FB147" s="11"><f>IF(14=$B$49,-$K$69*$B$55,0)</f><v /></c><c r="FC147" s="11"><f>FA147/(EZ147-EY147*FC146)</f><v /></c><c r="FD147" s="11"><f>(FB147-EY147*FD146)/(EZ147-EY147*FC146)</f><v /></c><c r="FE147" s="15"><f>FD147-FC147*FE148</f><v /></c><c r="FF147" s="11"><f>IF(14&gt;$B$49+$B$50,$G$70*$B$54^$H$70,$E$70*$B$52^$F$70)</f><v /></c><c r="FG147" s="11"><f>IF(14=1,0,$B$57)</f><v /></c><c r="FH147" s="11"><f>-($B$57+(IF(14&lt;=$B$49,$B$56*$B$58+$B$55,IF(14&lt;=$B$49+$B$50,$B$56*$B$58,$B$56)))/FF147)</f><v /></c><c r="FI147" s="11"><f>IF(14=$B$49+$B$50,0,IF(14&gt;$B$49+$B$50,$B$56/FF148,IF(14&gt;=$B$49,$B$56*$B$58/FF148,($B$56*$B$58+$B$55)/FF148)))</f><v /></c><c r="FJ147" s="11"><f>IF(14=$B$49,-$K$70*$B$55,0)</f><v /></c><c r="FK147" s="11"><f>FI147/(FH147-FG147*FK146)</f><v /></c><c r="FL147" s="11"><f>(FJ147-FG147*FL146)/(FH147-FG147*FK146)</f><v /></c><c r="FM147" s="15"><f>FL147-FK147*FM148</f><v /></c><c r="FN147" s="11"><f>IF(14&gt;$B$49+$B$50,$G$71*$B$54^$H$71,$E$71*$B$52^$F$71)</f><v /></c><c r="FO147" s="11"><f>IF(14=1,0,$B$57)</f><v /></c><c r="FP147" s="11"><f>-($B$57+(IF(14&lt;=$B$49,$B$56*$B$58+$B$55,IF(14&lt;=$B$49+$B$50,$B$56*$B$58,$B$56)))/FN147)</f><v /></c><c r="FQ147" s="11"><f>IF(14=$B$49+$B$50,0,IF(14&gt;$B$49+$B$50,$B$56/FN148,IF(14&gt;=$B$49,$B$56*$B$58/FN148,($B$56*$B$58+$B$55)/FN148)))</f><v /></c><c r="FR147" s="11"><f>IF(14=$B$49,-$K$71*$B$55,0)</f><v /></c><c r="FS147" s="11"><f>FQ147/(FP147-FO147*FS146)</f><v /></c><c r="FT147" s="11"><f>(FR147-FO147*FT146)/(FP147-FO147*FS146)</f><v /></c><c r="FU147" s="15"><f>FT147-FS147*FU148</f><v /></c><c r="FV147" s="11"><f>IF(14&gt;$B$49+$B$50,$G$72*$B$54^$H$72,$E$72*$B$52^$F$72)</f><v /></c><c r="FW147" s="11"><f>IF(14=1,0,$B$57)</f><v /></c><c r="FX147" s="11"><f>-($B$57+(IF(14&lt;=$B$49,$B$56*$B$58+$B$55,IF(14&lt;=$B$49+$B$50,$B$56*$B$58,$B$56)))/FV147)</f><v /></c><c r="FY147" s="11"><f>IF(14=$B$49+$B$50,0,IF(14&gt;$B$49+$B$50,$B$56/FV148,IF(14&gt;=$B$49,$B$56*$B$58/FV148,($B$56*$B$58+$B$55)/FV148)))</f><v /></c><c r="FZ147" s="11"><f>IF(14=$B$49,-$K$72*$B$55,0)</f><v /></c><c r="GA147" s="11"><f>FY147/(FX147-FW147*GA146)</f><v /></c><c r="GB147" s="11"><f>(FZ147-FW147*GB146)/(FX147-FW147*GA146)</f><v /></c><c r="GC147" s="15"><f>GB147-GA147*GC148</f><v /></c><c r="GD147" s="11"><f>IF(14&gt;$B$49+$B$50,$G$73*$B$54^$H$73,$E$73*$B$52^$F$73)</f><v /></c><c r="GE147" s="11"><f>IF(14=1,0,$B$57)</f><v /></c><c r="GF147" s="11"><f>-($B$57+(IF(14&lt;=$B$49,$B$56*$B$58+$B$55,IF(14&lt;=$B$49+$B$50,$B$56*$B$58,$B$56)))/GD147)</f><v /></c><c r="GG147" s="11"><f>IF(14=$B$49+$B$50,0,IF(14&gt;$B$49+$B$50,$B$56/GD148,IF(14&gt;=$B$49,$B$56*$B$58/GD148,($B$56*$B$58+$B$55)/GD148)))</f><v /></c><c r="GH147" s="11"><f>IF(14=$B$49,-$K$73*$B$55,0)</f><v /></c><c r="GI147" s="11"><f>GG147/(GF147-GE147*GI146)</f><v /></c><c r="GJ147" s="11"><f>(GH147-GE147*GJ146)/(GF147-GE147*GI146)</f><v /></c><c r="GK147" s="15"><f>GJ147-GI147*GK148</f><v /></c><c r="GL147" s="11"><f>IF(14&gt;$B$49+$B$50,$G$74*$B$54^$H$74,$E$74*$B$52^$F$74)</f><v /></c><c r="GM147" s="11"><f>IF(14=1,0,$B$57)</f><v /></c><c r="GN147" s="11"><f>-($B$57+(IF(14&lt;=$B$49,$B$56*$B$58+$B$55,IF(14&lt;=$B$49+$B$50,$B$56*$B$58,$B$56)))/GL147)</f><v /></c><c r="GO147" s="11"><f>IF(14=$B$49+$B$50,0,IF(14&gt;$B$49+$B$50,$B$56/GL148,IF(14&gt;=$B$49,$B$56*$B$58/GL148,($B$56*$B$58+$B$55)/GL148)))</f><v /></c><c r="GP147" s="11"><f>IF(14=$B$49,-$K$74*$B$55,0)</f><v /></c><c r="GQ147" s="11"><f>GO147/(GN147-GM147*GQ146)</f><v /></c><c r="GR147" s="11"><f>(GP147-GM147*GR146)/(GN147-GM147*GQ146)</f><v /></c><c r="GS147" s="15"><f>GR147-GQ147*GS148</f><v /></c><c r="GT147" s="11"><f>IF(14&gt;$B$49+$B$50,$G$75*$B$54^$H$75,$E$75*$B$52^$F$75)</f><v /></c><c r="GU147" s="11"><f>IF(14=1,0,$B$57)</f><v /></c><c r="GV147" s="11"><f>-($B$57+(IF(14&lt;=$B$49,$B$56*$B$58+$B$55,IF(14&lt;=$B$49+$B$50,$B$56*$B$58,$B$56)))/GT147)</f><v /></c><c r="GW147" s="11"><f>IF(14=$B$49+$B$50,0,IF(14&gt;$B$49+$B$50,$B$56/GT148,IF(14&gt;=$B$49,$B$56*$B$58/GT148,($B$56*$B$58+$B$55)/GT148)))</f><v /></c><c r="GX147" s="11"><f>IF(14=$B$49,-$K$75*$B$55,0)</f><v /></c><c r="GY147" s="11"><f>GW147/(GV147-GU147*GY146)</f><v /></c><c r="GZ147" s="11"><f>(GX147-GU147*GZ146)/(GV147-GU147*GY146)</f><v /></c><c r="HA147" s="15"><f>GZ147-GY147*HA148</f><v /></c><c r="HB147" s="13"><f>IFERROR(I147/B147,0)</f><v /></c><c r="HC147" s="13"><f>IFERROR(Q147/J147,0)</f><v /></c><c r="HD147" s="13"><f>IFERROR(Y147/R147,0)</f><v /></c><c r="HE147" s="13"><f>IFERROR(AG147/Z147,0)</f><v /></c><c r="HF147" s="13"><f>IFERROR(AO147/AH147,0)</f><v /></c><c r="HG147" s="13"><f>IFERROR(AW147/AP147,0)</f><v /></c><c r="HH147" s="13"><f>IFERROR(BE147/AX147,0)</f><v /></c><c r="HI147" s="13"><f>IFERROR(BM147/BF147,0)</f><v /></c><c r="HJ147" s="13"><f>IFERROR(BU147/BN147,0)</f><v /></c><c r="HK147" s="13"><f>IFERROR(CC147/BV147,0)</f><v /></c><c r="HL147" s="13"><f>IFERROR(CK147/CD147,0)</f><v /></c><c r="HM147" s="13"><f>IFERROR(CS147/CL147,0)</f><v /></c><c r="HN147" s="13"><f>IFERROR(DA147/CT147,0)</f><v /></c><c r="HO147" s="13"><f>IFERROR(DI147/DB147,0)</f><v /></c><c r="HP147" s="13"><f>IFERROR(DQ147/DJ147,0)</f><v /></c><c r="HQ147" s="13"><f>IFERROR(DY147/DR147,0)</f><v /></c><c r="HR147" s="13"><f>IFERROR(EG147/DZ147,0)</f><v /></c><c r="HS147" s="13"><f>IFERROR(EO147/EH147,0)</f><v /></c><c r="HT147" s="13"><f>IFERROR(EW147/EP147,0)</f><v /></c><c r="HU147" s="13"><f>IFERROR(FE147/EX147,0)</f><v /></c><c r="HV147" s="13"><f>IFERROR(FM147/FF147,0)</f><v /></c><c r="HW147" s="13"><f>IFERROR(FU147/FN147,0)</f><v /></c><c r="HX147" s="13"><f>IFERROR(GC147/FV147,0)</f><v /></c><c r="HY147" s="13"><f>IFERROR(GK147/GD147,0)</f><v /></c><c r="HZ147" s="13"><f>IFERROR(GS147/GL147,0)</f><v /></c><c r="IA147" s="13"><f>IFERROR(HA147/GT147,0)</f><v /></c><c r="IB147" s="13"><f>I147+Q147+Y147+AG147+AO147+AW147+BE147+BM147+BU147+CC147+CK147+CS147+DA147+DI147+DQ147+DY147+EG147+EO147+EW147+FE147+FM147+FU147+GC147+GK147+GS147+HA147</f><v /></c><c r="IC147" s="13"><f>HB147+HC147+HD147+HE147+HF147+HG147+HH147+HI147+HJ147+HK147+HL147+HM147+HN147+HO147+HP147+HQ147+HR147+HS147+HT147+HU147+HV147+HW147+HX147+HY147+HZ147+IA147</f><v /></c></row><row r="148" ht="14" customHeight="1"><c r="A148" s="25" t="n"><v>15</v></c><c r="B148" s="11"><f>IF(15&gt;$B$49+$B$50,$G$50*$B$54^$H$50,$E$50*$B$52^$F$50)</f><v /></c><c r="C148" s="11"><f>IF(15=1,0,$B$57)</f><v /></c><c r="D148" s="11"><f>-($B$57+(IF(15&lt;=$B$49,$B$56*$B$58+$B$55,IF(15&lt;=$B$49+$B$50,$B$56*$B$58,$B$56)))/B148)</f><v /></c><c r="E148" s="11"><f>IF(15=$B$49+$B$50,0,IF(15&gt;$B$49+$B$50,$B$56/B149,IF(15&gt;=$B$49,$B$56*$B$58/B149,($B$56*$B$58+$B$55)/B149)))</f><v /></c><c r="F148" s="11"><f>IF(15=$B$49,-$K$50*$B$55,0)</f><v /></c><c r="G148" s="11"><f>E148/(D148-C148*G147)</f><v /></c><c r="H148" s="11"><f>(F148-C148*H147)/(D148-C148*G147)</f><v /></c><c r="I148" s="15"><f>H148-G148*I149</f><v /></c><c r="J148" s="11"><f>IF(15&gt;$B$49+$B$50,$G$51*$B$54^$H$51,$E$51*$B$52^$F$51)</f><v /></c><c r="K148" s="11"><f>IF(15=1,0,$B$57)</f><v /></c><c r="L148" s="11"><f>-($B$57+(IF(15&lt;=$B$49,$B$56*$B$58+$B$55,IF(15&lt;=$B$49+$B$50,$B$56*$B$58,$B$56)))/J148)</f><v /></c><c r="M148" s="11"><f>IF(15=$B$49+$B$50,0,IF(15&gt;$B$49+$B$50,$B$56/J149,IF(15&gt;=$B$49,$B$56*$B$58/J149,($B$56*$B$58+$B$55)/J149)))</f><v /></c><c r="N148" s="11"><f>IF(15=$B$49,-$K$51*$B$55,0)</f><v /></c><c r="O148" s="11"><f>M148/(L148-K148*O147)</f><v /></c><c r="P148" s="11"><f>(N148-K148*P147)/(L148-K148*O147)</f><v /></c><c r="Q148" s="15"><f>P148-O148*Q149</f><v /></c><c r="R148" s="11"><f>IF(15&gt;$B$49+$B$50,$G$52*$B$54^$H$52,$E$52*$B$52^$F$52)</f><v /></c><c r="S148" s="11"><f>IF(15=1,0,$B$57)</f><v /></c><c r="T148" s="11"><f>-($B$57+(IF(15&lt;=$B$49,$B$56*$B$58+$B$55,IF(15&lt;=$B$49+$B$50,$B$56*$B$58,$B$56)))/R148)</f><v /></c><c r="U148" s="11"><f>IF(15=$B$49+$B$50,0,IF(15&gt;$B$49+$B$50,$B$56/R149,IF(15&gt;=$B$49,$B$56*$B$58/R149,($B$56*$B$58+$B$55)/R149)))</f><v /></c><c r="V148" s="11"><f>IF(15=$B$49,-$K$52*$B$55,0)</f><v /></c><c r="W148" s="11"><f>U148/(T148-S148*W147)</f><v /></c><c r="X148" s="11"><f>(V148-S148*X147)/(T148-S148*W147)</f><v /></c><c r="Y148" s="15"><f>X148-W148*Y149</f><v /></c><c r="Z148" s="11"><f>IF(15&gt;$B$49+$B$50,$G$53*$B$54^$H$53,$E$53*$B$52^$F$53)</f><v /></c><c r="AA148" s="11"><f>IF(15=1,0,$B$57)</f><v /></c><c r="AB148" s="11"><f>-($B$57+(IF(15&lt;=$B$49,$B$56*$B$58+$B$55,IF(15&lt;=$B$49+$B$50,$B$56*$B$58,$B$56)))/Z148)</f><v /></c><c r="AC148" s="11"><f>IF(15=$B$49+$B$50,0,IF(15&gt;$B$49+$B$50,$B$56/Z149,IF(15&gt;=$B$49,$B$56*$B$58/Z149,($B$56*$B$58+$B$55)/Z149)))</f><v /></c><c r="AD148" s="11"><f>IF(15=$B$49,-$K$53*$B$55,0)</f><v /></c><c r="AE148" s="11"><f>AC148/(AB148-AA148*AE147)</f><v /></c><c r="AF148" s="11"><f>(AD148-AA148*AF147)/(AB148-AA148*AE147)</f><v /></c><c r="AG148" s="15"><f>AF148-AE148*AG149</f><v /></c><c r="AH148" s="11"><f>IF(15&gt;$B$49+$B$50,$G$54*$B$54^$H$54,$E$54*$B$52^$F$54)</f><v /></c><c r="AI148" s="11"><f>IF(15=1,0,$B$57)</f><v /></c><c r="AJ148" s="11"><f>-($B$57+(IF(15&lt;=$B$49,$B$56*$B$58+$B$55,IF(15&lt;=$B$49+$B$50,$B$56*$B$58,$B$56)))/AH148)</f><v /></c><c r="AK148" s="11"><f>IF(15=$B$49+$B$50,0,IF(15&gt;$B$49+$B$50,$B$56/AH149,IF(15&gt;=$B$49,$B$56*$B$58/AH149,($B$56*$B$58+$B$55)/AH149)))</f><v /></c><c r="AL148" s="11"><f>IF(15=$B$49,-$K$54*$B$55,0)</f><v /></c><c r="AM148" s="11"><f>AK148/(AJ148-AI148*AM147)</f><v /></c><c r="AN148" s="11"><f>(AL148-AI148*AN147)/(AJ148-AI148*AM147)</f><v /></c><c r="AO148" s="15"><f>AN148-AM148*AO149</f><v /></c><c r="AP148" s="11"><f>IF(15&gt;$B$49+$B$50,$G$55*$B$54^$H$55,$E$55*$B$52^$F$55)</f><v /></c><c r="AQ148" s="11"><f>IF(15=1,0,$B$57)</f><v /></c><c r="AR148" s="11"><f>-($B$57+(IF(15&lt;=$B$49,$B$56*$B$58+$B$55,IF(15&lt;=$B$49+$B$50,$B$56*$B$58,$B$56)))/AP148)</f><v /></c><c r="AS148" s="11"><f>IF(15=$B$49+$B$50,0,IF(15&gt;$B$49+$B$50,$B$56/AP149,IF(15&gt;=$B$49,$B$56*$B$58/AP149,($B$56*$B$58+$B$55)/AP149)))</f><v /></c><c r="AT148" s="11"><f>IF(15=$B$49,-$K$55*$B$55,0)</f><v /></c><c r="AU148" s="11"><f>AS148/(AR148-AQ148*AU147)</f><v /></c><c r="AV148" s="11"><f>(AT148-AQ148*AV147)/(AR148-AQ148*AU147)</f><v /></c><c r="AW148" s="15"><f>AV148-AU148*AW149</f><v /></c><c r="AX148" s="11"><f>IF(15&gt;$B$49+$B$50,$G$56*$B$54^$H$56,$E$56*$B$52^$F$56)</f><v /></c><c r="AY148" s="11"><f>IF(15=1,0,$B$57)</f><v /></c><c r="AZ148" s="11"><f>-($B$57+(IF(15&lt;=$B$49,$B$56*$B$58+$B$55,IF(15&lt;=$B$49+$B$50,$B$56*$B$58,$B$56)))/AX148)</f><v /></c><c r="BA148" s="11"><f>IF(15=$B$49+$B$50,0,IF(15&gt;$B$49+$B$50,$B$56/AX149,IF(15&gt;=$B$49,$B$56*$B$58/AX149,($B$56*$B$58+$B$55)/AX149)))</f><v /></c><c r="BB148" s="11"><f>IF(15=$B$49,-$K$56*$B$55,0)</f><v /></c><c r="BC148" s="11"><f>BA148/(AZ148-AY148*BC147)</f><v /></c><c r="BD148" s="11"><f>(BB148-AY148*BD147)/(AZ148-AY148*BC147)</f><v /></c><c r="BE148" s="15"><f>BD148-BC148*BE149</f><v /></c><c r="BF148" s="11"><f>IF(15&gt;$B$49+$B$50,$G$57*$B$54^$H$57,$E$57*$B$52^$F$57)</f><v /></c><c r="BG148" s="11"><f>IF(15=1,0,$B$57)</f><v /></c><c r="BH148" s="11"><f>-($B$57+(IF(15&lt;=$B$49,$B$56*$B$58+$B$55,IF(15&lt;=$B$49+$B$50,$B$56*$B$58,$B$56)))/BF148)</f><v /></c><c r="BI148" s="11"><f>IF(15=$B$49+$B$50,0,IF(15&gt;$B$49+$B$50,$B$56/BF149,IF(15&gt;=$B$49,$B$56*$B$58/BF149,($B$56*$B$58+$B$55)/BF149)))</f><v /></c><c r="BJ148" s="11"><f>IF(15=$B$49,-$K$57*$B$55,0)</f><v /></c><c r="BK148" s="11"><f>BI148/(BH148-BG148*BK147)</f><v /></c><c r="BL148" s="11"><f>(BJ148-BG148*BL147)/(BH148-BG148*BK147)</f><v /></c><c r="BM148" s="15"><f>BL148-BK148*BM149</f><v /></c><c r="BN148" s="11"><f>IF(15&gt;$B$49+$B$50,$G$58*$B$54^$H$58,$E$58*$B$52^$F$58)</f><v /></c><c r="BO148" s="11"><f>IF(15=1,0,$B$57)</f><v /></c><c r="BP148" s="11"><f>-($B$57+(IF(15&lt;=$B$49,$B$56*$B$58+$B$55,IF(15&lt;=$B$49+$B$50,$B$56*$B$58,$B$56)))/BN148)</f><v /></c><c r="BQ148" s="11"><f>IF(15=$B$49+$B$50,0,IF(15&gt;$B$49+$B$50,$B$56/BN149,IF(15&gt;=$B$49,$B$56*$B$58/BN149,($B$56*$B$58+$B$55)/BN149)))</f><v /></c><c r="BR148" s="11"><f>IF(15=$B$49,-$K$58*$B$55,0)</f><v /></c><c r="BS148" s="11"><f>BQ148/(BP148-BO148*BS147)</f><v /></c><c r="BT148" s="11"><f>(BR148-BO148*BT147)/(BP148-BO148*BS147)</f><v /></c><c r="BU148" s="15"><f>BT148-BS148*BU149</f><v /></c><c r="BV148" s="11"><f>IF(15&gt;$B$49+$B$50,$G$59*$B$54^$H$59,$E$59*$B$52^$F$59)</f><v /></c><c r="BW148" s="11"><f>IF(15=1,0,$B$57)</f><v /></c><c r="BX148" s="11"><f>-($B$57+(IF(15&lt;=$B$49,$B$56*$B$58+$B$55,IF(15&lt;=$B$49+$B$50,$B$56*$B$58,$B$56)))/BV148)</f><v /></c><c r="BY148" s="11"><f>IF(15=$B$49+$B$50,0,IF(15&gt;$B$49+$B$50,$B$56/BV149,IF(15&gt;=$B$49,$B$56*$B$58/BV149,($B$56*$B$58+$B$55)/BV149)))</f><v /></c><c r="BZ148" s="11"><f>IF(15=$B$49,-$K$59*$B$55,0)</f><v /></c><c r="CA148" s="11"><f>BY148/(BX148-BW148*CA147)</f><v /></c><c r="CB148" s="11"><f>(BZ148-BW148*CB147)/(BX148-BW148*CA147)</f><v /></c><c r="CC148" s="15"><f>CB148-CA148*CC149</f><v /></c><c r="CD148" s="11"><f>IF(15&gt;$B$49+$B$50,$G$60*$B$54^$H$60,$E$60*$B$52^$F$60)</f><v /></c><c r="CE148" s="11"><f>IF(15=1,0,$B$57)</f><v /></c><c r="CF148" s="11"><f>-($B$57+(IF(15&lt;=$B$49,$B$56*$B$58+$B$55,IF(15&lt;=$B$49+$B$50,$B$56*$B$58,$B$56)))/CD148)</f><v /></c><c r="CG148" s="11"><f>IF(15=$B$49+$B$50,0,IF(15&gt;$B$49+$B$50,$B$56/CD149,IF(15&gt;=$B$49,$B$56*$B$58/CD149,($B$56*$B$58+$B$55)/CD149)))</f><v /></c><c r="CH148" s="11"><f>IF(15=$B$49,-$K$60*$B$55,0)</f><v /></c><c r="CI148" s="11"><f>CG148/(CF148-CE148*CI147)</f><v /></c><c r="CJ148" s="11"><f>(CH148-CE148*CJ147)/(CF148-CE148*CI147)</f><v /></c><c r="CK148" s="15"><f>CJ148-CI148*CK149</f><v /></c><c r="CL148" s="11"><f>IF(15&gt;$B$49+$B$50,$G$61*$B$54^$H$61,$E$61*$B$52^$F$61)</f><v /></c><c r="CM148" s="11"><f>IF(15=1,0,$B$57)</f><v /></c><c r="CN148" s="11"><f>-($B$57+(IF(15&lt;=$B$49,$B$56*$B$58+$B$55,IF(15&lt;=$B$49+$B$50,$B$56*$B$58,$B$56)))/CL148)</f><v /></c><c r="CO148" s="11"><f>IF(15=$B$49+$B$50,0,IF(15&gt;$B$49+$B$50,$B$56/CL149,IF(15&gt;=$B$49,$B$56*$B$58/CL149,($B$56*$B$58+$B$55)/CL149)))</f><v /></c><c r="CP148" s="11"><f>IF(15=$B$49,-$K$61*$B$55,0)</f><v /></c><c r="CQ148" s="11"><f>CO148/(CN148-CM148*CQ147)</f><v /></c><c r="CR148" s="11"><f>(CP148-CM148*CR147)/(CN148-CM148*CQ147)</f><v /></c><c r="CS148" s="15"><f>CR148-CQ148*CS149</f><v /></c><c r="CT148" s="11"><f>IF(15&gt;$B$49+$B$50,$G$62*$B$54^$H$62,$E$62*$B$52^$F$62)</f><v /></c><c r="CU148" s="11"><f>IF(15=1,0,$B$57)</f><v /></c><c r="CV148" s="11"><f>-($B$57+(IF(15&lt;=$B$49,$B$56*$B$58+$B$55,IF(15&lt;=$B$49+$B$50,$B$56*$B$58,$B$56)))/CT148)</f><v /></c><c r="CW148" s="11"><f>IF(15=$B$49+$B$50,0,IF(15&gt;$B$49+$B$50,$B$56/CT149,IF(15&gt;=$B$49,$B$56*$B$58/CT149,($B$56*$B$58+$B$55)/CT149)))</f><v /></c><c r="CX148" s="11"><f>IF(15=$B$49,-$K$62*$B$55,0)</f><v /></c><c r="CY148" s="11"><f>CW148/(CV148-CU148*CY147)</f><v /></c><c r="CZ148" s="11"><f>(CX148-CU148*CZ147)/(CV148-CU148*CY147)</f><v /></c><c r="DA148" s="15"><f>CZ148-CY148*DA149</f><v /></c><c r="DB148" s="11"><f>IF(15&gt;$B$49+$B$50,$G$63*$B$54^$H$63,$E$63*$B$52^$F$63)</f><v /></c><c r="DC148" s="11"><f>IF(15=1,0,$B$57)</f><v /></c><c r="DD148" s="11"><f>-($B$57+(IF(15&lt;=$B$49,$B$56*$B$58+$B$55,IF(15&lt;=$B$49+$B$50,$B$56*$B$58,$B$56)))/DB148)</f><v /></c><c r="DE148" s="11"><f>IF(15=$B$49+$B$50,0,IF(15&gt;$B$49+$B$50,$B$56/DB149,IF(15&gt;=$B$49,$B$56*$B$58/DB149,($B$56*$B$58+$B$55)/DB149)))</f><v /></c><c r="DF148" s="11"><f>IF(15=$B$49,-$K$63*$B$55,0)</f><v /></c><c r="DG148" s="11"><f>DE148/(DD148-DC148*DG147)</f><v /></c><c r="DH148" s="11"><f>(DF148-DC148*DH147)/(DD148-DC148*DG147)</f><v /></c><c r="DI148" s="15"><f>DH148-DG148*DI149</f><v /></c><c r="DJ148" s="11"><f>IF(15&gt;$B$49+$B$50,$G$64*$B$54^$H$64,$E$64*$B$52^$F$64)</f><v /></c><c r="DK148" s="11"><f>IF(15=1,0,$B$57)</f><v /></c><c r="DL148" s="11"><f>-($B$57+(IF(15&lt;=$B$49,$B$56*$B$58+$B$55,IF(15&lt;=$B$49+$B$50,$B$56*$B$58,$B$56)))/DJ148)</f><v /></c><c r="DM148" s="11"><f>IF(15=$B$49+$B$50,0,IF(15&gt;$B$49+$B$50,$B$56/DJ149,IF(15&gt;=$B$49,$B$56*$B$58/DJ149,($B$56*$B$58+$B$55)/DJ149)))</f><v /></c><c r="DN148" s="11"><f>IF(15=$B$49,-$K$64*$B$55,0)</f><v /></c><c r="DO148" s="11"><f>DM148/(DL148-DK148*DO147)</f><v /></c><c r="DP148" s="11"><f>(DN148-DK148*DP147)/(DL148-DK148*DO147)</f><v /></c><c r="DQ148" s="15"><f>DP148-DO148*DQ149</f><v /></c><c r="DR148" s="11"><f>IF(15&gt;$B$49+$B$50,$G$65*$B$54^$H$65,$E$65*$B$52^$F$65)</f><v /></c><c r="DS148" s="11"><f>IF(15=1,0,$B$57)</f><v /></c><c r="DT148" s="11"><f>-($B$57+(IF(15&lt;=$B$49,$B$56*$B$58+$B$55,IF(15&lt;=$B$49+$B$50,$B$56*$B$58,$B$56)))/DR148)</f><v /></c><c r="DU148" s="11"><f>IF(15=$B$49+$B$50,0,IF(15&gt;$B$49+$B$50,$B$56/DR149,IF(15&gt;=$B$49,$B$56*$B$58/DR149,($B$56*$B$58+$B$55)/DR149)))</f><v /></c><c r="DV148" s="11"><f>IF(15=$B$49,-$K$65*$B$55,0)</f><v /></c><c r="DW148" s="11"><f>DU148/(DT148-DS148*DW147)</f><v /></c><c r="DX148" s="11"><f>(DV148-DS148*DX147)/(DT148-DS148*DW147)</f><v /></c><c r="DY148" s="15"><f>DX148-DW148*DY149</f><v /></c><c r="DZ148" s="11"><f>IF(15&gt;$B$49+$B$50,$G$66*$B$54^$H$66,$E$66*$B$52^$F$66)</f><v /></c><c r="EA148" s="11"><f>IF(15=1,0,$B$57)</f><v /></c><c r="EB148" s="11"><f>-($B$57+(IF(15&lt;=$B$49,$B$56*$B$58+$B$55,IF(15&lt;=$B$49+$B$50,$B$56*$B$58,$B$56)))/DZ148)</f><v /></c><c r="EC148" s="11"><f>IF(15=$B$49+$B$50,0,IF(15&gt;$B$49+$B$50,$B$56/DZ149,IF(15&gt;=$B$49,$B$56*$B$58/DZ149,($B$56*$B$58+$B$55)/DZ149)))</f><v /></c><c r="ED148" s="11"><f>IF(15=$B$49,-$K$66*$B$55,0)</f><v /></c><c r="EE148" s="11"><f>EC148/(EB148-EA148*EE147)</f><v /></c><c r="EF148" s="11"><f>(ED148-EA148*EF147)/(EB148-EA148*EE147)</f><v /></c><c r="EG148" s="15"><f>EF148-EE148*EG149</f><v /></c><c r="EH148" s="11"><f>IF(15&gt;$B$49+$B$50,$G$67*$B$54^$H$67,$E$67*$B$52^$F$67)</f><v /></c><c r="EI148" s="11"><f>IF(15=1,0,$B$57)</f><v /></c><c r="EJ148" s="11"><f>-($B$57+(IF(15&lt;=$B$49,$B$56*$B$58+$B$55,IF(15&lt;=$B$49+$B$50,$B$56*$B$58,$B$56)))/EH148)</f><v /></c><c r="EK148" s="11"><f>IF(15=$B$49+$B$50,0,IF(15&gt;$B$49+$B$50,$B$56/EH149,IF(15&gt;=$B$49,$B$56*$B$58/EH149,($B$56*$B$58+$B$55)/EH149)))</f><v /></c><c r="EL148" s="11"><f>IF(15=$B$49,-$K$67*$B$55,0)</f><v /></c><c r="EM148" s="11"><f>EK148/(EJ148-EI148*EM147)</f><v /></c><c r="EN148" s="11"><f>(EL148-EI148*EN147)/(EJ148-EI148*EM147)</f><v /></c><c r="EO148" s="15"><f>EN148-EM148*EO149</f><v /></c><c r="EP148" s="11"><f>IF(15&gt;$B$49+$B$50,$G$68*$B$54^$H$68,$E$68*$B$52^$F$68)</f><v /></c><c r="EQ148" s="11"><f>IF(15=1,0,$B$57)</f><v /></c><c r="ER148" s="11"><f>-($B$57+(IF(15&lt;=$B$49,$B$56*$B$58+$B$55,IF(15&lt;=$B$49+$B$50,$B$56*$B$58,$B$56)))/EP148)</f><v /></c><c r="ES148" s="11"><f>IF(15=$B$49+$B$50,0,IF(15&gt;$B$49+$B$50,$B$56/EP149,IF(15&gt;=$B$49,$B$56*$B$58/EP149,($B$56*$B$58+$B$55)/EP149)))</f><v /></c><c r="ET148" s="11"><f>IF(15=$B$49,-$K$68*$B$55,0)</f><v /></c><c r="EU148" s="11"><f>ES148/(ER148-EQ148*EU147)</f><v /></c><c r="EV148" s="11"><f>(ET148-EQ148*EV147)/(ER148-EQ148*EU147)</f><v /></c><c r="EW148" s="15"><f>EV148-EU148*EW149</f><v /></c><c r="EX148" s="11"><f>IF(15&gt;$B$49+$B$50,$G$69*$B$54^$H$69,$E$69*$B$52^$F$69)</f><v /></c><c r="EY148" s="11"><f>IF(15=1,0,$B$57)</f><v /></c><c r="EZ148" s="11"><f>-($B$57+(IF(15&lt;=$B$49,$B$56*$B$58+$B$55,IF(15&lt;=$B$49+$B$50,$B$56*$B$58,$B$56)))/EX148)</f><v /></c><c r="FA148" s="11"><f>IF(15=$B$49+$B$50,0,IF(15&gt;$B$49+$B$50,$B$56/EX149,IF(15&gt;=$B$49,$B$56*$B$58/EX149,($B$56*$B$58+$B$55)/EX149)))</f><v /></c><c r="FB148" s="11"><f>IF(15=$B$49,-$K$69*$B$55,0)</f><v /></c><c r="FC148" s="11"><f>FA148/(EZ148-EY148*FC147)</f><v /></c><c r="FD148" s="11"><f>(FB148-EY148*FD147)/(EZ148-EY148*FC147)</f><v /></c><c r="FE148" s="15"><f>FD148-FC148*FE149</f><v /></c><c r="FF148" s="11"><f>IF(15&gt;$B$49+$B$50,$G$70*$B$54^$H$70,$E$70*$B$52^$F$70)</f><v /></c><c r="FG148" s="11"><f>IF(15=1,0,$B$57)</f><v /></c><c r="FH148" s="11"><f>-($B$57+(IF(15&lt;=$B$49,$B$56*$B$58+$B$55,IF(15&lt;=$B$49+$B$50,$B$56*$B$58,$B$56)))/FF148)</f><v /></c><c r="FI148" s="11"><f>IF(15=$B$49+$B$50,0,IF(15&gt;$B$49+$B$50,$B$56/FF149,IF(15&gt;=$B$49,$B$56*$B$58/FF149,($B$56*$B$58+$B$55)/FF149)))</f><v /></c><c r="FJ148" s="11"><f>IF(15=$B$49,-$K$70*$B$55,0)</f><v /></c><c r="FK148" s="11"><f>FI148/(FH148-FG148*FK147)</f><v /></c><c r="FL148" s="11"><f>(FJ148-FG148*FL147)/(FH148-FG148*FK147)</f><v /></c><c r="FM148" s="15"><f>FL148-FK148*FM149</f><v /></c><c r="FN148" s="11"><f>IF(15&gt;$B$49+$B$50,$G$71*$B$54^$H$71,$E$71*$B$52^$F$71)</f><v /></c><c r="FO148" s="11"><f>IF(15=1,0,$B$57)</f><v /></c><c r="FP148" s="11"><f>-($B$57+(IF(15&lt;=$B$49,$B$56*$B$58+$B$55,IF(15&lt;=$B$49+$B$50,$B$56*$B$58,$B$56)))/FN148)</f><v /></c><c r="FQ148" s="11"><f>IF(15=$B$49+$B$50,0,IF(15&gt;$B$49+$B$50,$B$56/FN149,IF(15&gt;=$B$49,$B$56*$B$58/FN149,($B$56*$B$58+$B$55)/FN149)))</f><v /></c><c r="FR148" s="11"><f>IF(15=$B$49,-$K$71*$B$55,0)</f><v /></c><c r="FS148" s="11"><f>FQ148/(FP148-FO148*FS147)</f><v /></c><c r="FT148" s="11"><f>(FR148-FO148*FT147)/(FP148-FO148*FS147)</f><v /></c><c r="FU148" s="15"><f>FT148-FS148*FU149</f><v /></c><c r="FV148" s="11"><f>IF(15&gt;$B$49+$B$50,$G$72*$B$54^$H$72,$E$72*$B$52^$F$72)</f><v /></c><c r="FW148" s="11"><f>IF(15=1,0,$B$57)</f><v /></c><c r="FX148" s="11"><f>-($B$57+(IF(15&lt;=$B$49,$B$56*$B$58+$B$55,IF(15&lt;=$B$49+$B$50,$B$56*$B$58,$B$56)))/FV148)</f><v /></c><c r="FY148" s="11"><f>IF(15=$B$49+$B$50,0,IF(15&gt;$B$49+$B$50,$B$56/FV149,IF(15&gt;=$B$49,$B$56*$B$58/FV149,($B$56*$B$58+$B$55)/FV149)))</f><v /></c><c r="FZ148" s="11"><f>IF(15=$B$49,-$K$72*$B$55,0)</f><v /></c><c r="GA148" s="11"><f>FY148/(FX148-FW148*GA147)</f><v /></c><c r="GB148" s="11"><f>(FZ148-FW148*GB147)/(FX148-FW148*GA147)</f><v /></c><c r="GC148" s="15"><f>GB148-GA148*GC149</f><v /></c><c r="GD148" s="11"><f>IF(15&gt;$B$49+$B$50,$G$73*$B$54^$H$73,$E$73*$B$52^$F$73)</f><v /></c><c r="GE148" s="11"><f>IF(15=1,0,$B$57)</f><v /></c><c r="GF148" s="11"><f>-($B$57+(IF(15&lt;=$B$49,$B$56*$B$58+$B$55,IF(15&lt;=$B$49+$B$50,$B$56*$B$58,$B$56)))/GD148)</f><v /></c><c r="GG148" s="11"><f>IF(15=$B$49+$B$50,0,IF(15&gt;$B$49+$B$50,$B$56/GD149,IF(15&gt;=$B$49,$B$56*$B$58/GD149,($B$56*$B$58+$B$55)/GD149)))</f><v /></c><c r="GH148" s="11"><f>IF(15=$B$49,-$K$73*$B$55,0)</f><v /></c><c r="GI148" s="11"><f>GG148/(GF148-GE148*GI147)</f><v /></c><c r="GJ148" s="11"><f>(GH148-GE148*GJ147)/(GF148-GE148*GI147)</f><v /></c><c r="GK148" s="15"><f>GJ148-GI148*GK149</f><v /></c><c r="GL148" s="11"><f>IF(15&gt;$B$49+$B$50,$G$74*$B$54^$H$74,$E$74*$B$52^$F$74)</f><v /></c><c r="GM148" s="11"><f>IF(15=1,0,$B$57)</f><v /></c><c r="GN148" s="11"><f>-($B$57+(IF(15&lt;=$B$49,$B$56*$B$58+$B$55,IF(15&lt;=$B$49+$B$50,$B$56*$B$58,$B$56)))/GL148)</f><v /></c><c r="GO148" s="11"><f>IF(15=$B$49+$B$50,0,IF(15&gt;$B$49+$B$50,$B$56/GL149,IF(15&gt;=$B$49,$B$56*$B$58/GL149,($B$56*$B$58+$B$55)/GL149)))</f><v /></c><c r="GP148" s="11"><f>IF(15=$B$49,-$K$74*$B$55,0)</f><v /></c><c r="GQ148" s="11"><f>GO148/(GN148-GM148*GQ147)</f><v /></c><c r="GR148" s="11"><f>(GP148-GM148*GR147)/(GN148-GM148*GQ147)</f><v /></c><c r="GS148" s="15"><f>GR148-GQ148*GS149</f><v /></c><c r="GT148" s="11"><f>IF(15&gt;$B$49+$B$50,$G$75*$B$54^$H$75,$E$75*$B$52^$F$75)</f><v /></c><c r="GU148" s="11"><f>IF(15=1,0,$B$57)</f><v /></c><c r="GV148" s="11"><f>-($B$57+(IF(15&lt;=$B$49,$B$56*$B$58+$B$55,IF(15&lt;=$B$49+$B$50,$B$56*$B$58,$B$56)))/GT148)</f><v /></c><c r="GW148" s="11"><f>IF(15=$B$49+$B$50,0,IF(15&gt;$B$49+$B$50,$B$56/GT149,IF(15&gt;=$B$49,$B$56*$B$58/GT149,($B$56*$B$58+$B$55)/GT149)))</f><v /></c><c r="GX148" s="11"><f>IF(15=$B$49,-$K$75*$B$55,0)</f><v /></c><c r="GY148" s="11"><f>GW148/(GV148-GU148*GY147)</f><v /></c><c r="GZ148" s="11"><f>(GX148-GU148*GZ147)/(GV148-GU148*GY147)</f><v /></c><c r="HA148" s="15"><f>GZ148-GY148*HA149</f><v /></c><c r="HB148" s="13"><f>IFERROR(I148/B148,0)</f><v /></c><c r="HC148" s="13"><f>IFERROR(Q148/J148,0)</f><v /></c><c r="HD148" s="13"><f>IFERROR(Y148/R148,0)</f><v /></c><c r="HE148" s="13"><f>IFERROR(AG148/Z148,0)</f><v /></c><c r="HF148" s="13"><f>IFERROR(AO148/AH148,0)</f><v /></c><c r="HG148" s="13"><f>IFERROR(AW148/AP148,0)</f><v /></c><c r="HH148" s="13"><f>IFERROR(BE148/AX148,0)</f><v /></c><c r="HI148" s="13"><f>IFERROR(BM148/BF148,0)</f><v /></c><c r="HJ148" s="13"><f>IFERROR(BU148/BN148,0)</f><v /></c><c r="HK148" s="13"><f>IFERROR(CC148/BV148,0)</f><v /></c><c r="HL148" s="13"><f>IFERROR(CK148/CD148,0)</f><v /></c><c r="HM148" s="13"><f>IFERROR(CS148/CL148,0)</f><v /></c><c r="HN148" s="13"><f>IFERROR(DA148/CT148,0)</f><v /></c><c r="HO148" s="13"><f>IFERROR(DI148/DB148,0)</f><v /></c><c r="HP148" s="13"><f>IFERROR(DQ148/DJ148,0)</f><v /></c><c r="HQ148" s="13"><f>IFERROR(DY148/DR148,0)</f><v /></c><c r="HR148" s="13"><f>IFERROR(EG148/DZ148,0)</f><v /></c><c r="HS148" s="13"><f>IFERROR(EO148/EH148,0)</f><v /></c><c r="HT148" s="13"><f>IFERROR(EW148/EP148,0)</f><v /></c><c r="HU148" s="13"><f>IFERROR(FE148/EX148,0)</f><v /></c><c r="HV148" s="13"><f>IFERROR(FM148/FF148,0)</f><v /></c><c r="HW148" s="13"><f>IFERROR(FU148/FN148,0)</f><v /></c><c r="HX148" s="13"><f>IFERROR(GC148/FV148,0)</f><v /></c><c r="HY148" s="13"><f>IFERROR(GK148/GD148,0)</f><v /></c><c r="HZ148" s="13"><f>IFERROR(GS148/GL148,0)</f><v /></c><c r="IA148" s="13"><f>IFERROR(HA148/GT148,0)</f><v /></c><c r="IB148" s="13"><f>I148+Q148+Y148+AG148+AO148+AW148+BE148+BM148+BU148+CC148+CK148+CS148+DA148+DI148+DQ148+DY148+EG148+EO148+EW148+FE148+FM148+FU148+GC148+GK148+GS148+HA148</f><v /></c><c r="IC148" s="13"><f>HB148+HC148+HD148+HE148+HF148+HG148+HH148+HI148+HJ148+HK148+HL148+HM148+HN148+HO148+HP148+HQ148+HR148+HS148+HT148+HU148+HV148+HW148+HX148+HY148+HZ148+IA148</f><v /></c></row><row r="149" ht="14" customHeight="1"><c r="A149" s="25" t="n"><v>16</v></c><c r="B149" s="11"><f>IF(16&gt;$B$49+$B$50,$G$50*$B$54^$H$50,$E$50*$B$52^$F$50)</f><v /></c><c r="C149" s="11"><f>IF(16=1,0,$B$57)</f><v /></c><c r="D149" s="11"><f>-($B$57+(IF(16&lt;=$B$49,$B$56*$B$58+$B$55,IF(16&lt;=$B$49+$B$50,$B$56*$B$58,$B$56)))/B149)</f><v /></c><c r="E149" s="11"><f>IF(16=$B$49+$B$50,0,IF(16&gt;$B$49+$B$50,$B$56/B150,IF(16&gt;=$B$49,$B$56*$B$58/B150,($B$56*$B$58+$B$55)/B150)))</f><v /></c><c r="F149" s="11"><f>IF(16=$B$49,-$K$50*$B$55,0)</f><v /></c><c r="G149" s="11"><f>E149/(D149-C149*G148)</f><v /></c><c r="H149" s="11"><f>(F149-C149*H148)/(D149-C149*G148)</f><v /></c><c r="I149" s="15"><f>H149-G149*I150</f><v /></c><c r="J149" s="11"><f>IF(16&gt;$B$49+$B$50,$G$51*$B$54^$H$51,$E$51*$B$52^$F$51)</f><v /></c><c r="K149" s="11"><f>IF(16=1,0,$B$57)</f><v /></c><c r="L149" s="11"><f>-($B$57+(IF(16&lt;=$B$49,$B$56*$B$58+$B$55,IF(16&lt;=$B$49+$B$50,$B$56*$B$58,$B$56)))/J149)</f><v /></c><c r="M149" s="11"><f>IF(16=$B$49+$B$50,0,IF(16&gt;$B$49+$B$50,$B$56/J150,IF(16&gt;=$B$49,$B$56*$B$58/J150,($B$56*$B$58+$B$55)/J150)))</f><v /></c><c r="N149" s="11"><f>IF(16=$B$49,-$K$51*$B$55,0)</f><v /></c><c r="O149" s="11"><f>M149/(L149-K149*O148)</f><v /></c><c r="P149" s="11"><f>(N149-K149*P148)/(L149-K149*O148)</f><v /></c><c r="Q149" s="15"><f>P149-O149*Q150</f><v /></c><c r="R149" s="11"><f>IF(16&gt;$B$49+$B$50,$G$52*$B$54^$H$52,$E$52*$B$52^$F$52)</f><v /></c><c r="S149" s="11"><f>IF(16=1,0,$B$57)</f><v /></c><c r="T149" s="11"><f>-($B$57+(IF(16&lt;=$B$49,$B$56*$B$58+$B$55,IF(16&lt;=$B$49+$B$50,$B$56*$B$58,$B$56)))/R149)</f><v /></c><c r="U149" s="11"><f>IF(16=$B$49+$B$50,0,IF(16&gt;$B$49+$B$50,$B$56/R150,IF(16&gt;=$B$49,$B$56*$B$58/R150,($B$56*$B$58+$B$55)/R150)))</f><v /></c><c r="V149" s="11"><f>IF(16=$B$49,-$K$52*$B$55,0)</f><v /></c><c r="W149" s="11"><f>U149/(T149-S149*W148)</f><v /></c><c r="X149" s="11"><f>(V149-S149*X148)/(T149-S149*W148)</f><v /></c><c r="Y149" s="15"><f>X149-W149*Y150</f><v /></c><c r="Z149" s="11"><f>IF(16&gt;$B$49+$B$50,$G$53*$B$54^$H$53,$E$53*$B$52^$F$53)</f><v /></c><c r="AA149" s="11"><f>IF(16=1,0,$B$57)</f><v /></c><c r="AB149" s="11"><f>-($B$57+(IF(16&lt;=$B$49,$B$56*$B$58+$B$55,IF(16&lt;=$B$49+$B$50,$B$56*$B$58,$B$56)))/Z149)</f><v /></c><c r="AC149" s="11"><f>IF(16=$B$49+$B$50,0,IF(16&gt;$B$49+$B$50,$B$56/Z150,IF(16&gt;=$B$49,$B$56*$B$58/Z150,($B$56*$B$58+$B$55)/Z150)))</f><v /></c><c r="AD149" s="11"><f>IF(16=$B$49,-$K$53*$B$55,0)</f><v /></c><c r="AE149" s="11"><f>AC149/(AB149-AA149*AE148)</f><v /></c><c r="AF149" s="11"><f>(AD149-AA149*AF148)/(AB149-AA149*AE148)</f><v /></c><c r="AG149" s="15"><f>AF149-AE149*AG150</f><v /></c><c r="AH149" s="11"><f>IF(16&gt;$B$49+$B$50,$G$54*$B$54^$H$54,$E$54*$B$52^$F$54)</f><v /></c><c r="AI149" s="11"><f>IF(16=1,0,$B$57)</f><v /></c><c r="AJ149" s="11"><f>-($B$57+(IF(16&lt;=$B$49,$B$56*$B$58+$B$55,IF(16&lt;=$B$49+$B$50,$B$56*$B$58,$B$56)))/AH149)</f><v /></c><c r="AK149" s="11"><f>IF(16=$B$49+$B$50,0,IF(16&gt;$B$49+$B$50,$B$56/AH150,IF(16&gt;=$B$49,$B$56*$B$58/AH150,($B$56*$B$58+$B$55)/AH150)))</f><v /></c><c r="AL149" s="11"><f>IF(16=$B$49,-$K$54*$B$55,0)</f><v /></c><c r="AM149" s="11"><f>AK149/(AJ149-AI149*AM148)</f><v /></c><c r="AN149" s="11"><f>(AL149-AI149*AN148)/(AJ149-AI149*AM148)</f><v /></c><c r="AO149" s="15"><f>AN149-AM149*AO150</f><v /></c><c r="AP149" s="11"><f>IF(16&gt;$B$49+$B$50,$G$55*$B$54^$H$55,$E$55*$B$52^$F$55)</f><v /></c><c r="AQ149" s="11"><f>IF(16=1,0,$B$57)</f><v /></c><c r="AR149" s="11"><f>-($B$57+(IF(16&lt;=$B$49,$B$56*$B$58+$B$55,IF(16&lt;=$B$49+$B$50,$B$56*$B$58,$B$56)))/AP149)</f><v /></c><c r="AS149" s="11"><f>IF(16=$B$49+$B$50,0,IF(16&gt;$B$49+$B$50,$B$56/AP150,IF(16&gt;=$B$49,$B$56*$B$58/AP150,($B$56*$B$58+$B$55)/AP150)))</f><v /></c><c r="AT149" s="11"><f>IF(16=$B$49,-$K$55*$B$55,0)</f><v /></c><c r="AU149" s="11"><f>AS149/(AR149-AQ149*AU148)</f><v /></c><c r="AV149" s="11"><f>(AT149-AQ149*AV148)/(AR149-AQ149*AU148)</f><v /></c><c r="AW149" s="15"><f>AV149-AU149*AW150</f><v /></c><c r="AX149" s="11"><f>IF(16&gt;$B$49+$B$50,$G$56*$B$54^$H$56,$E$56*$B$52^$F$56)</f><v /></c><c r="AY149" s="11"><f>IF(16=1,0,$B$57)</f><v /></c><c r="AZ149" s="11"><f>-($B$57+(IF(16&lt;=$B$49,$B$56*$B$58+$B$55,IF(16&lt;=$B$49+$B$50,$B$56*$B$58,$B$56)))/AX149)</f><v /></c><c r="BA149" s="11"><f>IF(16=$B$49+$B$50,0,IF(16&gt;$B$49+$B$50,$B$56/AX150,IF(16&gt;=$B$49,$B$56*$B$58/AX150,($B$56*$B$58+$B$55)/AX150)))</f><v /></c><c r="BB149" s="11"><f>IF(16=$B$49,-$K$56*$B$55,0)</f><v /></c><c r="BC149" s="11"><f>BA149/(AZ149-AY149*BC148)</f><v /></c><c r="BD149" s="11"><f>(BB149-AY149*BD148)/(AZ149-AY149*BC148)</f><v /></c><c r="BE149" s="15"><f>BD149-BC149*BE150</f><v /></c><c r="BF149" s="11"><f>IF(16&gt;$B$49+$B$50,$G$57*$B$54^$H$57,$E$57*$B$52^$F$57)</f><v /></c><c r="BG149" s="11"><f>IF(16=1,0,$B$57)</f><v /></c><c r="BH149" s="11"><f>-($B$57+(IF(16&lt;=$B$49,$B$56*$B$58+$B$55,IF(16&lt;=$B$49+$B$50,$B$56*$B$58,$B$56)))/BF149)</f><v /></c><c r="BI149" s="11"><f>IF(16=$B$49+$B$50,0,IF(16&gt;$B$49+$B$50,$B$56/BF150,IF(16&gt;=$B$49,$B$56*$B$58/BF150,($B$56*$B$58+$B$55)/BF150)))</f><v /></c><c r="BJ149" s="11"><f>IF(16=$B$49,-$K$57*$B$55,0)</f><v /></c><c r="BK149" s="11"><f>BI149/(BH149-BG149*BK148)</f><v /></c><c r="BL149" s="11"><f>(BJ149-BG149*BL148)/(BH149-BG149*BK148)</f><v /></c><c r="BM149" s="15"><f>BL149-BK149*BM150</f><v /></c><c r="BN149" s="11"><f>IF(16&gt;$B$49+$B$50,$G$58*$B$54^$H$58,$E$58*$B$52^$F$58)</f><v /></c><c r="BO149" s="11"><f>IF(16=1,0,$B$57)</f><v /></c><c r="BP149" s="11"><f>-($B$57+(IF(16&lt;=$B$49,$B$56*$B$58+$B$55,IF(16&lt;=$B$49+$B$50,$B$56*$B$58,$B$56)))/BN149)</f><v /></c><c r="BQ149" s="11"><f>IF(16=$B$49+$B$50,0,IF(16&gt;$B$49+$B$50,$B$56/BN150,IF(16&gt;=$B$49,$B$56*$B$58/BN150,($B$56*$B$58+$B$55)/BN150)))</f><v /></c><c r="BR149" s="11"><f>IF(16=$B$49,-$K$58*$B$55,0)</f><v /></c><c r="BS149" s="11"><f>BQ149/(BP149-BO149*BS148)</f><v /></c><c r="BT149" s="11"><f>(BR149-BO149*BT148)/(BP149-BO149*BS148)</f><v /></c><c r="BU149" s="15"><f>BT149-BS149*BU150</f><v /></c><c r="BV149" s="11"><f>IF(16&gt;$B$49+$B$50,$G$59*$B$54^$H$59,$E$59*$B$52^$F$59)</f><v /></c><c r="BW149" s="11"><f>IF(16=1,0,$B$57)</f><v /></c><c r="BX149" s="11"><f>-($B$57+(IF(16&lt;=$B$49,$B$56*$B$58+$B$55,IF(16&lt;=$B$49+$B$50,$B$56*$B$58,$B$56)))/BV149)</f><v /></c><c r="BY149" s="11"><f>IF(16=$B$49+$B$50,0,IF(16&gt;$B$49+$B$50,$B$56/BV150,IF(16&gt;=$B$49,$B$56*$B$58/BV150,($B$56*$B$58+$B$55)/BV150)))</f><v /></c><c r="BZ149" s="11"><f>IF(16=$B$49,-$K$59*$B$55,0)</f><v /></c><c r="CA149" s="11"><f>BY149/(BX149-BW149*CA148)</f><v /></c><c r="CB149" s="11"><f>(BZ149-BW149*CB148)/(BX149-BW149*CA148)</f><v /></c><c r="CC149" s="15"><f>CB149-CA149*CC150</f><v /></c><c r="CD149" s="11"><f>IF(16&gt;$B$49+$B$50,$G$60*$B$54^$H$60,$E$60*$B$52^$F$60)</f><v /></c><c r="CE149" s="11"><f>IF(16=1,0,$B$57)</f><v /></c><c r="CF149" s="11"><f>-($B$57+(IF(16&lt;=$B$49,$B$56*$B$58+$B$55,IF(16&lt;=$B$49+$B$50,$B$56*$B$58,$B$56)))/CD149)</f><v /></c><c r="CG149" s="11"><f>IF(16=$B$49+$B$50,0,IF(16&gt;$B$49+$B$50,$B$56/CD150,IF(16&gt;=$B$49,$B$56*$B$58/CD150,($B$56*$B$58+$B$55)/CD150)))</f><v /></c><c r="CH149" s="11"><f>IF(16=$B$49,-$K$60*$B$55,0)</f><v /></c><c r="CI149" s="11"><f>CG149/(CF149-CE149*CI148)</f><v /></c><c r="CJ149" s="11"><f>(CH149-CE149*CJ148)/(CF149-CE149*CI148)</f><v /></c><c r="CK149" s="15"><f>CJ149-CI149*CK150</f><v /></c><c r="CL149" s="11"><f>IF(16&gt;$B$49+$B$50,$G$61*$B$54^$H$61,$E$61*$B$52^$F$61)</f><v /></c><c r="CM149" s="11"><f>IF(16=1,0,$B$57)</f><v /></c><c r="CN149" s="11"><f>-($B$57+(IF(16&lt;=$B$49,$B$56*$B$58+$B$55,IF(16&lt;=$B$49+$B$50,$B$56*$B$58,$B$56)))/CL149)</f><v /></c><c r="CO149" s="11"><f>IF(16=$B$49+$B$50,0,IF(16&gt;$B$49+$B$50,$B$56/CL150,IF(16&gt;=$B$49,$B$56*$B$58/CL150,($B$56*$B$58+$B$55)/CL150)))</f><v /></c><c r="CP149" s="11"><f>IF(16=$B$49,-$K$61*$B$55,0)</f><v /></c><c r="CQ149" s="11"><f>CO149/(CN149-CM149*CQ148)</f><v /></c><c r="CR149" s="11"><f>(CP149-CM149*CR148)/(CN149-CM149*CQ148)</f><v /></c><c r="CS149" s="15"><f>CR149-CQ149*CS150</f><v /></c><c r="CT149" s="11"><f>IF(16&gt;$B$49+$B$50,$G$62*$B$54^$H$62,$E$62*$B$52^$F$62)</f><v /></c><c r="CU149" s="11"><f>IF(16=1,0,$B$57)</f><v /></c><c r="CV149" s="11"><f>-($B$57+(IF(16&lt;=$B$49,$B$56*$B$58+$B$55,IF(16&lt;=$B$49+$B$50,$B$56*$B$58,$B$56)))/CT149)</f><v /></c><c r="CW149" s="11"><f>IF(16=$B$49+$B$50,0,IF(16&gt;$B$49+$B$50,$B$56/CT150,IF(16&gt;=$B$49,$B$56*$B$58/CT150,($B$56*$B$58+$B$55)/CT150)))</f><v /></c><c r="CX149" s="11"><f>IF(16=$B$49,-$K$62*$B$55,0)</f><v /></c><c r="CY149" s="11"><f>CW149/(CV149-CU149*CY148)</f><v /></c><c r="CZ149" s="11"><f>(CX149-CU149*CZ148)/(CV149-CU149*CY148)</f><v /></c><c r="DA149" s="15"><f>CZ149-CY149*DA150</f><v /></c><c r="DB149" s="11"><f>IF(16&gt;$B$49+$B$50,$G$63*$B$54^$H$63,$E$63*$B$52^$F$63)</f><v /></c><c r="DC149" s="11"><f>IF(16=1,0,$B$57)</f><v /></c><c r="DD149" s="11"><f>-($B$57+(IF(16&lt;=$B$49,$B$56*$B$58+$B$55,IF(16&lt;=$B$49+$B$50,$B$56*$B$58,$B$56)))/DB149)</f><v /></c><c r="DE149" s="11"><f>IF(16=$B$49+$B$50,0,IF(16&gt;$B$49+$B$50,$B$56/DB150,IF(16&gt;=$B$49,$B$56*$B$58/DB150,($B$56*$B$58+$B$55)/DB150)))</f><v /></c><c r="DF149" s="11"><f>IF(16=$B$49,-$K$63*$B$55,0)</f><v /></c><c r="DG149" s="11"><f>DE149/(DD149-DC149*DG148)</f><v /></c><c r="DH149" s="11"><f>(DF149-DC149*DH148)/(DD149-DC149*DG148)</f><v /></c><c r="DI149" s="15"><f>DH149-DG149*DI150</f><v /></c><c r="DJ149" s="11"><f>IF(16&gt;$B$49+$B$50,$G$64*$B$54^$H$64,$E$64*$B$52^$F$64)</f><v /></c><c r="DK149" s="11"><f>IF(16=1,0,$B$57)</f><v /></c><c r="DL149" s="11"><f>-($B$57+(IF(16&lt;=$B$49,$B$56*$B$58+$B$55,IF(16&lt;=$B$49+$B$50,$B$56*$B$58,$B$56)))/DJ149)</f><v /></c><c r="DM149" s="11"><f>IF(16=$B$49+$B$50,0,IF(16&gt;$B$49+$B$50,$B$56/DJ150,IF(16&gt;=$B$49,$B$56*$B$58/DJ150,($B$56*$B$58+$B$55)/DJ150)))</f><v /></c><c r="DN149" s="11"><f>IF(16=$B$49,-$K$64*$B$55,0)</f><v /></c><c r="DO149" s="11"><f>DM149/(DL149-DK149*DO148)</f><v /></c><c r="DP149" s="11"><f>(DN149-DK149*DP148)/(DL149-DK149*DO148)</f><v /></c><c r="DQ149" s="15"><f>DP149-DO149*DQ150</f><v /></c><c r="DR149" s="11"><f>IF(16&gt;$B$49+$B$50,$G$65*$B$54^$H$65,$E$65*$B$52^$F$65)</f><v /></c><c r="DS149" s="11"><f>IF(16=1,0,$B$57)</f><v /></c><c r="DT149" s="11"><f>-($B$57+(IF(16&lt;=$B$49,$B$56*$B$58+$B$55,IF(16&lt;=$B$49+$B$50,$B$56*$B$58,$B$56)))/DR149)</f><v /></c><c r="DU149" s="11"><f>IF(16=$B$49+$B$50,0,IF(16&gt;$B$49+$B$50,$B$56/DR150,IF(16&gt;=$B$49,$B$56*$B$58/DR150,($B$56*$B$58+$B$55)/DR150)))</f><v /></c><c r="DV149" s="11"><f>IF(16=$B$49,-$K$65*$B$55,0)</f><v /></c><c r="DW149" s="11"><f>DU149/(DT149-DS149*DW148)</f><v /></c><c r="DX149" s="11"><f>(DV149-DS149*DX148)/(DT149-DS149*DW148)</f><v /></c><c r="DY149" s="15"><f>DX149-DW149*DY150</f><v /></c><c r="DZ149" s="11"><f>IF(16&gt;$B$49+$B$50,$G$66*$B$54^$H$66,$E$66*$B$52^$F$66)</f><v /></c><c r="EA149" s="11"><f>IF(16=1,0,$B$57)</f><v /></c><c r="EB149" s="11"><f>-($B$57+(IF(16&lt;=$B$49,$B$56*$B$58+$B$55,IF(16&lt;=$B$49+$B$50,$B$56*$B$58,$B$56)))/DZ149)</f><v /></c><c r="EC149" s="11"><f>IF(16=$B$49+$B$50,0,IF(16&gt;$B$49+$B$50,$B$56/DZ150,IF(16&gt;=$B$49,$B$56*$B$58/DZ150,($B$56*$B$58+$B$55)/DZ150)))</f><v /></c><c r="ED149" s="11"><f>IF(16=$B$49,-$K$66*$B$55,0)</f><v /></c><c r="EE149" s="11"><f>EC149/(EB149-EA149*EE148)</f><v /></c><c r="EF149" s="11"><f>(ED149-EA149*EF148)/(EB149-EA149*EE148)</f><v /></c><c r="EG149" s="15"><f>EF149-EE149*EG150</f><v /></c><c r="EH149" s="11"><f>IF(16&gt;$B$49+$B$50,$G$67*$B$54^$H$67,$E$67*$B$52^$F$67)</f><v /></c><c r="EI149" s="11"><f>IF(16=1,0,$B$57)</f><v /></c><c r="EJ149" s="11"><f>-($B$57+(IF(16&lt;=$B$49,$B$56*$B$58+$B$55,IF(16&lt;=$B$49+$B$50,$B$56*$B$58,$B$56)))/EH149)</f><v /></c><c r="EK149" s="11"><f>IF(16=$B$49+$B$50,0,IF(16&gt;$B$49+$B$50,$B$56/EH150,IF(16&gt;=$B$49,$B$56*$B$58/EH150,($B$56*$B$58+$B$55)/EH150)))</f><v /></c><c r="EL149" s="11"><f>IF(16=$B$49,-$K$67*$B$55,0)</f><v /></c><c r="EM149" s="11"><f>EK149/(EJ149-EI149*EM148)</f><v /></c><c r="EN149" s="11"><f>(EL149-EI149*EN148)/(EJ149-EI149*EM148)</f><v /></c><c r="EO149" s="15"><f>EN149-EM149*EO150</f><v /></c><c r="EP149" s="11"><f>IF(16&gt;$B$49+$B$50,$G$68*$B$54^$H$68,$E$68*$B$52^$F$68)</f><v /></c><c r="EQ149" s="11"><f>IF(16=1,0,$B$57)</f><v /></c><c r="ER149" s="11"><f>-($B$57+(IF(16&lt;=$B$49,$B$56*$B$58+$B$55,IF(16&lt;=$B$49+$B$50,$B$56*$B$58,$B$56)))/EP149)</f><v /></c><c r="ES149" s="11"><f>IF(16=$B$49+$B$50,0,IF(16&gt;$B$49+$B$50,$B$56/EP150,IF(16&gt;=$B$49,$B$56*$B$58/EP150,($B$56*$B$58+$B$55)/EP150)))</f><v /></c><c r="ET149" s="11"><f>IF(16=$B$49,-$K$68*$B$55,0)</f><v /></c><c r="EU149" s="11"><f>ES149/(ER149-EQ149*EU148)</f><v /></c><c r="EV149" s="11"><f>(ET149-EQ149*EV148)/(ER149-EQ149*EU148)</f><v /></c><c r="EW149" s="15"><f>EV149-EU149*EW150</f><v /></c><c r="EX149" s="11"><f>IF(16&gt;$B$49+$B$50,$G$69*$B$54^$H$69,$E$69*$B$52^$F$69)</f><v /></c><c r="EY149" s="11"><f>IF(16=1,0,$B$57)</f><v /></c><c r="EZ149" s="11"><f>-($B$57+(IF(16&lt;=$B$49,$B$56*$B$58+$B$55,IF(16&lt;=$B$49+$B$50,$B$56*$B$58,$B$56)))/EX149)</f><v /></c><c r="FA149" s="11"><f>IF(16=$B$49+$B$50,0,IF(16&gt;$B$49+$B$50,$B$56/EX150,IF(16&gt;=$B$49,$B$56*$B$58/EX150,($B$56*$B$58+$B$55)/EX150)))</f><v /></c><c r="FB149" s="11"><f>IF(16=$B$49,-$K$69*$B$55,0)</f><v /></c><c r="FC149" s="11"><f>FA149/(EZ149-EY149*FC148)</f><v /></c><c r="FD149" s="11"><f>(FB149-EY149*FD148)/(EZ149-EY149*FC148)</f><v /></c><c r="FE149" s="15"><f>FD149-FC149*FE150</f><v /></c><c r="FF149" s="11"><f>IF(16&gt;$B$49+$B$50,$G$70*$B$54^$H$70,$E$70*$B$52^$F$70)</f><v /></c><c r="FG149" s="11"><f>IF(16=1,0,$B$57)</f><v /></c><c r="FH149" s="11"><f>-($B$57+(IF(16&lt;=$B$49,$B$56*$B$58+$B$55,IF(16&lt;=$B$49+$B$50,$B$56*$B$58,$B$56)))/FF149)</f><v /></c><c r="FI149" s="11"><f>IF(16=$B$49+$B$50,0,IF(16&gt;$B$49+$B$50,$B$56/FF150,IF(16&gt;=$B$49,$B$56*$B$58/FF150,($B$56*$B$58+$B$55)/FF150)))</f><v /></c><c r="FJ149" s="11"><f>IF(16=$B$49,-$K$70*$B$55,0)</f><v /></c><c r="FK149" s="11"><f>FI149/(FH149-FG149*FK148)</f><v /></c><c r="FL149" s="11"><f>(FJ149-FG149*FL148)/(FH149-FG149*FK148)</f><v /></c><c r="FM149" s="15"><f>FL149-FK149*FM150</f><v /></c><c r="FN149" s="11"><f>IF(16&gt;$B$49+$B$50,$G$71*$B$54^$H$71,$E$71*$B$52^$F$71)</f><v /></c><c r="FO149" s="11"><f>IF(16=1,0,$B$57)</f><v /></c><c r="FP149" s="11"><f>-($B$57+(IF(16&lt;=$B$49,$B$56*$B$58+$B$55,IF(16&lt;=$B$49+$B$50,$B$56*$B$58,$B$56)))/FN149)</f><v /></c><c r="FQ149" s="11"><f>IF(16=$B$49+$B$50,0,IF(16&gt;$B$49+$B$50,$B$56/FN150,IF(16&gt;=$B$49,$B$56*$B$58/FN150,($B$56*$B$58+$B$55)/FN150)))</f><v /></c><c r="FR149" s="11"><f>IF(16=$B$49,-$K$71*$B$55,0)</f><v /></c><c r="FS149" s="11"><f>FQ149/(FP149-FO149*FS148)</f><v /></c><c r="FT149" s="11"><f>(FR149-FO149*FT148)/(FP149-FO149*FS148)</f><v /></c><c r="FU149" s="15"><f>FT149-FS149*FU150</f><v /></c><c r="FV149" s="11"><f>IF(16&gt;$B$49+$B$50,$G$72*$B$54^$H$72,$E$72*$B$52^$F$72)</f><v /></c><c r="FW149" s="11"><f>IF(16=1,0,$B$57)</f><v /></c><c r="FX149" s="11"><f>-($B$57+(IF(16&lt;=$B$49,$B$56*$B$58+$B$55,IF(16&lt;=$B$49+$B$50,$B$56*$B$58,$B$56)))/FV149)</f><v /></c><c r="FY149" s="11"><f>IF(16=$B$49+$B$50,0,IF(16&gt;$B$49+$B$50,$B$56/FV150,IF(16&gt;=$B$49,$B$56*$B$58/FV150,($B$56*$B$58+$B$55)/FV150)))</f><v /></c><c r="FZ149" s="11"><f>IF(16=$B$49,-$K$72*$B$55,0)</f><v /></c><c r="GA149" s="11"><f>FY149/(FX149-FW149*GA148)</f><v /></c><c r="GB149" s="11"><f>(FZ149-FW149*GB148)/(FX149-FW149*GA148)</f><v /></c><c r="GC149" s="15"><f>GB149-GA149*GC150</f><v /></c><c r="GD149" s="11"><f>IF(16&gt;$B$49+$B$50,$G$73*$B$54^$H$73,$E$73*$B$52^$F$73)</f><v /></c><c r="GE149" s="11"><f>IF(16=1,0,$B$57)</f><v /></c><c r="GF149" s="11"><f>-($B$57+(IF(16&lt;=$B$49,$B$56*$B$58+$B$55,IF(16&lt;=$B$49+$B$50,$B$56*$B$58,$B$56)))/GD149)</f><v /></c><c r="GG149" s="11"><f>IF(16=$B$49+$B$50,0,IF(16&gt;$B$49+$B$50,$B$56/GD150,IF(16&gt;=$B$49,$B$56*$B$58/GD150,($B$56*$B$58+$B$55)/GD150)))</f><v /></c><c r="GH149" s="11"><f>IF(16=$B$49,-$K$73*$B$55,0)</f><v /></c><c r="GI149" s="11"><f>GG149/(GF149-GE149*GI148)</f><v /></c><c r="GJ149" s="11"><f>(GH149-GE149*GJ148)/(GF149-GE149*GI148)</f><v /></c><c r="GK149" s="15"><f>GJ149-GI149*GK150</f><v /></c><c r="GL149" s="11"><f>IF(16&gt;$B$49+$B$50,$G$74*$B$54^$H$74,$E$74*$B$52^$F$74)</f><v /></c><c r="GM149" s="11"><f>IF(16=1,0,$B$57)</f><v /></c><c r="GN149" s="11"><f>-($B$57+(IF(16&lt;=$B$49,$B$56*$B$58+$B$55,IF(16&lt;=$B$49+$B$50,$B$56*$B$58,$B$56)))/GL149)</f><v /></c><c r="GO149" s="11"><f>IF(16=$B$49+$B$50,0,IF(16&gt;$B$49+$B$50,$B$56/GL150,IF(16&gt;=$B$49,$B$56*$B$58/GL150,($B$56*$B$58+$B$55)/GL150)))</f><v /></c><c r="GP149" s="11"><f>IF(16=$B$49,-$K$74*$B$55,0)</f><v /></c><c r="GQ149" s="11"><f>GO149/(GN149-GM149*GQ148)</f><v /></c><c r="GR149" s="11"><f>(GP149-GM149*GR148)/(GN149-GM149*GQ148)</f><v /></c><c r="GS149" s="15"><f>GR149-GQ149*GS150</f><v /></c><c r="GT149" s="11"><f>IF(16&gt;$B$49+$B$50,$G$75*$B$54^$H$75,$E$75*$B$52^$F$75)</f><v /></c><c r="GU149" s="11"><f>IF(16=1,0,$B$57)</f><v /></c><c r="GV149" s="11"><f>-($B$57+(IF(16&lt;=$B$49,$B$56*$B$58+$B$55,IF(16&lt;=$B$49+$B$50,$B$56*$B$58,$B$56)))/GT149)</f><v /></c><c r="GW149" s="11"><f>IF(16=$B$49+$B$50,0,IF(16&gt;$B$49+$B$50,$B$56/GT150,IF(16&gt;=$B$49,$B$56*$B$58/GT150,($B$56*$B$58+$B$55)/GT150)))</f><v /></c><c r="GX149" s="11"><f>IF(16=$B$49,-$K$75*$B$55,0)</f><v /></c><c r="GY149" s="11"><f>GW149/(GV149-GU149*GY148)</f><v /></c><c r="GZ149" s="11"><f>(GX149-GU149*GZ148)/(GV149-GU149*GY148)</f><v /></c><c r="HA149" s="15"><f>GZ149-GY149*HA150</f><v /></c><c r="HB149" s="13"><f>IFERROR(I149/B149,0)</f><v /></c><c r="HC149" s="13"><f>IFERROR(Q149/J149,0)</f><v /></c><c r="HD149" s="13"><f>IFERROR(Y149/R149,0)</f><v /></c><c r="HE149" s="13"><f>IFERROR(AG149/Z149,0)</f><v /></c><c r="HF149" s="13"><f>IFERROR(AO149/AH149,0)</f><v /></c><c r="HG149" s="13"><f>IFERROR(AW149/AP149,0)</f><v /></c><c r="HH149" s="13"><f>IFERROR(BE149/AX149,0)</f><v /></c><c r="HI149" s="13"><f>IFERROR(BM149/BF149,0)</f><v /></c><c r="HJ149" s="13"><f>IFERROR(BU149/BN149,0)</f><v /></c><c r="HK149" s="13"><f>IFERROR(CC149/BV149,0)</f><v /></c><c r="HL149" s="13"><f>IFERROR(CK149/CD149,0)</f><v /></c><c r="HM149" s="13"><f>IFERROR(CS149/CL149,0)</f><v /></c><c r="HN149" s="13"><f>IFERROR(DA149/CT149,0)</f><v /></c><c r="HO149" s="13"><f>IFERROR(DI149/DB149,0)</f><v /></c><c r="HP149" s="13"><f>IFERROR(DQ149/DJ149,0)</f><v /></c><c r="HQ149" s="13"><f>IFERROR(DY149/DR149,0)</f><v /></c><c r="HR149" s="13"><f>IFERROR(EG149/DZ149,0)</f><v /></c><c r="HS149" s="13"><f>IFERROR(EO149/EH149,0)</f><v /></c><c r="HT149" s="13"><f>IFERROR(EW149/EP149,0)</f><v /></c><c r="HU149" s="13"><f>IFERROR(FE149/EX149,0)</f><v /></c><c r="HV149" s="13"><f>IFERROR(FM149/FF149,0)</f><v /></c><c r="HW149" s="13"><f>IFERROR(FU149/FN149,0)</f><v /></c><c r="HX149" s="13"><f>IFERROR(GC149/FV149,0)</f><v /></c><c r="HY149" s="13"><f>IFERROR(GK149/GD149,0)</f><v /></c><c r="HZ149" s="13"><f>IFERROR(GS149/GL149,0)</f><v /></c><c r="IA149" s="13"><f>IFERROR(HA149/GT149,0)</f><v /></c><c r="IB149" s="13"><f>I149+Q149+Y149+AG149+AO149+AW149+BE149+BM149+BU149+CC149+CK149+CS149+DA149+DI149+DQ149+DY149+EG149+EO149+EW149+FE149+FM149+FU149+GC149+GK149+GS149+HA149</f><v /></c><c r="IC149" s="13"><f>HB149+HC149+HD149+HE149+HF149+HG149+HH149+HI149+HJ149+HK149+HL149+HM149+HN149+HO149+HP149+HQ149+HR149+HS149+HT149+HU149+HV149+HW149+HX149+HY149+HZ149+IA149</f><v /></c></row><row r="150" ht="14" customHeight="1"><c r="A150" s="25" t="n"><v>17</v></c><c r="B150" s="11"><f>IF(17&gt;$B$49+$B$50,$G$50*$B$54^$H$50,$E$50*$B$52^$F$50)</f><v /></c><c r="C150" s="11"><f>IF(17=1,0,$B$57)</f><v /></c><c r="D150" s="11"><f>-($B$57+(IF(17&lt;=$B$49,$B$56*$B$58+$B$55,IF(17&lt;=$B$49+$B$50,$B$56*$B$58,$B$56)))/B150)</f><v /></c><c r="E150" s="11"><f>IF(17=$B$49+$B$50,0,IF(17&gt;$B$49+$B$50,$B$56/B151,IF(17&gt;=$B$49,$B$56*$B$58/B151,($B$56*$B$58+$B$55)/B151)))</f><v /></c><c r="F150" s="11"><f>IF(17=$B$49,-$K$50*$B$55,0)</f><v /></c><c r="G150" s="11"><f>E150/(D150-C150*G149)</f><v /></c><c r="H150" s="11"><f>(F150-C150*H149)/(D150-C150*G149)</f><v /></c><c r="I150" s="15"><f>H150-G150*I151</f><v /></c><c r="J150" s="11"><f>IF(17&gt;$B$49+$B$50,$G$51*$B$54^$H$51,$E$51*$B$52^$F$51)</f><v /></c><c r="K150" s="11"><f>IF(17=1,0,$B$57)</f><v /></c><c r="L150" s="11"><f>-($B$57+(IF(17&lt;=$B$49,$B$56*$B$58+$B$55,IF(17&lt;=$B$49+$B$50,$B$56*$B$58,$B$56)))/J150)</f><v /></c><c r="M150" s="11"><f>IF(17=$B$49+$B$50,0,IF(17&gt;$B$49+$B$50,$B$56/J151,IF(17&gt;=$B$49,$B$56*$B$58/J151,($B$56*$B$58+$B$55)/J151)))</f><v /></c><c r="N150" s="11"><f>IF(17=$B$49,-$K$51*$B$55,0)</f><v /></c><c r="O150" s="11"><f>M150/(L150-K150*O149)</f><v /></c><c r="P150" s="11"><f>(N150-K150*P149)/(L150-K150*O149)</f><v /></c><c r="Q150" s="15"><f>P150-O150*Q151</f><v /></c><c r="R150" s="11"><f>IF(17&gt;$B$49+$B$50,$G$52*$B$54^$H$52,$E$52*$B$52^$F$52)</f><v /></c><c r="S150" s="11"><f>IF(17=1,0,$B$57)</f><v /></c><c r="T150" s="11"><f>-($B$57+(IF(17&lt;=$B$49,$B$56*$B$58+$B$55,IF(17&lt;=$B$49+$B$50,$B$56*$B$58,$B$56)))/R150)</f><v /></c><c r="U150" s="11"><f>IF(17=$B$49+$B$50,0,IF(17&gt;$B$49+$B$50,$B$56/R151,IF(17&gt;=$B$49,$B$56*$B$58/R151,($B$56*$B$58+$B$55)/R151)))</f><v /></c><c r="V150" s="11"><f>IF(17=$B$49,-$K$52*$B$55,0)</f><v /></c><c r="W150" s="11"><f>U150/(T150-S150*W149)</f><v /></c><c r="X150" s="11"><f>(V150-S150*X149)/(T150-S150*W149)</f><v /></c><c r="Y150" s="15"><f>X150-W150*Y151</f><v /></c><c r="Z150" s="11"><f>IF(17&gt;$B$49+$B$50,$G$53*$B$54^$H$53,$E$53*$B$52^$F$53)</f><v /></c><c r="AA150" s="11"><f>IF(17=1,0,$B$57)</f><v /></c><c r="AB150" s="11"><f>-($B$57+(IF(17&lt;=$B$49,$B$56*$B$58+$B$55,IF(17&lt;=$B$49+$B$50,$B$56*$B$58,$B$56)))/Z150)</f><v /></c><c r="AC150" s="11"><f>IF(17=$B$49+$B$50,0,IF(17&gt;$B$49+$B$50,$B$56/Z151,IF(17&gt;=$B$49,$B$56*$B$58/Z151,($B$56*$B$58+$B$55)/Z151)))</f><v /></c><c r="AD150" s="11"><f>IF(17=$B$49,-$K$53*$B$55,0)</f><v /></c><c r="AE150" s="11"><f>AC150/(AB150-AA150*AE149)</f><v /></c><c r="AF150" s="11"><f>(AD150-AA150*AF149)/(AB150-AA150*AE149)</f><v /></c><c r="AG150" s="15"><f>AF150-AE150*AG151</f><v /></c><c r="AH150" s="11"><f>IF(17&gt;$B$49+$B$50,$G$54*$B$54^$H$54,$E$54*$B$52^$F$54)</f><v /></c><c r="AI150" s="11"><f>IF(17=1,0,$B$57)</f><v /></c><c r="AJ150" s="11"><f>-($B$57+(IF(17&lt;=$B$49,$B$56*$B$58+$B$55,IF(17&lt;=$B$49+$B$50,$B$56*$B$58,$B$56)))/AH150)</f><v /></c><c r="AK150" s="11"><f>IF(17=$B$49+$B$50,0,IF(17&gt;$B$49+$B$50,$B$56/AH151,IF(17&gt;=$B$49,$B$56*$B$58/AH151,($B$56*$B$58+$B$55)/AH151)))</f><v /></c><c r="AL150" s="11"><f>IF(17=$B$49,-$K$54*$B$55,0)</f><v /></c><c r="AM150" s="11"><f>AK150/(AJ150-AI150*AM149)</f><v /></c><c r="AN150" s="11"><f>(AL150-AI150*AN149)/(AJ150-AI150*AM149)</f><v /></c><c r="AO150" s="15"><f>AN150-AM150*AO151</f><v /></c><c r="AP150" s="11"><f>IF(17&gt;$B$49+$B$50,$G$55*$B$54^$H$55,$E$55*$B$52^$F$55)</f><v /></c><c r="AQ150" s="11"><f>IF(17=1,0,$B$57)</f><v /></c><c r="AR150" s="11"><f>-($B$57+(IF(17&lt;=$B$49,$B$56*$B$58+$B$55,IF(17&lt;=$B$49+$B$50,$B$56*$B$58,$B$56)))/AP150)</f><v /></c><c r="AS150" s="11"><f>IF(17=$B$49+$B$50,0,IF(17&gt;$B$49+$B$50,$B$56/AP151,IF(17&gt;=$B$49,$B$56*$B$58/AP151,($B$56*$B$58+$B$55)/AP151)))</f><v /></c><c r="AT150" s="11"><f>IF(17=$B$49,-$K$55*$B$55,0)</f><v /></c><c r="AU150" s="11"><f>AS150/(AR150-AQ150*AU149)</f><v /></c><c r="AV150" s="11"><f>(AT150-AQ150*AV149)/(AR150-AQ150*AU149)</f><v /></c><c r="AW150" s="15"><f>AV150-AU150*AW151</f><v /></c><c r="AX150" s="11"><f>IF(17&gt;$B$49+$B$50,$G$56*$B$54^$H$56,$E$56*$B$52^$F$56)</f><v /></c><c r="AY150" s="11"><f>IF(17=1,0,$B$57)</f><v /></c><c r="AZ150" s="11"><f>-($B$57+(IF(17&lt;=$B$49,$B$56*$B$58+$B$55,IF(17&lt;=$B$49+$B$50,$B$56*$B$58,$B$56)))/AX150)</f><v /></c><c r="BA150" s="11"><f>IF(17=$B$49+$B$50,0,IF(17&gt;$B$49+$B$50,$B$56/AX151,IF(17&gt;=$B$49,$B$56*$B$58/AX151,($B$56*$B$58+$B$55)/AX151)))</f><v /></c><c r="BB150" s="11"><f>IF(17=$B$49,-$K$56*$B$55,0)</f><v /></c><c r="BC150" s="11"><f>BA150/(AZ150-AY150*BC149)</f><v /></c><c r="BD150" s="11"><f>(BB150-AY150*BD149)/(AZ150-AY150*BC149)</f><v /></c><c r="BE150" s="15"><f>BD150-BC150*BE151</f><v /></c><c r="BF150" s="11"><f>IF(17&gt;$B$49+$B$50,$G$57*$B$54^$H$57,$E$57*$B$52^$F$57)</f><v /></c><c r="BG150" s="11"><f>IF(17=1,0,$B$57)</f><v /></c><c r="BH150" s="11"><f>-($B$57+(IF(17&lt;=$B$49,$B$56*$B$58+$B$55,IF(17&lt;=$B$49+$B$50,$B$56*$B$58,$B$56)))/BF150)</f><v /></c><c r="BI150" s="11"><f>IF(17=$B$49+$B$50,0,IF(17&gt;$B$49+$B$50,$B$56/BF151,IF(17&gt;=$B$49,$B$56*$B$58/BF151,($B$56*$B$58+$B$55)/BF151)))</f><v /></c><c r="BJ150" s="11"><f>IF(17=$B$49,-$K$57*$B$55,0)</f><v /></c><c r="BK150" s="11"><f>BI150/(BH150-BG150*BK149)</f><v /></c><c r="BL150" s="11"><f>(BJ150-BG150*BL149)/(BH150-BG150*BK149)</f><v /></c><c r="BM150" s="15"><f>BL150-BK150*BM151</f><v /></c><c r="BN150" s="11"><f>IF(17&gt;$B$49+$B$50,$G$58*$B$54^$H$58,$E$58*$B$52^$F$58)</f><v /></c><c r="BO150" s="11"><f>IF(17=1,0,$B$57)</f><v /></c><c r="BP150" s="11"><f>-($B$57+(IF(17&lt;=$B$49,$B$56*$B$58+$B$55,IF(17&lt;=$B$49+$B$50,$B$56*$B$58,$B$56)))/BN150)</f><v /></c><c r="BQ150" s="11"><f>IF(17=$B$49+$B$50,0,IF(17&gt;$B$49+$B$50,$B$56/BN151,IF(17&gt;=$B$49,$B$56*$B$58/BN151,($B$56*$B$58+$B$55)/BN151)))</f><v /></c><c r="BR150" s="11"><f>IF(17=$B$49,-$K$58*$B$55,0)</f><v /></c><c r="BS150" s="11"><f>BQ150/(BP150-BO150*BS149)</f><v /></c><c r="BT150" s="11"><f>(BR150-BO150*BT149)/(BP150-BO150*BS149)</f><v /></c><c r="BU150" s="15"><f>BT150-BS150*BU151</f><v /></c><c r="BV150" s="11"><f>IF(17&gt;$B$49+$B$50,$G$59*$B$54^$H$59,$E$59*$B$52^$F$59)</f><v /></c><c r="BW150" s="11"><f>IF(17=1,0,$B$57)</f><v /></c><c r="BX150" s="11"><f>-($B$57+(IF(17&lt;=$B$49,$B$56*$B$58+$B$55,IF(17&lt;=$B$49+$B$50,$B$56*$B$58,$B$56)))/BV150)</f><v /></c><c r="BY150" s="11"><f>IF(17=$B$49+$B$50,0,IF(17&gt;$B$49+$B$50,$B$56/BV151,IF(17&gt;=$B$49,$B$56*$B$58/BV151,($B$56*$B$58+$B$55)/BV151)))</f><v /></c><c r="BZ150" s="11"><f>IF(17=$B$49,-$K$59*$B$55,0)</f><v /></c><c r="CA150" s="11"><f>BY150/(BX150-BW150*CA149)</f><v /></c><c r="CB150" s="11"><f>(BZ150-BW150*CB149)/(BX150-BW150*CA149)</f><v /></c><c r="CC150" s="15"><f>CB150-CA150*CC151</f><v /></c><c r="CD150" s="11"><f>IF(17&gt;$B$49+$B$50,$G$60*$B$54^$H$60,$E$60*$B$52^$F$60)</f><v /></c><c r="CE150" s="11"><f>IF(17=1,0,$B$57)</f><v /></c><c r="CF150" s="11"><f>-($B$57+(IF(17&lt;=$B$49,$B$56*$B$58+$B$55,IF(17&lt;=$B$49+$B$50,$B$56*$B$58,$B$56)))/CD150)</f><v /></c><c r="CG150" s="11"><f>IF(17=$B$49+$B$50,0,IF(17&gt;$B$49+$B$50,$B$56/CD151,IF(17&gt;=$B$49,$B$56*$B$58/CD151,($B$56*$B$58+$B$55)/CD151)))</f><v /></c><c r="CH150" s="11"><f>IF(17=$B$49,-$K$60*$B$55,0)</f><v /></c><c r="CI150" s="11"><f>CG150/(CF150-CE150*CI149)</f><v /></c><c r="CJ150" s="11"><f>(CH150-CE150*CJ149)/(CF150-CE150*CI149)</f><v /></c><c r="CK150" s="15"><f>CJ150-CI150*CK151</f><v /></c><c r="CL150" s="11"><f>IF(17&gt;$B$49+$B$50,$G$61*$B$54^$H$61,$E$61*$B$52^$F$61)</f><v /></c><c r="CM150" s="11"><f>IF(17=1,0,$B$57)</f><v /></c><c r="CN150" s="11"><f>-($B$57+(IF(17&lt;=$B$49,$B$56*$B$58+$B$55,IF(17&lt;=$B$49+$B$50,$B$56*$B$58,$B$56)))/CL150)</f><v /></c><c r="CO150" s="11"><f>IF(17=$B$49+$B$50,0,IF(17&gt;$B$49+$B$50,$B$56/CL151,IF(17&gt;=$B$49,$B$56*$B$58/CL151,($B$56*$B$58+$B$55)/CL151)))</f><v /></c><c r="CP150" s="11"><f>IF(17=$B$49,-$K$61*$B$55,0)</f><v /></c><c r="CQ150" s="11"><f>CO150/(CN150-CM150*CQ149)</f><v /></c><c r="CR150" s="11"><f>(CP150-CM150*CR149)/(CN150-CM150*CQ149)</f><v /></c><c r="CS150" s="15"><f>CR150-CQ150*CS151</f><v /></c><c r="CT150" s="11"><f>IF(17&gt;$B$49+$B$50,$G$62*$B$54^$H$62,$E$62*$B$52^$F$62)</f><v /></c><c r="CU150" s="11"><f>IF(17=1,0,$B$57)</f><v /></c><c r="CV150" s="11"><f>-($B$57+(IF(17&lt;=$B$49,$B$56*$B$58+$B$55,IF(17&lt;=$B$49+$B$50,$B$56*$B$58,$B$56)))/CT150)</f><v /></c><c r="CW150" s="11"><f>IF(17=$B$49+$B$50,0,IF(17&gt;$B$49+$B$50,$B$56/CT151,IF(17&gt;=$B$49,$B$56*$B$58/CT151,($B$56*$B$58+$B$55)/CT151)))</f><v /></c><c r="CX150" s="11"><f>IF(17=$B$49,-$K$62*$B$55,0)</f><v /></c><c r="CY150" s="11"><f>CW150/(CV150-CU150*CY149)</f><v /></c><c r="CZ150" s="11"><f>(CX150-CU150*CZ149)/(CV150-CU150*CY149)</f><v /></c><c r="DA150" s="15"><f>CZ150-CY150*DA151</f><v /></c><c r="DB150" s="11"><f>IF(17&gt;$B$49+$B$50,$G$63*$B$54^$H$63,$E$63*$B$52^$F$63)</f><v /></c><c r="DC150" s="11"><f>IF(17=1,0,$B$57)</f><v /></c><c r="DD150" s="11"><f>-($B$57+(IF(17&lt;=$B$49,$B$56*$B$58+$B$55,IF(17&lt;=$B$49+$B$50,$B$56*$B$58,$B$56)))/DB150)</f><v /></c><c r="DE150" s="11"><f>IF(17=$B$49+$B$50,0,IF(17&gt;$B$49+$B$50,$B$56/DB151,IF(17&gt;=$B$49,$B$56*$B$58/DB151,($B$56*$B$58+$B$55)/DB151)))</f><v /></c><c r="DF150" s="11"><f>IF(17=$B$49,-$K$63*$B$55,0)</f><v /></c><c r="DG150" s="11"><f>DE150/(DD150-DC150*DG149)</f><v /></c><c r="DH150" s="11"><f>(DF150-DC150*DH149)/(DD150-DC150*DG149)</f><v /></c><c r="DI150" s="15"><f>DH150-DG150*DI151</f><v /></c><c r="DJ150" s="11"><f>IF(17&gt;$B$49+$B$50,$G$64*$B$54^$H$64,$E$64*$B$52^$F$64)</f><v /></c><c r="DK150" s="11"><f>IF(17=1,0,$B$57)</f><v /></c><c r="DL150" s="11"><f>-($B$57+(IF(17&lt;=$B$49,$B$56*$B$58+$B$55,IF(17&lt;=$B$49+$B$50,$B$56*$B$58,$B$56)))/DJ150)</f><v /></c><c r="DM150" s="11"><f>IF(17=$B$49+$B$50,0,IF(17&gt;$B$49+$B$50,$B$56/DJ151,IF(17&gt;=$B$49,$B$56*$B$58/DJ151,($B$56*$B$58+$B$55)/DJ151)))</f><v /></c><c r="DN150" s="11"><f>IF(17=$B$49,-$K$64*$B$55,0)</f><v /></c><c r="DO150" s="11"><f>DM150/(DL150-DK150*DO149)</f><v /></c><c r="DP150" s="11"><f>(DN150-DK150*DP149)/(DL150-DK150*DO149)</f><v /></c><c r="DQ150" s="15"><f>DP150-DO150*DQ151</f><v /></c><c r="DR150" s="11"><f>IF(17&gt;$B$49+$B$50,$G$65*$B$54^$H$65,$E$65*$B$52^$F$65)</f><v /></c><c r="DS150" s="11"><f>IF(17=1,0,$B$57)</f><v /></c><c r="DT150" s="11"><f>-($B$57+(IF(17&lt;=$B$49,$B$56*$B$58+$B$55,IF(17&lt;=$B$49+$B$50,$B$56*$B$58,$B$56)))/DR150)</f><v /></c><c r="DU150" s="11"><f>IF(17=$B$49+$B$50,0,IF(17&gt;$B$49+$B$50,$B$56/DR151,IF(17&gt;=$B$49,$B$56*$B$58/DR151,($B$56*$B$58+$B$55)/DR151)))</f><v /></c><c r="DV150" s="11"><f>IF(17=$B$49,-$K$65*$B$55,0)</f><v /></c><c r="DW150" s="11"><f>DU150/(DT150-DS150*DW149)</f><v /></c><c r="DX150" s="11"><f>(DV150-DS150*DX149)/(DT150-DS150*DW149)</f><v /></c><c r="DY150" s="15"><f>DX150-DW150*DY151</f><v /></c><c r="DZ150" s="11"><f>IF(17&gt;$B$49+$B$50,$G$66*$B$54^$H$66,$E$66*$B$52^$F$66)</f><v /></c><c r="EA150" s="11"><f>IF(17=1,0,$B$57)</f><v /></c><c r="EB150" s="11"><f>-($B$57+(IF(17&lt;=$B$49,$B$56*$B$58+$B$55,IF(17&lt;=$B$49+$B$50,$B$56*$B$58,$B$56)))/DZ150)</f><v /></c><c r="EC150" s="11"><f>IF(17=$B$49+$B$50,0,IF(17&gt;$B$49+$B$50,$B$56/DZ151,IF(17&gt;=$B$49,$B$56*$B$58/DZ151,($B$56*$B$58+$B$55)/DZ151)))</f><v /></c><c r="ED150" s="11"><f>IF(17=$B$49,-$K$66*$B$55,0)</f><v /></c><c r="EE150" s="11"><f>EC150/(EB150-EA150*EE149)</f><v /></c><c r="EF150" s="11"><f>(ED150-EA150*EF149)/(EB150-EA150*EE149)</f><v /></c><c r="EG150" s="15"><f>EF150-EE150*EG151</f><v /></c><c r="EH150" s="11"><f>IF(17&gt;$B$49+$B$50,$G$67*$B$54^$H$67,$E$67*$B$52^$F$67)</f><v /></c><c r="EI150" s="11"><f>IF(17=1,0,$B$57)</f><v /></c><c r="EJ150" s="11"><f>-($B$57+(IF(17&lt;=$B$49,$B$56*$B$58+$B$55,IF(17&lt;=$B$49+$B$50,$B$56*$B$58,$B$56)))/EH150)</f><v /></c><c r="EK150" s="11"><f>IF(17=$B$49+$B$50,0,IF(17&gt;$B$49+$B$50,$B$56/EH151,IF(17&gt;=$B$49,$B$56*$B$58/EH151,($B$56*$B$58+$B$55)/EH151)))</f><v /></c><c r="EL150" s="11"><f>IF(17=$B$49,-$K$67*$B$55,0)</f><v /></c><c r="EM150" s="11"><f>EK150/(EJ150-EI150*EM149)</f><v /></c><c r="EN150" s="11"><f>(EL150-EI150*EN149)/(EJ150-EI150*EM149)</f><v /></c><c r="EO150" s="15"><f>EN150-EM150*EO151</f><v /></c><c r="EP150" s="11"><f>IF(17&gt;$B$49+$B$50,$G$68*$B$54^$H$68,$E$68*$B$52^$F$68)</f><v /></c><c r="EQ150" s="11"><f>IF(17=1,0,$B$57)</f><v /></c><c r="ER150" s="11"><f>-($B$57+(IF(17&lt;=$B$49,$B$56*$B$58+$B$55,IF(17&lt;=$B$49+$B$50,$B$56*$B$58,$B$56)))/EP150)</f><v /></c><c r="ES150" s="11"><f>IF(17=$B$49+$B$50,0,IF(17&gt;$B$49+$B$50,$B$56/EP151,IF(17&gt;=$B$49,$B$56*$B$58/EP151,($B$56*$B$58+$B$55)/EP151)))</f><v /></c><c r="ET150" s="11"><f>IF(17=$B$49,-$K$68*$B$55,0)</f><v /></c><c r="EU150" s="11"><f>ES150/(ER150-EQ150*EU149)</f><v /></c><c r="EV150" s="11"><f>(ET150-EQ150*EV149)/(ER150-EQ150*EU149)</f><v /></c><c r="EW150" s="15"><f>EV150-EU150*EW151</f><v /></c><c r="EX150" s="11"><f>IF(17&gt;$B$49+$B$50,$G$69*$B$54^$H$69,$E$69*$B$52^$F$69)</f><v /></c><c r="EY150" s="11"><f>IF(17=1,0,$B$57)</f><v /></c><c r="EZ150" s="11"><f>-($B$57+(IF(17&lt;=$B$49,$B$56*$B$58+$B$55,IF(17&lt;=$B$49+$B$50,$B$56*$B$58,$B$56)))/EX150)</f><v /></c><c r="FA150" s="11"><f>IF(17=$B$49+$B$50,0,IF(17&gt;$B$49+$B$50,$B$56/EX151,IF(17&gt;=$B$49,$B$56*$B$58/EX151,($B$56*$B$58+$B$55)/EX151)))</f><v /></c><c r="FB150" s="11"><f>IF(17=$B$49,-$K$69*$B$55,0)</f><v /></c><c r="FC150" s="11"><f>FA150/(EZ150-EY150*FC149)</f><v /></c><c r="FD150" s="11"><f>(FB150-EY150*FD149)/(EZ150-EY150*FC149)</f><v /></c><c r="FE150" s="15"><f>FD150-FC150*FE151</f><v /></c><c r="FF150" s="11"><f>IF(17&gt;$B$49+$B$50,$G$70*$B$54^$H$70,$E$70*$B$52^$F$70)</f><v /></c><c r="FG150" s="11"><f>IF(17=1,0,$B$57)</f><v /></c><c r="FH150" s="11"><f>-($B$57+(IF(17&lt;=$B$49,$B$56*$B$58+$B$55,IF(17&lt;=$B$49+$B$50,$B$56*$B$58,$B$56)))/FF150)</f><v /></c><c r="FI150" s="11"><f>IF(17=$B$49+$B$50,0,IF(17&gt;$B$49+$B$50,$B$56/FF151,IF(17&gt;=$B$49,$B$56*$B$58/FF151,($B$56*$B$58+$B$55)/FF151)))</f><v /></c><c r="FJ150" s="11"><f>IF(17=$B$49,-$K$70*$B$55,0)</f><v /></c><c r="FK150" s="11"><f>FI150/(FH150-FG150*FK149)</f><v /></c><c r="FL150" s="11"><f>(FJ150-FG150*FL149)/(FH150-FG150*FK149)</f><v /></c><c r="FM150" s="15"><f>FL150-FK150*FM151</f><v /></c><c r="FN150" s="11"><f>IF(17&gt;$B$49+$B$50,$G$71*$B$54^$H$71,$E$71*$B$52^$F$71)</f><v /></c><c r="FO150" s="11"><f>IF(17=1,0,$B$57)</f><v /></c><c r="FP150" s="11"><f>-($B$57+(IF(17&lt;=$B$49,$B$56*$B$58+$B$55,IF(17&lt;=$B$49+$B$50,$B$56*$B$58,$B$56)))/FN150)</f><v /></c><c r="FQ150" s="11"><f>IF(17=$B$49+$B$50,0,IF(17&gt;$B$49+$B$50,$B$56/FN151,IF(17&gt;=$B$49,$B$56*$B$58/FN151,($B$56*$B$58+$B$55)/FN151)))</f><v /></c><c r="FR150" s="11"><f>IF(17=$B$49,-$K$71*$B$55,0)</f><v /></c><c r="FS150" s="11"><f>FQ150/(FP150-FO150*FS149)</f><v /></c><c r="FT150" s="11"><f>(FR150-FO150*FT149)/(FP150-FO150*FS149)</f><v /></c><c r="FU150" s="15"><f>FT150-FS150*FU151</f><v /></c><c r="FV150" s="11"><f>IF(17&gt;$B$49+$B$50,$G$72*$B$54^$H$72,$E$72*$B$52^$F$72)</f><v /></c><c r="FW150" s="11"><f>IF(17=1,0,$B$57)</f><v /></c><c r="FX150" s="11"><f>-($B$57+(IF(17&lt;=$B$49,$B$56*$B$58+$B$55,IF(17&lt;=$B$49+$B$50,$B$56*$B$58,$B$56)))/FV150)</f><v /></c><c r="FY150" s="11"><f>IF(17=$B$49+$B$50,0,IF(17&gt;$B$49+$B$50,$B$56/FV151,IF(17&gt;=$B$49,$B$56*$B$58/FV151,($B$56*$B$58+$B$55)/FV151)))</f><v /></c><c r="FZ150" s="11"><f>IF(17=$B$49,-$K$72*$B$55,0)</f><v /></c><c r="GA150" s="11"><f>FY150/(FX150-FW150*GA149)</f><v /></c><c r="GB150" s="11"><f>(FZ150-FW150*GB149)/(FX150-FW150*GA149)</f><v /></c><c r="GC150" s="15"><f>GB150-GA150*GC151</f><v /></c><c r="GD150" s="11"><f>IF(17&gt;$B$49+$B$50,$G$73*$B$54^$H$73,$E$73*$B$52^$F$73)</f><v /></c><c r="GE150" s="11"><f>IF(17=1,0,$B$57)</f><v /></c><c r="GF150" s="11"><f>-($B$57+(IF(17&lt;=$B$49,$B$56*$B$58+$B$55,IF(17&lt;=$B$49+$B$50,$B$56*$B$58,$B$56)))/GD150)</f><v /></c><c r="GG150" s="11"><f>IF(17=$B$49+$B$50,0,IF(17&gt;$B$49+$B$50,$B$56/GD151,IF(17&gt;=$B$49,$B$56*$B$58/GD151,($B$56*$B$58+$B$55)/GD151)))</f><v /></c><c r="GH150" s="11"><f>IF(17=$B$49,-$K$73*$B$55,0)</f><v /></c><c r="GI150" s="11"><f>GG150/(GF150-GE150*GI149)</f><v /></c><c r="GJ150" s="11"><f>(GH150-GE150*GJ149)/(GF150-GE150*GI149)</f><v /></c><c r="GK150" s="15"><f>GJ150-GI150*GK151</f><v /></c><c r="GL150" s="11"><f>IF(17&gt;$B$49+$B$50,$G$74*$B$54^$H$74,$E$74*$B$52^$F$74)</f><v /></c><c r="GM150" s="11"><f>IF(17=1,0,$B$57)</f><v /></c><c r="GN150" s="11"><f>-($B$57+(IF(17&lt;=$B$49,$B$56*$B$58+$B$55,IF(17&lt;=$B$49+$B$50,$B$56*$B$58,$B$56)))/GL150)</f><v /></c><c r="GO150" s="11"><f>IF(17=$B$49+$B$50,0,IF(17&gt;$B$49+$B$50,$B$56/GL151,IF(17&gt;=$B$49,$B$56*$B$58/GL151,($B$56*$B$58+$B$55)/GL151)))</f><v /></c><c r="GP150" s="11"><f>IF(17=$B$49,-$K$74*$B$55,0)</f><v /></c><c r="GQ150" s="11"><f>GO150/(GN150-GM150*GQ149)</f><v /></c><c r="GR150" s="11"><f>(GP150-GM150*GR149)/(GN150-GM150*GQ149)</f><v /></c><c r="GS150" s="15"><f>GR150-GQ150*GS151</f><v /></c><c r="GT150" s="11"><f>IF(17&gt;$B$49+$B$50,$G$75*$B$54^$H$75,$E$75*$B$52^$F$75)</f><v /></c><c r="GU150" s="11"><f>IF(17=1,0,$B$57)</f><v /></c><c r="GV150" s="11"><f>-($B$57+(IF(17&lt;=$B$49,$B$56*$B$58+$B$55,IF(17&lt;=$B$49+$B$50,$B$56*$B$58,$B$56)))/GT150)</f><v /></c><c r="GW150" s="11"><f>IF(17=$B$49+$B$50,0,IF(17&gt;$B$49+$B$50,$B$56/GT151,IF(17&gt;=$B$49,$B$56*$B$58/GT151,($B$56*$B$58+$B$55)/GT151)))</f><v /></c><c r="GX150" s="11"><f>IF(17=$B$49,-$K$75*$B$55,0)</f><v /></c><c r="GY150" s="11"><f>GW150/(GV150-GU150*GY149)</f><v /></c><c r="GZ150" s="11"><f>(GX150-GU150*GZ149)/(GV150-GU150*GY149)</f><v /></c><c r="HA150" s="15"><f>GZ150-GY150*HA151</f><v /></c><c r="HB150" s="13"><f>IFERROR(I150/B150,0)</f><v /></c><c r="HC150" s="13"><f>IFERROR(Q150/J150,0)</f><v /></c><c r="HD150" s="13"><f>IFERROR(Y150/R150,0)</f><v /></c><c r="HE150" s="13"><f>IFERROR(AG150/Z150,0)</f><v /></c><c r="HF150" s="13"><f>IFERROR(AO150/AH150,0)</f><v /></c><c r="HG150" s="13"><f>IFERROR(AW150/AP150,0)</f><v /></c><c r="HH150" s="13"><f>IFERROR(BE150/AX150,0)</f><v /></c><c r="HI150" s="13"><f>IFERROR(BM150/BF150,0)</f><v /></c><c r="HJ150" s="13"><f>IFERROR(BU150/BN150,0)</f><v /></c><c r="HK150" s="13"><f>IFERROR(CC150/BV150,0)</f><v /></c><c r="HL150" s="13"><f>IFERROR(CK150/CD150,0)</f><v /></c><c r="HM150" s="13"><f>IFERROR(CS150/CL150,0)</f><v /></c><c r="HN150" s="13"><f>IFERROR(DA150/CT150,0)</f><v /></c><c r="HO150" s="13"><f>IFERROR(DI150/DB150,0)</f><v /></c><c r="HP150" s="13"><f>IFERROR(DQ150/DJ150,0)</f><v /></c><c r="HQ150" s="13"><f>IFERROR(DY150/DR150,0)</f><v /></c><c r="HR150" s="13"><f>IFERROR(EG150/DZ150,0)</f><v /></c><c r="HS150" s="13"><f>IFERROR(EO150/EH150,0)</f><v /></c><c r="HT150" s="13"><f>IFERROR(EW150/EP150,0)</f><v /></c><c r="HU150" s="13"><f>IFERROR(FE150/EX150,0)</f><v /></c><c r="HV150" s="13"><f>IFERROR(FM150/FF150,0)</f><v /></c><c r="HW150" s="13"><f>IFERROR(FU150/FN150,0)</f><v /></c><c r="HX150" s="13"><f>IFERROR(GC150/FV150,0)</f><v /></c><c r="HY150" s="13"><f>IFERROR(GK150/GD150,0)</f><v /></c><c r="HZ150" s="13"><f>IFERROR(GS150/GL150,0)</f><v /></c><c r="IA150" s="13"><f>IFERROR(HA150/GT150,0)</f><v /></c><c r="IB150" s="13"><f>I150+Q150+Y150+AG150+AO150+AW150+BE150+BM150+BU150+CC150+CK150+CS150+DA150+DI150+DQ150+DY150+EG150+EO150+EW150+FE150+FM150+FU150+GC150+GK150+GS150+HA150</f><v /></c><c r="IC150" s="13"><f>HB150+HC150+HD150+HE150+HF150+HG150+HH150+HI150+HJ150+HK150+HL150+HM150+HN150+HO150+HP150+HQ150+HR150+HS150+HT150+HU150+HV150+HW150+HX150+HY150+HZ150+IA150</f><v /></c></row><row r="151" ht="14" customHeight="1"><c r="A151" s="25" t="n"><v>18</v></c><c r="B151" s="11"><f>IF(18&gt;$B$49+$B$50,$G$50*$B$54^$H$50,$E$50*$B$52^$F$50)</f><v /></c><c r="C151" s="11"><f>IF(18=1,0,$B$57)</f><v /></c><c r="D151" s="11"><f>-($B$57+(IF(18&lt;=$B$49,$B$56*$B$58+$B$55,IF(18&lt;=$B$49+$B$50,$B$56*$B$58,$B$56)))/B151)</f><v /></c><c r="E151" s="11"><f>IF(18=$B$49+$B$50,0,IF(18&gt;$B$49+$B$50,$B$56/B152,IF(18&gt;=$B$49,$B$56*$B$58/B152,($B$56*$B$58+$B$55)/B152)))</f><v /></c><c r="F151" s="11"><f>IF(18=$B$49,-$K$50*$B$55,0)</f><v /></c><c r="G151" s="11"><f>E151/(D151-C151*G150)</f><v /></c><c r="H151" s="11"><f>(F151-C151*H150)/(D151-C151*G150)</f><v /></c><c r="I151" s="15"><f>H151-G151*I152</f><v /></c><c r="J151" s="11"><f>IF(18&gt;$B$49+$B$50,$G$51*$B$54^$H$51,$E$51*$B$52^$F$51)</f><v /></c><c r="K151" s="11"><f>IF(18=1,0,$B$57)</f><v /></c><c r="L151" s="11"><f>-($B$57+(IF(18&lt;=$B$49,$B$56*$B$58+$B$55,IF(18&lt;=$B$49+$B$50,$B$56*$B$58,$B$56)))/J151)</f><v /></c><c r="M151" s="11"><f>IF(18=$B$49+$B$50,0,IF(18&gt;$B$49+$B$50,$B$56/J152,IF(18&gt;=$B$49,$B$56*$B$58/J152,($B$56*$B$58+$B$55)/J152)))</f><v /></c><c r="N151" s="11"><f>IF(18=$B$49,-$K$51*$B$55,0)</f><v /></c><c r="O151" s="11"><f>M151/(L151-K151*O150)</f><v /></c><c r="P151" s="11"><f>(N151-K151*P150)/(L151-K151*O150)</f><v /></c><c r="Q151" s="15"><f>P151-O151*Q152</f><v /></c><c r="R151" s="11"><f>IF(18&gt;$B$49+$B$50,$G$52*$B$54^$H$52,$E$52*$B$52^$F$52)</f><v /></c><c r="S151" s="11"><f>IF(18=1,0,$B$57)</f><v /></c><c r="T151" s="11"><f>-($B$57+(IF(18&lt;=$B$49,$B$56*$B$58+$B$55,IF(18&lt;=$B$49+$B$50,$B$56*$B$58,$B$56)))/R151)</f><v /></c><c r="U151" s="11"><f>IF(18=$B$49+$B$50,0,IF(18&gt;$B$49+$B$50,$B$56/R152,IF(18&gt;=$B$49,$B$56*$B$58/R152,($B$56*$B$58+$B$55)/R152)))</f><v /></c><c r="V151" s="11"><f>IF(18=$B$49,-$K$52*$B$55,0)</f><v /></c><c r="W151" s="11"><f>U151/(T151-S151*W150)</f><v /></c><c r="X151" s="11"><f>(V151-S151*X150)/(T151-S151*W150)</f><v /></c><c r="Y151" s="15"><f>X151-W151*Y152</f><v /></c><c r="Z151" s="11"><f>IF(18&gt;$B$49+$B$50,$G$53*$B$54^$H$53,$E$53*$B$52^$F$53)</f><v /></c><c r="AA151" s="11"><f>IF(18=1,0,$B$57)</f><v /></c><c r="AB151" s="11"><f>-($B$57+(IF(18&lt;=$B$49,$B$56*$B$58+$B$55,IF(18&lt;=$B$49+$B$50,$B$56*$B$58,$B$56)))/Z151)</f><v /></c><c r="AC151" s="11"><f>IF(18=$B$49+$B$50,0,IF(18&gt;$B$49+$B$50,$B$56/Z152,IF(18&gt;=$B$49,$B$56*$B$58/Z152,($B$56*$B$58+$B$55)/Z152)))</f><v /></c><c r="AD151" s="11"><f>IF(18=$B$49,-$K$53*$B$55,0)</f><v /></c><c r="AE151" s="11"><f>AC151/(AB151-AA151*AE150)</f><v /></c><c r="AF151" s="11"><f>(AD151-AA151*AF150)/(AB151-AA151*AE150)</f><v /></c><c r="AG151" s="15"><f>AF151-AE151*AG152</f><v /></c><c r="AH151" s="11"><f>IF(18&gt;$B$49+$B$50,$G$54*$B$54^$H$54,$E$54*$B$52^$F$54)</f><v /></c><c r="AI151" s="11"><f>IF(18=1,0,$B$57)</f><v /></c><c r="AJ151" s="11"><f>-($B$57+(IF(18&lt;=$B$49,$B$56*$B$58+$B$55,IF(18&lt;=$B$49+$B$50,$B$56*$B$58,$B$56)))/AH151)</f><v /></c><c r="AK151" s="11"><f>IF(18=$B$49+$B$50,0,IF(18&gt;$B$49+$B$50,$B$56/AH152,IF(18&gt;=$B$49,$B$56*$B$58/AH152,($B$56*$B$58+$B$55)/AH152)))</f><v /></c><c r="AL151" s="11"><f>IF(18=$B$49,-$K$54*$B$55,0)</f><v /></c><c r="AM151" s="11"><f>AK151/(AJ151-AI151*AM150)</f><v /></c><c r="AN151" s="11"><f>(AL151-AI151*AN150)/(AJ151-AI151*AM150)</f><v /></c><c r="AO151" s="15"><f>AN151-AM151*AO152</f><v /></c><c r="AP151" s="11"><f>IF(18&gt;$B$49+$B$50,$G$55*$B$54^$H$55,$E$55*$B$52^$F$55)</f><v /></c><c r="AQ151" s="11"><f>IF(18=1,0,$B$57)</f><v /></c><c r="AR151" s="11"><f>-($B$57+(IF(18&lt;=$B$49,$B$56*$B$58+$B$55,IF(18&lt;=$B$49+$B$50,$B$56*$B$58,$B$56)))/AP151)</f><v /></c><c r="AS151" s="11"><f>IF(18=$B$49+$B$50,0,IF(18&gt;$B$49+$B$50,$B$56/AP152,IF(18&gt;=$B$49,$B$56*$B$58/AP152,($B$56*$B$58+$B$55)/AP152)))</f><v /></c><c r="AT151" s="11"><f>IF(18=$B$49,-$K$55*$B$55,0)</f><v /></c><c r="AU151" s="11"><f>AS151/(AR151-AQ151*AU150)</f><v /></c><c r="AV151" s="11"><f>(AT151-AQ151*AV150)/(AR151-AQ151*AU150)</f><v /></c><c r="AW151" s="15"><f>AV151-AU151*AW152</f><v /></c><c r="AX151" s="11"><f>IF(18&gt;$B$49+$B$50,$G$56*$B$54^$H$56,$E$56*$B$52^$F$56)</f><v /></c><c r="AY151" s="11"><f>IF(18=1,0,$B$57)</f><v /></c><c r="AZ151" s="11"><f>-($B$57+(IF(18&lt;=$B$49,$B$56*$B$58+$B$55,IF(18&lt;=$B$49+$B$50,$B$56*$B$58,$B$56)))/AX151)</f><v /></c><c r="BA151" s="11"><f>IF(18=$B$49+$B$50,0,IF(18&gt;$B$49+$B$50,$B$56/AX152,IF(18&gt;=$B$49,$B$56*$B$58/AX152,($B$56*$B$58+$B$55)/AX152)))</f><v /></c><c r="BB151" s="11"><f>IF(18=$B$49,-$K$56*$B$55,0)</f><v /></c><c r="BC151" s="11"><f>BA151/(AZ151-AY151*BC150)</f><v /></c><c r="BD151" s="11"><f>(BB151-AY151*BD150)/(AZ151-AY151*BC150)</f><v /></c><c r="BE151" s="15"><f>BD151-BC151*BE152</f><v /></c><c r="BF151" s="11"><f>IF(18&gt;$B$49+$B$50,$G$57*$B$54^$H$57,$E$57*$B$52^$F$57)</f><v /></c><c r="BG151" s="11"><f>IF(18=1,0,$B$57)</f><v /></c><c r="BH151" s="11"><f>-($B$57+(IF(18&lt;=$B$49,$B$56*$B$58+$B$55,IF(18&lt;=$B$49+$B$50,$B$56*$B$58,$B$56)))/BF151)</f><v /></c><c r="BI151" s="11"><f>IF(18=$B$49+$B$50,0,IF(18&gt;$B$49+$B$50,$B$56/BF152,IF(18&gt;=$B$49,$B$56*$B$58/BF152,($B$56*$B$58+$B$55)/BF152)))</f><v /></c><c r="BJ151" s="11"><f>IF(18=$B$49,-$K$57*$B$55,0)</f><v /></c><c r="BK151" s="11"><f>BI151/(BH151-BG151*BK150)</f><v /></c><c r="BL151" s="11"><f>(BJ151-BG151*BL150)/(BH151-BG151*BK150)</f><v /></c><c r="BM151" s="15"><f>BL151-BK151*BM152</f><v /></c><c r="BN151" s="11"><f>IF(18&gt;$B$49+$B$50,$G$58*$B$54^$H$58,$E$58*$B$52^$F$58)</f><v /></c><c r="BO151" s="11"><f>IF(18=1,0,$B$57)</f><v /></c><c r="BP151" s="11"><f>-($B$57+(IF(18&lt;=$B$49,$B$56*$B$58+$B$55,IF(18&lt;=$B$49+$B$50,$B$56*$B$58,$B$56)))/BN151)</f><v /></c><c r="BQ151" s="11"><f>IF(18=$B$49+$B$50,0,IF(18&gt;$B$49+$B$50,$B$56/BN152,IF(18&gt;=$B$49,$B$56*$B$58/BN152,($B$56*$B$58+$B$55)/BN152)))</f><v /></c><c r="BR151" s="11"><f>IF(18=$B$49,-$K$58*$B$55,0)</f><v /></c><c r="BS151" s="11"><f>BQ151/(BP151-BO151*BS150)</f><v /></c><c r="BT151" s="11"><f>(BR151-BO151*BT150)/(BP151-BO151*BS150)</f><v /></c><c r="BU151" s="15"><f>BT151-BS151*BU152</f><v /></c><c r="BV151" s="11"><f>IF(18&gt;$B$49+$B$50,$G$59*$B$54^$H$59,$E$59*$B$52^$F$59)</f><v /></c><c r="BW151" s="11"><f>IF(18=1,0,$B$57)</f><v /></c><c r="BX151" s="11"><f>-($B$57+(IF(18&lt;=$B$49,$B$56*$B$58+$B$55,IF(18&lt;=$B$49+$B$50,$B$56*$B$58,$B$56)))/BV151)</f><v /></c><c r="BY151" s="11"><f>IF(18=$B$49+$B$50,0,IF(18&gt;$B$49+$B$50,$B$56/BV152,IF(18&gt;=$B$49,$B$56*$B$58/BV152,($B$56*$B$58+$B$55)/BV152)))</f><v /></c><c r="BZ151" s="11"><f>IF(18=$B$49,-$K$59*$B$55,0)</f><v /></c><c r="CA151" s="11"><f>BY151/(BX151-BW151*CA150)</f><v /></c><c r="CB151" s="11"><f>(BZ151-BW151*CB150)/(BX151-BW151*CA150)</f><v /></c><c r="CC151" s="15"><f>CB151-CA151*CC152</f><v /></c><c r="CD151" s="11"><f>IF(18&gt;$B$49+$B$50,$G$60*$B$54^$H$60,$E$60*$B$52^$F$60)</f><v /></c><c r="CE151" s="11"><f>IF(18=1,0,$B$57)</f><v /></c><c r="CF151" s="11"><f>-($B$57+(IF(18&lt;=$B$49,$B$56*$B$58+$B$55,IF(18&lt;=$B$49+$B$50,$B$56*$B$58,$B$56)))/CD151)</f><v /></c><c r="CG151" s="11"><f>IF(18=$B$49+$B$50,0,IF(18&gt;$B$49+$B$50,$B$56/CD152,IF(18&gt;=$B$49,$B$56*$B$58/CD152,($B$56*$B$58+$B$55)/CD152)))</f><v /></c><c r="CH151" s="11"><f>IF(18=$B$49,-$K$60*$B$55,0)</f><v /></c><c r="CI151" s="11"><f>CG151/(CF151-CE151*CI150)</f><v /></c><c r="CJ151" s="11"><f>(CH151-CE151*CJ150)/(CF151-CE151*CI150)</f><v /></c><c r="CK151" s="15"><f>CJ151-CI151*CK152</f><v /></c><c r="CL151" s="11"><f>IF(18&gt;$B$49+$B$50,$G$61*$B$54^$H$61,$E$61*$B$52^$F$61)</f><v /></c><c r="CM151" s="11"><f>IF(18=1,0,$B$57)</f><v /></c><c r="CN151" s="11"><f>-($B$57+(IF(18&lt;=$B$49,$B$56*$B$58+$B$55,IF(18&lt;=$B$49+$B$50,$B$56*$B$58,$B$56)))/CL151)</f><v /></c><c r="CO151" s="11"><f>IF(18=$B$49+$B$50,0,IF(18&gt;$B$49+$B$50,$B$56/CL152,IF(18&gt;=$B$49,$B$56*$B$58/CL152,($B$56*$B$58+$B$55)/CL152)))</f><v /></c><c r="CP151" s="11"><f>IF(18=$B$49,-$K$61*$B$55,0)</f><v /></c><c r="CQ151" s="11"><f>CO151/(CN151-CM151*CQ150)</f><v /></c><c r="CR151" s="11"><f>(CP151-CM151*CR150)/(CN151-CM151*CQ150)</f><v /></c><c r="CS151" s="15"><f>CR151-CQ151*CS152</f><v /></c><c r="CT151" s="11"><f>IF(18&gt;$B$49+$B$50,$G$62*$B$54^$H$62,$E$62*$B$52^$F$62)</f><v /></c><c r="CU151" s="11"><f>IF(18=1,0,$B$57)</f><v /></c><c r="CV151" s="11"><f>-($B$57+(IF(18&lt;=$B$49,$B$56*$B$58+$B$55,IF(18&lt;=$B$49+$B$50,$B$56*$B$58,$B$56)))/CT151)</f><v /></c><c r="CW151" s="11"><f>IF(18=$B$49+$B$50,0,IF(18&gt;$B$49+$B$50,$B$56/CT152,IF(18&gt;=$B$49,$B$56*$B$58/CT152,($B$56*$B$58+$B$55)/CT152)))</f><v /></c><c r="CX151" s="11"><f>IF(18=$B$49,-$K$62*$B$55,0)</f><v /></c><c r="CY151" s="11"><f>CW151/(CV151-CU151*CY150)</f><v /></c><c r="CZ151" s="11"><f>(CX151-CU151*CZ150)/(CV151-CU151*CY150)</f><v /></c><c r="DA151" s="15"><f>CZ151-CY151*DA152</f><v /></c><c r="DB151" s="11"><f>IF(18&gt;$B$49+$B$50,$G$63*$B$54^$H$63,$E$63*$B$52^$F$63)</f><v /></c><c r="DC151" s="11"><f>IF(18=1,0,$B$57)</f><v /></c><c r="DD151" s="11"><f>-($B$57+(IF(18&lt;=$B$49,$B$56*$B$58+$B$55,IF(18&lt;=$B$49+$B$50,$B$56*$B$58,$B$56)))/DB151)</f><v /></c><c r="DE151" s="11"><f>IF(18=$B$49+$B$50,0,IF(18&gt;$B$49+$B$50,$B$56/DB152,IF(18&gt;=$B$49,$B$56*$B$58/DB152,($B$56*$B$58+$B$55)/DB152)))</f><v /></c><c r="DF151" s="11"><f>IF(18=$B$49,-$K$63*$B$55,0)</f><v /></c><c r="DG151" s="11"><f>DE151/(DD151-DC151*DG150)</f><v /></c><c r="DH151" s="11"><f>(DF151-DC151*DH150)/(DD151-DC151*DG150)</f><v /></c><c r="DI151" s="15"><f>DH151-DG151*DI152</f><v /></c><c r="DJ151" s="11"><f>IF(18&gt;$B$49+$B$50,$G$64*$B$54^$H$64,$E$64*$B$52^$F$64)</f><v /></c><c r="DK151" s="11"><f>IF(18=1,0,$B$57)</f><v /></c><c r="DL151" s="11"><f>-($B$57+(IF(18&lt;=$B$49,$B$56*$B$58+$B$55,IF(18&lt;=$B$49+$B$50,$B$56*$B$58,$B$56)))/DJ151)</f><v /></c><c r="DM151" s="11"><f>IF(18=$B$49+$B$50,0,IF(18&gt;$B$49+$B$50,$B$56/DJ152,IF(18&gt;=$B$49,$B$56*$B$58/DJ152,($B$56*$B$58+$B$55)/DJ152)))</f><v /></c><c r="DN151" s="11"><f>IF(18=$B$49,-$K$64*$B$55,0)</f><v /></c><c r="DO151" s="11"><f>DM151/(DL151-DK151*DO150)</f><v /></c><c r="DP151" s="11"><f>(DN151-DK151*DP150)/(DL151-DK151*DO150)</f><v /></c><c r="DQ151" s="15"><f>DP151-DO151*DQ152</f><v /></c><c r="DR151" s="11"><f>IF(18&gt;$B$49+$B$50,$G$65*$B$54^$H$65,$E$65*$B$52^$F$65)</f><v /></c><c r="DS151" s="11"><f>IF(18=1,0,$B$57)</f><v /></c><c r="DT151" s="11"><f>-($B$57+(IF(18&lt;=$B$49,$B$56*$B$58+$B$55,IF(18&lt;=$B$49+$B$50,$B$56*$B$58,$B$56)))/DR151)</f><v /></c><c r="DU151" s="11"><f>IF(18=$B$49+$B$50,0,IF(18&gt;$B$49+$B$50,$B$56/DR152,IF(18&gt;=$B$49,$B$56*$B$58/DR152,($B$56*$B$58+$B$55)/DR152)))</f><v /></c><c r="DV151" s="11"><f>IF(18=$B$49,-$K$65*$B$55,0)</f><v /></c><c r="DW151" s="11"><f>DU151/(DT151-DS151*DW150)</f><v /></c><c r="DX151" s="11"><f>(DV151-DS151*DX150)/(DT151-DS151*DW150)</f><v /></c><c r="DY151" s="15"><f>DX151-DW151*DY152</f><v /></c><c r="DZ151" s="11"><f>IF(18&gt;$B$49+$B$50,$G$66*$B$54^$H$66,$E$66*$B$52^$F$66)</f><v /></c><c r="EA151" s="11"><f>IF(18=1,0,$B$57)</f><v /></c><c r="EB151" s="11"><f>-($B$57+(IF(18&lt;=$B$49,$B$56*$B$58+$B$55,IF(18&lt;=$B$49+$B$50,$B$56*$B$58,$B$56)))/DZ151)</f><v /></c><c r="EC151" s="11"><f>IF(18=$B$49+$B$50,0,IF(18&gt;$B$49+$B$50,$B$56/DZ152,IF(18&gt;=$B$49,$B$56*$B$58/DZ152,($B$56*$B$58+$B$55)/DZ152)))</f><v /></c><c r="ED151" s="11"><f>IF(18=$B$49,-$K$66*$B$55,0)</f><v /></c><c r="EE151" s="11"><f>EC151/(EB151-EA151*EE150)</f><v /></c><c r="EF151" s="11"><f>(ED151-EA151*EF150)/(EB151-EA151*EE150)</f><v /></c><c r="EG151" s="15"><f>EF151-EE151*EG152</f><v /></c><c r="EH151" s="11"><f>IF(18&gt;$B$49+$B$50,$G$67*$B$54^$H$67,$E$67*$B$52^$F$67)</f><v /></c><c r="EI151" s="11"><f>IF(18=1,0,$B$57)</f><v /></c><c r="EJ151" s="11"><f>-($B$57+(IF(18&lt;=$B$49,$B$56*$B$58+$B$55,IF(18&lt;=$B$49+$B$50,$B$56*$B$58,$B$56)))/EH151)</f><v /></c><c r="EK151" s="11"><f>IF(18=$B$49+$B$50,0,IF(18&gt;$B$49+$B$50,$B$56/EH152,IF(18&gt;=$B$49,$B$56*$B$58/EH152,($B$56*$B$58+$B$55)/EH152)))</f><v /></c><c r="EL151" s="11"><f>IF(18=$B$49,-$K$67*$B$55,0)</f><v /></c><c r="EM151" s="11"><f>EK151/(EJ151-EI151*EM150)</f><v /></c><c r="EN151" s="11"><f>(EL151-EI151*EN150)/(EJ151-EI151*EM150)</f><v /></c><c r="EO151" s="15"><f>EN151-EM151*EO152</f><v /></c><c r="EP151" s="11"><f>IF(18&gt;$B$49+$B$50,$G$68*$B$54^$H$68,$E$68*$B$52^$F$68)</f><v /></c><c r="EQ151" s="11"><f>IF(18=1,0,$B$57)</f><v /></c><c r="ER151" s="11"><f>-($B$57+(IF(18&lt;=$B$49,$B$56*$B$58+$B$55,IF(18&lt;=$B$49+$B$50,$B$56*$B$58,$B$56)))/EP151)</f><v /></c><c r="ES151" s="11"><f>IF(18=$B$49+$B$50,0,IF(18&gt;$B$49+$B$50,$B$56/EP152,IF(18&gt;=$B$49,$B$56*$B$58/EP152,($B$56*$B$58+$B$55)/EP152)))</f><v /></c><c r="ET151" s="11"><f>IF(18=$B$49,-$K$68*$B$55,0)</f><v /></c><c r="EU151" s="11"><f>ES151/(ER151-EQ151*EU150)</f><v /></c><c r="EV151" s="11"><f>(ET151-EQ151*EV150)/(ER151-EQ151*EU150)</f><v /></c><c r="EW151" s="15"><f>EV151-EU151*EW152</f><v /></c><c r="EX151" s="11"><f>IF(18&gt;$B$49+$B$50,$G$69*$B$54^$H$69,$E$69*$B$52^$F$69)</f><v /></c><c r="EY151" s="11"><f>IF(18=1,0,$B$57)</f><v /></c><c r="EZ151" s="11"><f>-($B$57+(IF(18&lt;=$B$49,$B$56*$B$58+$B$55,IF(18&lt;=$B$49+$B$50,$B$56*$B$58,$B$56)))/EX151)</f><v /></c><c r="FA151" s="11"><f>IF(18=$B$49+$B$50,0,IF(18&gt;$B$49+$B$50,$B$56/EX152,IF(18&gt;=$B$49,$B$56*$B$58/EX152,($B$56*$B$58+$B$55)/EX152)))</f><v /></c><c r="FB151" s="11"><f>IF(18=$B$49,-$K$69*$B$55,0)</f><v /></c><c r="FC151" s="11"><f>FA151/(EZ151-EY151*FC150)</f><v /></c><c r="FD151" s="11"><f>(FB151-EY151*FD150)/(EZ151-EY151*FC150)</f><v /></c><c r="FE151" s="15"><f>FD151-FC151*FE152</f><v /></c><c r="FF151" s="11"><f>IF(18&gt;$B$49+$B$50,$G$70*$B$54^$H$70,$E$70*$B$52^$F$70)</f><v /></c><c r="FG151" s="11"><f>IF(18=1,0,$B$57)</f><v /></c><c r="FH151" s="11"><f>-($B$57+(IF(18&lt;=$B$49,$B$56*$B$58+$B$55,IF(18&lt;=$B$49+$B$50,$B$56*$B$58,$B$56)))/FF151)</f><v /></c><c r="FI151" s="11"><f>IF(18=$B$49+$B$50,0,IF(18&gt;$B$49+$B$50,$B$56/FF152,IF(18&gt;=$B$49,$B$56*$B$58/FF152,($B$56*$B$58+$B$55)/FF152)))</f><v /></c><c r="FJ151" s="11"><f>IF(18=$B$49,-$K$70*$B$55,0)</f><v /></c><c r="FK151" s="11"><f>FI151/(FH151-FG151*FK150)</f><v /></c><c r="FL151" s="11"><f>(FJ151-FG151*FL150)/(FH151-FG151*FK150)</f><v /></c><c r="FM151" s="15"><f>FL151-FK151*FM152</f><v /></c><c r="FN151" s="11"><f>IF(18&gt;$B$49+$B$50,$G$71*$B$54^$H$71,$E$71*$B$52^$F$71)</f><v /></c><c r="FO151" s="11"><f>IF(18=1,0,$B$57)</f><v /></c><c r="FP151" s="11"><f>-($B$57+(IF(18&lt;=$B$49,$B$56*$B$58+$B$55,IF(18&lt;=$B$49+$B$50,$B$56*$B$58,$B$56)))/FN151)</f><v /></c><c r="FQ151" s="11"><f>IF(18=$B$49+$B$50,0,IF(18&gt;$B$49+$B$50,$B$56/FN152,IF(18&gt;=$B$49,$B$56*$B$58/FN152,($B$56*$B$58+$B$55)/FN152)))</f><v /></c><c r="FR151" s="11"><f>IF(18=$B$49,-$K$71*$B$55,0)</f><v /></c><c r="FS151" s="11"><f>FQ151/(FP151-FO151*FS150)</f><v /></c><c r="FT151" s="11"><f>(FR151-FO151*FT150)/(FP151-FO151*FS150)</f><v /></c><c r="FU151" s="15"><f>FT151-FS151*FU152</f><v /></c><c r="FV151" s="11"><f>IF(18&gt;$B$49+$B$50,$G$72*$B$54^$H$72,$E$72*$B$52^$F$72)</f><v /></c><c r="FW151" s="11"><f>IF(18=1,0,$B$57)</f><v /></c><c r="FX151" s="11"><f>-($B$57+(IF(18&lt;=$B$49,$B$56*$B$58+$B$55,IF(18&lt;=$B$49+$B$50,$B$56*$B$58,$B$56)))/FV151)</f><v /></c><c r="FY151" s="11"><f>IF(18=$B$49+$B$50,0,IF(18&gt;$B$49+$B$50,$B$56/FV152,IF(18&gt;=$B$49,$B$56*$B$58/FV152,($B$56*$B$58+$B$55)/FV152)))</f><v /></c><c r="FZ151" s="11"><f>IF(18=$B$49,-$K$72*$B$55,0)</f><v /></c><c r="GA151" s="11"><f>FY151/(FX151-FW151*GA150)</f><v /></c><c r="GB151" s="11"><f>(FZ151-FW151*GB150)/(FX151-FW151*GA150)</f><v /></c><c r="GC151" s="15"><f>GB151-GA151*GC152</f><v /></c><c r="GD151" s="11"><f>IF(18&gt;$B$49+$B$50,$G$73*$B$54^$H$73,$E$73*$B$52^$F$73)</f><v /></c><c r="GE151" s="11"><f>IF(18=1,0,$B$57)</f><v /></c><c r="GF151" s="11"><f>-($B$57+(IF(18&lt;=$B$49,$B$56*$B$58+$B$55,IF(18&lt;=$B$49+$B$50,$B$56*$B$58,$B$56)))/GD151)</f><v /></c><c r="GG151" s="11"><f>IF(18=$B$49+$B$50,0,IF(18&gt;$B$49+$B$50,$B$56/GD152,IF(18&gt;=$B$49,$B$56*$B$58/GD152,($B$56*$B$58+$B$55)/GD152)))</f><v /></c><c r="GH151" s="11"><f>IF(18=$B$49,-$K$73*$B$55,0)</f><v /></c><c r="GI151" s="11"><f>GG151/(GF151-GE151*GI150)</f><v /></c><c r="GJ151" s="11"><f>(GH151-GE151*GJ150)/(GF151-GE151*GI150)</f><v /></c><c r="GK151" s="15"><f>GJ151-GI151*GK152</f><v /></c><c r="GL151" s="11"><f>IF(18&gt;$B$49+$B$50,$G$74*$B$54^$H$74,$E$74*$B$52^$F$74)</f><v /></c><c r="GM151" s="11"><f>IF(18=1,0,$B$57)</f><v /></c><c r="GN151" s="11"><f>-($B$57+(IF(18&lt;=$B$49,$B$56*$B$58+$B$55,IF(18&lt;=$B$49+$B$50,$B$56*$B$58,$B$56)))/GL151)</f><v /></c><c r="GO151" s="11"><f>IF(18=$B$49+$B$50,0,IF(18&gt;$B$49+$B$50,$B$56/GL152,IF(18&gt;=$B$49,$B$56*$B$58/GL152,($B$56*$B$58+$B$55)/GL152)))</f><v /></c><c r="GP151" s="11"><f>IF(18=$B$49,-$K$74*$B$55,0)</f><v /></c><c r="GQ151" s="11"><f>GO151/(GN151-GM151*GQ150)</f><v /></c><c r="GR151" s="11"><f>(GP151-GM151*GR150)/(GN151-GM151*GQ150)</f><v /></c><c r="GS151" s="15"><f>GR151-GQ151*GS152</f><v /></c><c r="GT151" s="11"><f>IF(18&gt;$B$49+$B$50,$G$75*$B$54^$H$75,$E$75*$B$52^$F$75)</f><v /></c><c r="GU151" s="11"><f>IF(18=1,0,$B$57)</f><v /></c><c r="GV151" s="11"><f>-($B$57+(IF(18&lt;=$B$49,$B$56*$B$58+$B$55,IF(18&lt;=$B$49+$B$50,$B$56*$B$58,$B$56)))/GT151)</f><v /></c><c r="GW151" s="11"><f>IF(18=$B$49+$B$50,0,IF(18&gt;$B$49+$B$50,$B$56/GT152,IF(18&gt;=$B$49,$B$56*$B$58/GT152,($B$56*$B$58+$B$55)/GT152)))</f><v /></c><c r="GX151" s="11"><f>IF(18=$B$49,-$K$75*$B$55,0)</f><v /></c><c r="GY151" s="11"><f>GW151/(GV151-GU151*GY150)</f><v /></c><c r="GZ151" s="11"><f>(GX151-GU151*GZ150)/(GV151-GU151*GY150)</f><v /></c><c r="HA151" s="15"><f>GZ151-GY151*HA152</f><v /></c><c r="HB151" s="13"><f>IFERROR(I151/B151,0)</f><v /></c><c r="HC151" s="13"><f>IFERROR(Q151/J151,0)</f><v /></c><c r="HD151" s="13"><f>IFERROR(Y151/R151,0)</f><v /></c><c r="HE151" s="13"><f>IFERROR(AG151/Z151,0)</f><v /></c><c r="HF151" s="13"><f>IFERROR(AO151/AH151,0)</f><v /></c><c r="HG151" s="13"><f>IFERROR(AW151/AP151,0)</f><v /></c><c r="HH151" s="13"><f>IFERROR(BE151/AX151,0)</f><v /></c><c r="HI151" s="13"><f>IFERROR(BM151/BF151,0)</f><v /></c><c r="HJ151" s="13"><f>IFERROR(BU151/BN151,0)</f><v /></c><c r="HK151" s="13"><f>IFERROR(CC151/BV151,0)</f><v /></c><c r="HL151" s="13"><f>IFERROR(CK151/CD151,0)</f><v /></c><c r="HM151" s="13"><f>IFERROR(CS151/CL151,0)</f><v /></c><c r="HN151" s="13"><f>IFERROR(DA151/CT151,0)</f><v /></c><c r="HO151" s="13"><f>IFERROR(DI151/DB151,0)</f><v /></c><c r="HP151" s="13"><f>IFERROR(DQ151/DJ151,0)</f><v /></c><c r="HQ151" s="13"><f>IFERROR(DY151/DR151,0)</f><v /></c><c r="HR151" s="13"><f>IFERROR(EG151/DZ151,0)</f><v /></c><c r="HS151" s="13"><f>IFERROR(EO151/EH151,0)</f><v /></c><c r="HT151" s="13"><f>IFERROR(EW151/EP151,0)</f><v /></c><c r="HU151" s="13"><f>IFERROR(FE151/EX151,0)</f><v /></c><c r="HV151" s="13"><f>IFERROR(FM151/FF151,0)</f><v /></c><c r="HW151" s="13"><f>IFERROR(FU151/FN151,0)</f><v /></c><c r="HX151" s="13"><f>IFERROR(GC151/FV151,0)</f><v /></c><c r="HY151" s="13"><f>IFERROR(GK151/GD151,0)</f><v /></c><c r="HZ151" s="13"><f>IFERROR(GS151/GL151,0)</f><v /></c><c r="IA151" s="13"><f>IFERROR(HA151/GT151,0)</f><v /></c><c r="IB151" s="13"><f>I151+Q151+Y151+AG151+AO151+AW151+BE151+BM151+BU151+CC151+CK151+CS151+DA151+DI151+DQ151+DY151+EG151+EO151+EW151+FE151+FM151+FU151+GC151+GK151+GS151+HA151</f><v /></c><c r="IC151" s="13"><f>HB151+HC151+HD151+HE151+HF151+HG151+HH151+HI151+HJ151+HK151+HL151+HM151+HN151+HO151+HP151+HQ151+HR151+HS151+HT151+HU151+HV151+HW151+HX151+HY151+HZ151+IA151</f><v /></c></row><row r="152" ht="14" customHeight="1"><c r="A152" s="25" t="n"><v>19</v></c><c r="B152" s="11"><f>IF(19&gt;$B$49+$B$50,$G$50*$B$54^$H$50,$E$50*$B$52^$F$50)</f><v /></c><c r="C152" s="11"><f>IF(19=1,0,$B$57)</f><v /></c><c r="D152" s="11"><f>-($B$57+(IF(19&lt;=$B$49,$B$56*$B$58+$B$55,IF(19&lt;=$B$49+$B$50,$B$56*$B$58,$B$56)))/B152)</f><v /></c><c r="E152" s="11"><f>IF(19=$B$49+$B$50,0,IF(19&gt;$B$49+$B$50,$B$56/B153,IF(19&gt;=$B$49,$B$56*$B$58/B153,($B$56*$B$58+$B$55)/B153)))</f><v /></c><c r="F152" s="11"><f>IF(19=$B$49,-$K$50*$B$55,0)</f><v /></c><c r="G152" s="11"><f>E152/(D152-C152*G151)</f><v /></c><c r="H152" s="11"><f>(F152-C152*H151)/(D152-C152*G151)</f><v /></c><c r="I152" s="15"><f>H152-G152*I153</f><v /></c><c r="J152" s="11"><f>IF(19&gt;$B$49+$B$50,$G$51*$B$54^$H$51,$E$51*$B$52^$F$51)</f><v /></c><c r="K152" s="11"><f>IF(19=1,0,$B$57)</f><v /></c><c r="L152" s="11"><f>-($B$57+(IF(19&lt;=$B$49,$B$56*$B$58+$B$55,IF(19&lt;=$B$49+$B$50,$B$56*$B$58,$B$56)))/J152)</f><v /></c><c r="M152" s="11"><f>IF(19=$B$49+$B$50,0,IF(19&gt;$B$49+$B$50,$B$56/J153,IF(19&gt;=$B$49,$B$56*$B$58/J153,($B$56*$B$58+$B$55)/J153)))</f><v /></c><c r="N152" s="11"><f>IF(19=$B$49,-$K$51*$B$55,0)</f><v /></c><c r="O152" s="11"><f>M152/(L152-K152*O151)</f><v /></c><c r="P152" s="11"><f>(N152-K152*P151)/(L152-K152*O151)</f><v /></c><c r="Q152" s="15"><f>P152-O152*Q153</f><v /></c><c r="R152" s="11"><f>IF(19&gt;$B$49+$B$50,$G$52*$B$54^$H$52,$E$52*$B$52^$F$52)</f><v /></c><c r="S152" s="11"><f>IF(19=1,0,$B$57)</f><v /></c><c r="T152" s="11"><f>-($B$57+(IF(19&lt;=$B$49,$B$56*$B$58+$B$55,IF(19&lt;=$B$49+$B$50,$B$56*$B$58,$B$56)))/R152)</f><v /></c><c r="U152" s="11"><f>IF(19=$B$49+$B$50,0,IF(19&gt;$B$49+$B$50,$B$56/R153,IF(19&gt;=$B$49,$B$56*$B$58/R153,($B$56*$B$58+$B$55)/R153)))</f><v /></c><c r="V152" s="11"><f>IF(19=$B$49,-$K$52*$B$55,0)</f><v /></c><c r="W152" s="11"><f>U152/(T152-S152*W151)</f><v /></c><c r="X152" s="11"><f>(V152-S152*X151)/(T152-S152*W151)</f><v /></c><c r="Y152" s="15"><f>X152-W152*Y153</f><v /></c><c r="Z152" s="11"><f>IF(19&gt;$B$49+$B$50,$G$53*$B$54^$H$53,$E$53*$B$52^$F$53)</f><v /></c><c r="AA152" s="11"><f>IF(19=1,0,$B$57)</f><v /></c><c r="AB152" s="11"><f>-($B$57+(IF(19&lt;=$B$49,$B$56*$B$58+$B$55,IF(19&lt;=$B$49+$B$50,$B$56*$B$58,$B$56)))/Z152)</f><v /></c><c r="AC152" s="11"><f>IF(19=$B$49+$B$50,0,IF(19&gt;$B$49+$B$50,$B$56/Z153,IF(19&gt;=$B$49,$B$56*$B$58/Z153,($B$56*$B$58+$B$55)/Z153)))</f><v /></c><c r="AD152" s="11"><f>IF(19=$B$49,-$K$53*$B$55,0)</f><v /></c><c r="AE152" s="11"><f>AC152/(AB152-AA152*AE151)</f><v /></c><c r="AF152" s="11"><f>(AD152-AA152*AF151)/(AB152-AA152*AE151)</f><v /></c><c r="AG152" s="15"><f>AF152-AE152*AG153</f><v /></c><c r="AH152" s="11"><f>IF(19&gt;$B$49+$B$50,$G$54*$B$54^$H$54,$E$54*$B$52^$F$54)</f><v /></c><c r="AI152" s="11"><f>IF(19=1,0,$B$57)</f><v /></c><c r="AJ152" s="11"><f>-($B$57+(IF(19&lt;=$B$49,$B$56*$B$58+$B$55,IF(19&lt;=$B$49+$B$50,$B$56*$B$58,$B$56)))/AH152)</f><v /></c><c r="AK152" s="11"><f>IF(19=$B$49+$B$50,0,IF(19&gt;$B$49+$B$50,$B$56/AH153,IF(19&gt;=$B$49,$B$56*$B$58/AH153,($B$56*$B$58+$B$55)/AH153)))</f><v /></c><c r="AL152" s="11"><f>IF(19=$B$49,-$K$54*$B$55,0)</f><v /></c><c r="AM152" s="11"><f>AK152/(AJ152-AI152*AM151)</f><v /></c><c r="AN152" s="11"><f>(AL152-AI152*AN151)/(AJ152-AI152*AM151)</f><v /></c><c r="AO152" s="15"><f>AN152-AM152*AO153</f><v /></c><c r="AP152" s="11"><f>IF(19&gt;$B$49+$B$50,$G$55*$B$54^$H$55,$E$55*$B$52^$F$55)</f><v /></c><c r="AQ152" s="11"><f>IF(19=1,0,$B$57)</f><v /></c><c r="AR152" s="11"><f>-($B$57+(IF(19&lt;=$B$49,$B$56*$B$58+$B$55,IF(19&lt;=$B$49+$B$50,$B$56*$B$58,$B$56)))/AP152)</f><v /></c><c r="AS152" s="11"><f>IF(19=$B$49+$B$50,0,IF(19&gt;$B$49+$B$50,$B$56/AP153,IF(19&gt;=$B$49,$B$56*$B$58/AP153,($B$56*$B$58+$B$55)/AP153)))</f><v /></c><c r="AT152" s="11"><f>IF(19=$B$49,-$K$55*$B$55,0)</f><v /></c><c r="AU152" s="11"><f>AS152/(AR152-AQ152*AU151)</f><v /></c><c r="AV152" s="11"><f>(AT152-AQ152*AV151)/(AR152-AQ152*AU151)</f><v /></c><c r="AW152" s="15"><f>AV152-AU152*AW153</f><v /></c><c r="AX152" s="11"><f>IF(19&gt;$B$49+$B$50,$G$56*$B$54^$H$56,$E$56*$B$52^$F$56)</f><v /></c><c r="AY152" s="11"><f>IF(19=1,0,$B$57)</f><v /></c><c r="AZ152" s="11"><f>-($B$57+(IF(19&lt;=$B$49,$B$56*$B$58+$B$55,IF(19&lt;=$B$49+$B$50,$B$56*$B$58,$B$56)))/AX152)</f><v /></c><c r="BA152" s="11"><f>IF(19=$B$49+$B$50,0,IF(19&gt;$B$49+$B$50,$B$56/AX153,IF(19&gt;=$B$49,$B$56*$B$58/AX153,($B$56*$B$58+$B$55)/AX153)))</f><v /></c><c r="BB152" s="11"><f>IF(19=$B$49,-$K$56*$B$55,0)</f><v /></c><c r="BC152" s="11"><f>BA152/(AZ152-AY152*BC151)</f><v /></c><c r="BD152" s="11"><f>(BB152-AY152*BD151)/(AZ152-AY152*BC151)</f><v /></c><c r="BE152" s="15"><f>BD152-BC152*BE153</f><v /></c><c r="BF152" s="11"><f>IF(19&gt;$B$49+$B$50,$G$57*$B$54^$H$57,$E$57*$B$52^$F$57)</f><v /></c><c r="BG152" s="11"><f>IF(19=1,0,$B$57)</f><v /></c><c r="BH152" s="11"><f>-($B$57+(IF(19&lt;=$B$49,$B$56*$B$58+$B$55,IF(19&lt;=$B$49+$B$50,$B$56*$B$58,$B$56)))/BF152)</f><v /></c><c r="BI152" s="11"><f>IF(19=$B$49+$B$50,0,IF(19&gt;$B$49+$B$50,$B$56/BF153,IF(19&gt;=$B$49,$B$56*$B$58/BF153,($B$56*$B$58+$B$55)/BF153)))</f><v /></c><c r="BJ152" s="11"><f>IF(19=$B$49,-$K$57*$B$55,0)</f><v /></c><c r="BK152" s="11"><f>BI152/(BH152-BG152*BK151)</f><v /></c><c r="BL152" s="11"><f>(BJ152-BG152*BL151)/(BH152-BG152*BK151)</f><v /></c><c r="BM152" s="15"><f>BL152-BK152*BM153</f><v /></c><c r="BN152" s="11"><f>IF(19&gt;$B$49+$B$50,$G$58*$B$54^$H$58,$E$58*$B$52^$F$58)</f><v /></c><c r="BO152" s="11"><f>IF(19=1,0,$B$57)</f><v /></c><c r="BP152" s="11"><f>-($B$57+(IF(19&lt;=$B$49,$B$56*$B$58+$B$55,IF(19&lt;=$B$49+$B$50,$B$56*$B$58,$B$56)))/BN152)</f><v /></c><c r="BQ152" s="11"><f>IF(19=$B$49+$B$50,0,IF(19&gt;$B$49+$B$50,$B$56/BN153,IF(19&gt;=$B$49,$B$56*$B$58/BN153,($B$56*$B$58+$B$55)/BN153)))</f><v /></c><c r="BR152" s="11"><f>IF(19=$B$49,-$K$58*$B$55,0)</f><v /></c><c r="BS152" s="11"><f>BQ152/(BP152-BO152*BS151)</f><v /></c><c r="BT152" s="11"><f>(BR152-BO152*BT151)/(BP152-BO152*BS151)</f><v /></c><c r="BU152" s="15"><f>BT152-BS152*BU153</f><v /></c><c r="BV152" s="11"><f>IF(19&gt;$B$49+$B$50,$G$59*$B$54^$H$59,$E$59*$B$52^$F$59)</f><v /></c><c r="BW152" s="11"><f>IF(19=1,0,$B$57)</f><v /></c><c r="BX152" s="11"><f>-($B$57+(IF(19&lt;=$B$49,$B$56*$B$58+$B$55,IF(19&lt;=$B$49+$B$50,$B$56*$B$58,$B$56)))/BV152)</f><v /></c><c r="BY152" s="11"><f>IF(19=$B$49+$B$50,0,IF(19&gt;$B$49+$B$50,$B$56/BV153,IF(19&gt;=$B$49,$B$56*$B$58/BV153,($B$56*$B$58+$B$55)/BV153)))</f><v /></c><c r="BZ152" s="11"><f>IF(19=$B$49,-$K$59*$B$55,0)</f><v /></c><c r="CA152" s="11"><f>BY152/(BX152-BW152*CA151)</f><v /></c><c r="CB152" s="11"><f>(BZ152-BW152*CB151)/(BX152-BW152*CA151)</f><v /></c><c r="CC152" s="15"><f>CB152-CA152*CC153</f><v /></c><c r="CD152" s="11"><f>IF(19&gt;$B$49+$B$50,$G$60*$B$54^$H$60,$E$60*$B$52^$F$60)</f><v /></c><c r="CE152" s="11"><f>IF(19=1,0,$B$57)</f><v /></c><c r="CF152" s="11"><f>-($B$57+(IF(19&lt;=$B$49,$B$56*$B$58+$B$55,IF(19&lt;=$B$49+$B$50,$B$56*$B$58,$B$56)))/CD152)</f><v /></c><c r="CG152" s="11"><f>IF(19=$B$49+$B$50,0,IF(19&gt;$B$49+$B$50,$B$56/CD153,IF(19&gt;=$B$49,$B$56*$B$58/CD153,($B$56*$B$58+$B$55)/CD153)))</f><v /></c><c r="CH152" s="11"><f>IF(19=$B$49,-$K$60*$B$55,0)</f><v /></c><c r="CI152" s="11"><f>CG152/(CF152-CE152*CI151)</f><v /></c><c r="CJ152" s="11"><f>(CH152-CE152*CJ151)/(CF152-CE152*CI151)</f><v /></c><c r="CK152" s="15"><f>CJ152-CI152*CK153</f><v /></c><c r="CL152" s="11"><f>IF(19&gt;$B$49+$B$50,$G$61*$B$54^$H$61,$E$61*$B$52^$F$61)</f><v /></c><c r="CM152" s="11"><f>IF(19=1,0,$B$57)</f><v /></c><c r="CN152" s="11"><f>-($B$57+(IF(19&lt;=$B$49,$B$56*$B$58+$B$55,IF(19&lt;=$B$49+$B$50,$B$56*$B$58,$B$56)))/CL152)</f><v /></c><c r="CO152" s="11"><f>IF(19=$B$49+$B$50,0,IF(19&gt;$B$49+$B$50,$B$56/CL153,IF(19&gt;=$B$49,$B$56*$B$58/CL153,($B$56*$B$58+$B$55)/CL153)))</f><v /></c><c r="CP152" s="11"><f>IF(19=$B$49,-$K$61*$B$55,0)</f><v /></c><c r="CQ152" s="11"><f>CO152/(CN152-CM152*CQ151)</f><v /></c><c r="CR152" s="11"><f>(CP152-CM152*CR151)/(CN152-CM152*CQ151)</f><v /></c><c r="CS152" s="15"><f>CR152-CQ152*CS153</f><v /></c><c r="CT152" s="11"><f>IF(19&gt;$B$49+$B$50,$G$62*$B$54^$H$62,$E$62*$B$52^$F$62)</f><v /></c><c r="CU152" s="11"><f>IF(19=1,0,$B$57)</f><v /></c><c r="CV152" s="11"><f>-($B$57+(IF(19&lt;=$B$49,$B$56*$B$58+$B$55,IF(19&lt;=$B$49+$B$50,$B$56*$B$58,$B$56)))/CT152)</f><v /></c><c r="CW152" s="11"><f>IF(19=$B$49+$B$50,0,IF(19&gt;$B$49+$B$50,$B$56/CT153,IF(19&gt;=$B$49,$B$56*$B$58/CT153,($B$56*$B$58+$B$55)/CT153)))</f><v /></c><c r="CX152" s="11"><f>IF(19=$B$49,-$K$62*$B$55,0)</f><v /></c><c r="CY152" s="11"><f>CW152/(CV152-CU152*CY151)</f><v /></c><c r="CZ152" s="11"><f>(CX152-CU152*CZ151)/(CV152-CU152*CY151)</f><v /></c><c r="DA152" s="15"><f>CZ152-CY152*DA153</f><v /></c><c r="DB152" s="11"><f>IF(19&gt;$B$49+$B$50,$G$63*$B$54^$H$63,$E$63*$B$52^$F$63)</f><v /></c><c r="DC152" s="11"><f>IF(19=1,0,$B$57)</f><v /></c><c r="DD152" s="11"><f>-($B$57+(IF(19&lt;=$B$49,$B$56*$B$58+$B$55,IF(19&lt;=$B$49+$B$50,$B$56*$B$58,$B$56)))/DB152)</f><v /></c><c r="DE152" s="11"><f>IF(19=$B$49+$B$50,0,IF(19&gt;$B$49+$B$50,$B$56/DB153,IF(19&gt;=$B$49,$B$56*$B$58/DB153,($B$56*$B$58+$B$55)/DB153)))</f><v /></c><c r="DF152" s="11"><f>IF(19=$B$49,-$K$63*$B$55,0)</f><v /></c><c r="DG152" s="11"><f>DE152/(DD152-DC152*DG151)</f><v /></c><c r="DH152" s="11"><f>(DF152-DC152*DH151)/(DD152-DC152*DG151)</f><v /></c><c r="DI152" s="15"><f>DH152-DG152*DI153</f><v /></c><c r="DJ152" s="11"><f>IF(19&gt;$B$49+$B$50,$G$64*$B$54^$H$64,$E$64*$B$52^$F$64)</f><v /></c><c r="DK152" s="11"><f>IF(19=1,0,$B$57)</f><v /></c><c r="DL152" s="11"><f>-($B$57+(IF(19&lt;=$B$49,$B$56*$B$58+$B$55,IF(19&lt;=$B$49+$B$50,$B$56*$B$58,$B$56)))/DJ152)</f><v /></c><c r="DM152" s="11"><f>IF(19=$B$49+$B$50,0,IF(19&gt;$B$49+$B$50,$B$56/DJ153,IF(19&gt;=$B$49,$B$56*$B$58/DJ153,($B$56*$B$58+$B$55)/DJ153)))</f><v /></c><c r="DN152" s="11"><f>IF(19=$B$49,-$K$64*$B$55,0)</f><v /></c><c r="DO152" s="11"><f>DM152/(DL152-DK152*DO151)</f><v /></c><c r="DP152" s="11"><f>(DN152-DK152*DP151)/(DL152-DK152*DO151)</f><v /></c><c r="DQ152" s="15"><f>DP152-DO152*DQ153</f><v /></c><c r="DR152" s="11"><f>IF(19&gt;$B$49+$B$50,$G$65*$B$54^$H$65,$E$65*$B$52^$F$65)</f><v /></c><c r="DS152" s="11"><f>IF(19=1,0,$B$57)</f><v /></c><c r="DT152" s="11"><f>-($B$57+(IF(19&lt;=$B$49,$B$56*$B$58+$B$55,IF(19&lt;=$B$49+$B$50,$B$56*$B$58,$B$56)))/DR152)</f><v /></c><c r="DU152" s="11"><f>IF(19=$B$49+$B$50,0,IF(19&gt;$B$49+$B$50,$B$56/DR153,IF(19&gt;=$B$49,$B$56*$B$58/DR153,($B$56*$B$58+$B$55)/DR153)))</f><v /></c><c r="DV152" s="11"><f>IF(19=$B$49,-$K$65*$B$55,0)</f><v /></c><c r="DW152" s="11"><f>DU152/(DT152-DS152*DW151)</f><v /></c><c r="DX152" s="11"><f>(DV152-DS152*DX151)/(DT152-DS152*DW151)</f><v /></c><c r="DY152" s="15"><f>DX152-DW152*DY153</f><v /></c><c r="DZ152" s="11"><f>IF(19&gt;$B$49+$B$50,$G$66*$B$54^$H$66,$E$66*$B$52^$F$66)</f><v /></c><c r="EA152" s="11"><f>IF(19=1,0,$B$57)</f><v /></c><c r="EB152" s="11"><f>-($B$57+(IF(19&lt;=$B$49,$B$56*$B$58+$B$55,IF(19&lt;=$B$49+$B$50,$B$56*$B$58,$B$56)))/DZ152)</f><v /></c><c r="EC152" s="11"><f>IF(19=$B$49+$B$50,0,IF(19&gt;$B$49+$B$50,$B$56/DZ153,IF(19&gt;=$B$49,$B$56*$B$58/DZ153,($B$56*$B$58+$B$55)/DZ153)))</f><v /></c><c r="ED152" s="11"><f>IF(19=$B$49,-$K$66*$B$55,0)</f><v /></c><c r="EE152" s="11"><f>EC152/(EB152-EA152*EE151)</f><v /></c><c r="EF152" s="11"><f>(ED152-EA152*EF151)/(EB152-EA152*EE151)</f><v /></c><c r="EG152" s="15"><f>EF152-EE152*EG153</f><v /></c><c r="EH152" s="11"><f>IF(19&gt;$B$49+$B$50,$G$67*$B$54^$H$67,$E$67*$B$52^$F$67)</f><v /></c><c r="EI152" s="11"><f>IF(19=1,0,$B$57)</f><v /></c><c r="EJ152" s="11"><f>-($B$57+(IF(19&lt;=$B$49,$B$56*$B$58+$B$55,IF(19&lt;=$B$49+$B$50,$B$56*$B$58,$B$56)))/EH152)</f><v /></c><c r="EK152" s="11"><f>IF(19=$B$49+$B$50,0,IF(19&gt;$B$49+$B$50,$B$56/EH153,IF(19&gt;=$B$49,$B$56*$B$58/EH153,($B$56*$B$58+$B$55)/EH153)))</f><v /></c><c r="EL152" s="11"><f>IF(19=$B$49,-$K$67*$B$55,0)</f><v /></c><c r="EM152" s="11"><f>EK152/(EJ152-EI152*EM151)</f><v /></c><c r="EN152" s="11"><f>(EL152-EI152*EN151)/(EJ152-EI152*EM151)</f><v /></c><c r="EO152" s="15"><f>EN152-EM152*EO153</f><v /></c><c r="EP152" s="11"><f>IF(19&gt;$B$49+$B$50,$G$68*$B$54^$H$68,$E$68*$B$52^$F$68)</f><v /></c><c r="EQ152" s="11"><f>IF(19=1,0,$B$57)</f><v /></c><c r="ER152" s="11"><f>-($B$57+(IF(19&lt;=$B$49,$B$56*$B$58+$B$55,IF(19&lt;=$B$49+$B$50,$B$56*$B$58,$B$56)))/EP152)</f><v /></c><c r="ES152" s="11"><f>IF(19=$B$49+$B$50,0,IF(19&gt;$B$49+$B$50,$B$56/EP153,IF(19&gt;=$B$49,$B$56*$B$58/EP153,($B$56*$B$58+$B$55)/EP153)))</f><v /></c><c r="ET152" s="11"><f>IF(19=$B$49,-$K$68*$B$55,0)</f><v /></c><c r="EU152" s="11"><f>ES152/(ER152-EQ152*EU151)</f><v /></c><c r="EV152" s="11"><f>(ET152-EQ152*EV151)/(ER152-EQ152*EU151)</f><v /></c><c r="EW152" s="15"><f>EV152-EU152*EW153</f><v /></c><c r="EX152" s="11"><f>IF(19&gt;$B$49+$B$50,$G$69*$B$54^$H$69,$E$69*$B$52^$F$69)</f><v /></c><c r="EY152" s="11"><f>IF(19=1,0,$B$57)</f><v /></c><c r="EZ152" s="11"><f>-($B$57+(IF(19&lt;=$B$49,$B$56*$B$58+$B$55,IF(19&lt;=$B$49+$B$50,$B$56*$B$58,$B$56)))/EX152)</f><v /></c><c r="FA152" s="11"><f>IF(19=$B$49+$B$50,0,IF(19&gt;$B$49+$B$50,$B$56/EX153,IF(19&gt;=$B$49,$B$56*$B$58/EX153,($B$56*$B$58+$B$55)/EX153)))</f><v /></c><c r="FB152" s="11"><f>IF(19=$B$49,-$K$69*$B$55,0)</f><v /></c><c r="FC152" s="11"><f>FA152/(EZ152-EY152*FC151)</f><v /></c><c r="FD152" s="11"><f>(FB152-EY152*FD151)/(EZ152-EY152*FC151)</f><v /></c><c r="FE152" s="15"><f>FD152-FC152*FE153</f><v /></c><c r="FF152" s="11"><f>IF(19&gt;$B$49+$B$50,$G$70*$B$54^$H$70,$E$70*$B$52^$F$70)</f><v /></c><c r="FG152" s="11"><f>IF(19=1,0,$B$57)</f><v /></c><c r="FH152" s="11"><f>-($B$57+(IF(19&lt;=$B$49,$B$56*$B$58+$B$55,IF(19&lt;=$B$49+$B$50,$B$56*$B$58,$B$56)))/FF152)</f><v /></c><c r="FI152" s="11"><f>IF(19=$B$49+$B$50,0,IF(19&gt;$B$49+$B$50,$B$56/FF153,IF(19&gt;=$B$49,$B$56*$B$58/FF153,($B$56*$B$58+$B$55)/FF153)))</f><v /></c><c r="FJ152" s="11"><f>IF(19=$B$49,-$K$70*$B$55,0)</f><v /></c><c r="FK152" s="11"><f>FI152/(FH152-FG152*FK151)</f><v /></c><c r="FL152" s="11"><f>(FJ152-FG152*FL151)/(FH152-FG152*FK151)</f><v /></c><c r="FM152" s="15"><f>FL152-FK152*FM153</f><v /></c><c r="FN152" s="11"><f>IF(19&gt;$B$49+$B$50,$G$71*$B$54^$H$71,$E$71*$B$52^$F$71)</f><v /></c><c r="FO152" s="11"><f>IF(19=1,0,$B$57)</f><v /></c><c r="FP152" s="11"><f>-($B$57+(IF(19&lt;=$B$49,$B$56*$B$58+$B$55,IF(19&lt;=$B$49+$B$50,$B$56*$B$58,$B$56)))/FN152)</f><v /></c><c r="FQ152" s="11"><f>IF(19=$B$49+$B$50,0,IF(19&gt;$B$49+$B$50,$B$56/FN153,IF(19&gt;=$B$49,$B$56*$B$58/FN153,($B$56*$B$58+$B$55)/FN153)))</f><v /></c><c r="FR152" s="11"><f>IF(19=$B$49,-$K$71*$B$55,0)</f><v /></c><c r="FS152" s="11"><f>FQ152/(FP152-FO152*FS151)</f><v /></c><c r="FT152" s="11"><f>(FR152-FO152*FT151)/(FP152-FO152*FS151)</f><v /></c><c r="FU152" s="15"><f>FT152-FS152*FU153</f><v /></c><c r="FV152" s="11"><f>IF(19&gt;$B$49+$B$50,$G$72*$B$54^$H$72,$E$72*$B$52^$F$72)</f><v /></c><c r="FW152" s="11"><f>IF(19=1,0,$B$57)</f><v /></c><c r="FX152" s="11"><f>-($B$57+(IF(19&lt;=$B$49,$B$56*$B$58+$B$55,IF(19&lt;=$B$49+$B$50,$B$56*$B$58,$B$56)))/FV152)</f><v /></c><c r="FY152" s="11"><f>IF(19=$B$49+$B$50,0,IF(19&gt;$B$49+$B$50,$B$56/FV153,IF(19&gt;=$B$49,$B$56*$B$58/FV153,($B$56*$B$58+$B$55)/FV153)))</f><v /></c><c r="FZ152" s="11"><f>IF(19=$B$49,-$K$72*$B$55,0)</f><v /></c><c r="GA152" s="11"><f>FY152/(FX152-FW152*GA151)</f><v /></c><c r="GB152" s="11"><f>(FZ152-FW152*GB151)/(FX152-FW152*GA151)</f><v /></c><c r="GC152" s="15"><f>GB152-GA152*GC153</f><v /></c><c r="GD152" s="11"><f>IF(19&gt;$B$49+$B$50,$G$73*$B$54^$H$73,$E$73*$B$52^$F$73)</f><v /></c><c r="GE152" s="11"><f>IF(19=1,0,$B$57)</f><v /></c><c r="GF152" s="11"><f>-($B$57+(IF(19&lt;=$B$49,$B$56*$B$58+$B$55,IF(19&lt;=$B$49+$B$50,$B$56*$B$58,$B$56)))/GD152)</f><v /></c><c r="GG152" s="11"><f>IF(19=$B$49+$B$50,0,IF(19&gt;$B$49+$B$50,$B$56/GD153,IF(19&gt;=$B$49,$B$56*$B$58/GD153,($B$56*$B$58+$B$55)/GD153)))</f><v /></c><c r="GH152" s="11"><f>IF(19=$B$49,-$K$73*$B$55,0)</f><v /></c><c r="GI152" s="11"><f>GG152/(GF152-GE152*GI151)</f><v /></c><c r="GJ152" s="11"><f>(GH152-GE152*GJ151)/(GF152-GE152*GI151)</f><v /></c><c r="GK152" s="15"><f>GJ152-GI152*GK153</f><v /></c><c r="GL152" s="11"><f>IF(19&gt;$B$49+$B$50,$G$74*$B$54^$H$74,$E$74*$B$52^$F$74)</f><v /></c><c r="GM152" s="11"><f>IF(19=1,0,$B$57)</f><v /></c><c r="GN152" s="11"><f>-($B$57+(IF(19&lt;=$B$49,$B$56*$B$58+$B$55,IF(19&lt;=$B$49+$B$50,$B$56*$B$58,$B$56)))/GL152)</f><v /></c><c r="GO152" s="11"><f>IF(19=$B$49+$B$50,0,IF(19&gt;$B$49+$B$50,$B$56/GL153,IF(19&gt;=$B$49,$B$56*$B$58/GL153,($B$56*$B$58+$B$55)/GL153)))</f><v /></c><c r="GP152" s="11"><f>IF(19=$B$49,-$K$74*$B$55,0)</f><v /></c><c r="GQ152" s="11"><f>GO152/(GN152-GM152*GQ151)</f><v /></c><c r="GR152" s="11"><f>(GP152-GM152*GR151)/(GN152-GM152*GQ151)</f><v /></c><c r="GS152" s="15"><f>GR152-GQ152*GS153</f><v /></c><c r="GT152" s="11"><f>IF(19&gt;$B$49+$B$50,$G$75*$B$54^$H$75,$E$75*$B$52^$F$75)</f><v /></c><c r="GU152" s="11"><f>IF(19=1,0,$B$57)</f><v /></c><c r="GV152" s="11"><f>-($B$57+(IF(19&lt;=$B$49,$B$56*$B$58+$B$55,IF(19&lt;=$B$49+$B$50,$B$56*$B$58,$B$56)))/GT152)</f><v /></c><c r="GW152" s="11"><f>IF(19=$B$49+$B$50,0,IF(19&gt;$B$49+$B$50,$B$56/GT153,IF(19&gt;=$B$49,$B$56*$B$58/GT153,($B$56*$B$58+$B$55)/GT153)))</f><v /></c><c r="GX152" s="11"><f>IF(19=$B$49,-$K$75*$B$55,0)</f><v /></c><c r="GY152" s="11"><f>GW152/(GV152-GU152*GY151)</f><v /></c><c r="GZ152" s="11"><f>(GX152-GU152*GZ151)/(GV152-GU152*GY151)</f><v /></c><c r="HA152" s="15"><f>GZ152-GY152*HA153</f><v /></c><c r="HB152" s="13"><f>IFERROR(I152/B152,0)</f><v /></c><c r="HC152" s="13"><f>IFERROR(Q152/J152,0)</f><v /></c><c r="HD152" s="13"><f>IFERROR(Y152/R152,0)</f><v /></c><c r="HE152" s="13"><f>IFERROR(AG152/Z152,0)</f><v /></c><c r="HF152" s="13"><f>IFERROR(AO152/AH152,0)</f><v /></c><c r="HG152" s="13"><f>IFERROR(AW152/AP152,0)</f><v /></c><c r="HH152" s="13"><f>IFERROR(BE152/AX152,0)</f><v /></c><c r="HI152" s="13"><f>IFERROR(BM152/BF152,0)</f><v /></c><c r="HJ152" s="13"><f>IFERROR(BU152/BN152,0)</f><v /></c><c r="HK152" s="13"><f>IFERROR(CC152/BV152,0)</f><v /></c><c r="HL152" s="13"><f>IFERROR(CK152/CD152,0)</f><v /></c><c r="HM152" s="13"><f>IFERROR(CS152/CL152,0)</f><v /></c><c r="HN152" s="13"><f>IFERROR(DA152/CT152,0)</f><v /></c><c r="HO152" s="13"><f>IFERROR(DI152/DB152,0)</f><v /></c><c r="HP152" s="13"><f>IFERROR(DQ152/DJ152,0)</f><v /></c><c r="HQ152" s="13"><f>IFERROR(DY152/DR152,0)</f><v /></c><c r="HR152" s="13"><f>IFERROR(EG152/DZ152,0)</f><v /></c><c r="HS152" s="13"><f>IFERROR(EO152/EH152,0)</f><v /></c><c r="HT152" s="13"><f>IFERROR(EW152/EP152,0)</f><v /></c><c r="HU152" s="13"><f>IFERROR(FE152/EX152,0)</f><v /></c><c r="HV152" s="13"><f>IFERROR(FM152/FF152,0)</f><v /></c><c r="HW152" s="13"><f>IFERROR(FU152/FN152,0)</f><v /></c><c r="HX152" s="13"><f>IFERROR(GC152/FV152,0)</f><v /></c><c r="HY152" s="13"><f>IFERROR(GK152/GD152,0)</f><v /></c><c r="HZ152" s="13"><f>IFERROR(GS152/GL152,0)</f><v /></c><c r="IA152" s="13"><f>IFERROR(HA152/GT152,0)</f><v /></c><c r="IB152" s="13"><f>I152+Q152+Y152+AG152+AO152+AW152+BE152+BM152+BU152+CC152+CK152+CS152+DA152+DI152+DQ152+DY152+EG152+EO152+EW152+FE152+FM152+FU152+GC152+GK152+GS152+HA152</f><v /></c><c r="IC152" s="13"><f>HB152+HC152+HD152+HE152+HF152+HG152+HH152+HI152+HJ152+HK152+HL152+HM152+HN152+HO152+HP152+HQ152+HR152+HS152+HT152+HU152+HV152+HW152+HX152+HY152+HZ152+IA152</f><v /></c></row><row r="153" ht="14" customHeight="1"><c r="A153" s="25" t="n"><v>20</v></c><c r="B153" s="11"><f>IF(20&gt;$B$49+$B$50,$G$50*$B$54^$H$50,$E$50*$B$52^$F$50)</f><v /></c><c r="C153" s="11"><f>IF(20=1,0,$B$57)</f><v /></c><c r="D153" s="11"><f>-($B$57+(IF(20&lt;=$B$49,$B$56*$B$58+$B$55,IF(20&lt;=$B$49+$B$50,$B$56*$B$58,$B$56)))/B153)</f><v /></c><c r="E153" s="11"><f>IF(20=$B$49+$B$50,0,IF(20&gt;$B$49+$B$50,$B$56/B154,IF(20&gt;=$B$49,$B$56*$B$58/B154,($B$56*$B$58+$B$55)/B154)))</f><v /></c><c r="F153" s="11"><f>IF(20=$B$49,-$K$50*$B$55,0)</f><v /></c><c r="G153" s="11"><f>E153/(D153-C153*G152)</f><v /></c><c r="H153" s="11"><f>(F153-C153*H152)/(D153-C153*G152)</f><v /></c><c r="I153" s="15"><f>H153-G153*I154</f><v /></c><c r="J153" s="11"><f>IF(20&gt;$B$49+$B$50,$G$51*$B$54^$H$51,$E$51*$B$52^$F$51)</f><v /></c><c r="K153" s="11"><f>IF(20=1,0,$B$57)</f><v /></c><c r="L153" s="11"><f>-($B$57+(IF(20&lt;=$B$49,$B$56*$B$58+$B$55,IF(20&lt;=$B$49+$B$50,$B$56*$B$58,$B$56)))/J153)</f><v /></c><c r="M153" s="11"><f>IF(20=$B$49+$B$50,0,IF(20&gt;$B$49+$B$50,$B$56/J154,IF(20&gt;=$B$49,$B$56*$B$58/J154,($B$56*$B$58+$B$55)/J154)))</f><v /></c><c r="N153" s="11"><f>IF(20=$B$49,-$K$51*$B$55,0)</f><v /></c><c r="O153" s="11"><f>M153/(L153-K153*O152)</f><v /></c><c r="P153" s="11"><f>(N153-K153*P152)/(L153-K153*O152)</f><v /></c><c r="Q153" s="15"><f>P153-O153*Q154</f><v /></c><c r="R153" s="11"><f>IF(20&gt;$B$49+$B$50,$G$52*$B$54^$H$52,$E$52*$B$52^$F$52)</f><v /></c><c r="S153" s="11"><f>IF(20=1,0,$B$57)</f><v /></c><c r="T153" s="11"><f>-($B$57+(IF(20&lt;=$B$49,$B$56*$B$58+$B$55,IF(20&lt;=$B$49+$B$50,$B$56*$B$58,$B$56)))/R153)</f><v /></c><c r="U153" s="11"><f>IF(20=$B$49+$B$50,0,IF(20&gt;$B$49+$B$50,$B$56/R154,IF(20&gt;=$B$49,$B$56*$B$58/R154,($B$56*$B$58+$B$55)/R154)))</f><v /></c><c r="V153" s="11"><f>IF(20=$B$49,-$K$52*$B$55,0)</f><v /></c><c r="W153" s="11"><f>U153/(T153-S153*W152)</f><v /></c><c r="X153" s="11"><f>(V153-S153*X152)/(T153-S153*W152)</f><v /></c><c r="Y153" s="15"><f>X153-W153*Y154</f><v /></c><c r="Z153" s="11"><f>IF(20&gt;$B$49+$B$50,$G$53*$B$54^$H$53,$E$53*$B$52^$F$53)</f><v /></c><c r="AA153" s="11"><f>IF(20=1,0,$B$57)</f><v /></c><c r="AB153" s="11"><f>-($B$57+(IF(20&lt;=$B$49,$B$56*$B$58+$B$55,IF(20&lt;=$B$49+$B$50,$B$56*$B$58,$B$56)))/Z153)</f><v /></c><c r="AC153" s="11"><f>IF(20=$B$49+$B$50,0,IF(20&gt;$B$49+$B$50,$B$56/Z154,IF(20&gt;=$B$49,$B$56*$B$58/Z154,($B$56*$B$58+$B$55)/Z154)))</f><v /></c><c r="AD153" s="11"><f>IF(20=$B$49,-$K$53*$B$55,0)</f><v /></c><c r="AE153" s="11"><f>AC153/(AB153-AA153*AE152)</f><v /></c><c r="AF153" s="11"><f>(AD153-AA153*AF152)/(AB153-AA153*AE152)</f><v /></c><c r="AG153" s="15"><f>AF153-AE153*AG154</f><v /></c><c r="AH153" s="11"><f>IF(20&gt;$B$49+$B$50,$G$54*$B$54^$H$54,$E$54*$B$52^$F$54)</f><v /></c><c r="AI153" s="11"><f>IF(20=1,0,$B$57)</f><v /></c><c r="AJ153" s="11"><f>-($B$57+(IF(20&lt;=$B$49,$B$56*$B$58+$B$55,IF(20&lt;=$B$49+$B$50,$B$56*$B$58,$B$56)))/AH153)</f><v /></c><c r="AK153" s="11"><f>IF(20=$B$49+$B$50,0,IF(20&gt;$B$49+$B$50,$B$56/AH154,IF(20&gt;=$B$49,$B$56*$B$58/AH154,($B$56*$B$58+$B$55)/AH154)))</f><v /></c><c r="AL153" s="11"><f>IF(20=$B$49,-$K$54*$B$55,0)</f><v /></c><c r="AM153" s="11"><f>AK153/(AJ153-AI153*AM152)</f><v /></c><c r="AN153" s="11"><f>(AL153-AI153*AN152)/(AJ153-AI153*AM152)</f><v /></c><c r="AO153" s="15"><f>AN153-AM153*AO154</f><v /></c><c r="AP153" s="11"><f>IF(20&gt;$B$49+$B$50,$G$55*$B$54^$H$55,$E$55*$B$52^$F$55)</f><v /></c><c r="AQ153" s="11"><f>IF(20=1,0,$B$57)</f><v /></c><c r="AR153" s="11"><f>-($B$57+(IF(20&lt;=$B$49,$B$56*$B$58+$B$55,IF(20&lt;=$B$49+$B$50,$B$56*$B$58,$B$56)))/AP153)</f><v /></c><c r="AS153" s="11"><f>IF(20=$B$49+$B$50,0,IF(20&gt;$B$49+$B$50,$B$56/AP154,IF(20&gt;=$B$49,$B$56*$B$58/AP154,($B$56*$B$58+$B$55)/AP154)))</f><v /></c><c r="AT153" s="11"><f>IF(20=$B$49,-$K$55*$B$55,0)</f><v /></c><c r="AU153" s="11"><f>AS153/(AR153-AQ153*AU152)</f><v /></c><c r="AV153" s="11"><f>(AT153-AQ153*AV152)/(AR153-AQ153*AU152)</f><v /></c><c r="AW153" s="15"><f>AV153-AU153*AW154</f><v /></c><c r="AX153" s="11"><f>IF(20&gt;$B$49+$B$50,$G$56*$B$54^$H$56,$E$56*$B$52^$F$56)</f><v /></c><c r="AY153" s="11"><f>IF(20=1,0,$B$57)</f><v /></c><c r="AZ153" s="11"><f>-($B$57+(IF(20&lt;=$B$49,$B$56*$B$58+$B$55,IF(20&lt;=$B$49+$B$50,$B$56*$B$58,$B$56)))/AX153)</f><v /></c><c r="BA153" s="11"><f>IF(20=$B$49+$B$50,0,IF(20&gt;$B$49+$B$50,$B$56/AX154,IF(20&gt;=$B$49,$B$56*$B$58/AX154,($B$56*$B$58+$B$55)/AX154)))</f><v /></c><c r="BB153" s="11"><f>IF(20=$B$49,-$K$56*$B$55,0)</f><v /></c><c r="BC153" s="11"><f>BA153/(AZ153-AY153*BC152)</f><v /></c><c r="BD153" s="11"><f>(BB153-AY153*BD152)/(AZ153-AY153*BC152)</f><v /></c><c r="BE153" s="15"><f>BD153-BC153*BE154</f><v /></c><c r="BF153" s="11"><f>IF(20&gt;$B$49+$B$50,$G$57*$B$54^$H$57,$E$57*$B$52^$F$57)</f><v /></c><c r="BG153" s="11"><f>IF(20=1,0,$B$57)</f><v /></c><c r="BH153" s="11"><f>-($B$57+(IF(20&lt;=$B$49,$B$56*$B$58+$B$55,IF(20&lt;=$B$49+$B$50,$B$56*$B$58,$B$56)))/BF153)</f><v /></c><c r="BI153" s="11"><f>IF(20=$B$49+$B$50,0,IF(20&gt;$B$49+$B$50,$B$56/BF154,IF(20&gt;=$B$49,$B$56*$B$58/BF154,($B$56*$B$58+$B$55)/BF154)))</f><v /></c><c r="BJ153" s="11"><f>IF(20=$B$49,-$K$57*$B$55,0)</f><v /></c><c r="BK153" s="11"><f>BI153/(BH153-BG153*BK152)</f><v /></c><c r="BL153" s="11"><f>(BJ153-BG153*BL152)/(BH153-BG153*BK152)</f><v /></c><c r="BM153" s="15"><f>BL153-BK153*BM154</f><v /></c><c r="BN153" s="11"><f>IF(20&gt;$B$49+$B$50,$G$58*$B$54^$H$58,$E$58*$B$52^$F$58)</f><v /></c><c r="BO153" s="11"><f>IF(20=1,0,$B$57)</f><v /></c><c r="BP153" s="11"><f>-($B$57+(IF(20&lt;=$B$49,$B$56*$B$58+$B$55,IF(20&lt;=$B$49+$B$50,$B$56*$B$58,$B$56)))/BN153)</f><v /></c><c r="BQ153" s="11"><f>IF(20=$B$49+$B$50,0,IF(20&gt;$B$49+$B$50,$B$56/BN154,IF(20&gt;=$B$49,$B$56*$B$58/BN154,($B$56*$B$58+$B$55)/BN154)))</f><v /></c><c r="BR153" s="11"><f>IF(20=$B$49,-$K$58*$B$55,0)</f><v /></c><c r="BS153" s="11"><f>BQ153/(BP153-BO153*BS152)</f><v /></c><c r="BT153" s="11"><f>(BR153-BO153*BT152)/(BP153-BO153*BS152)</f><v /></c><c r="BU153" s="15"><f>BT153-BS153*BU154</f><v /></c><c r="BV153" s="11"><f>IF(20&gt;$B$49+$B$50,$G$59*$B$54^$H$59,$E$59*$B$52^$F$59)</f><v /></c><c r="BW153" s="11"><f>IF(20=1,0,$B$57)</f><v /></c><c r="BX153" s="11"><f>-($B$57+(IF(20&lt;=$B$49,$B$56*$B$58+$B$55,IF(20&lt;=$B$49+$B$50,$B$56*$B$58,$B$56)))/BV153)</f><v /></c><c r="BY153" s="11"><f>IF(20=$B$49+$B$50,0,IF(20&gt;$B$49+$B$50,$B$56/BV154,IF(20&gt;=$B$49,$B$56*$B$58/BV154,($B$56*$B$58+$B$55)/BV154)))</f><v /></c><c r="BZ153" s="11"><f>IF(20=$B$49,-$K$59*$B$55,0)</f><v /></c><c r="CA153" s="11"><f>BY153/(BX153-BW153*CA152)</f><v /></c><c r="CB153" s="11"><f>(BZ153-BW153*CB152)/(BX153-BW153*CA152)</f><v /></c><c r="CC153" s="15"><f>CB153-CA153*CC154</f><v /></c><c r="CD153" s="11"><f>IF(20&gt;$B$49+$B$50,$G$60*$B$54^$H$60,$E$60*$B$52^$F$60)</f><v /></c><c r="CE153" s="11"><f>IF(20=1,0,$B$57)</f><v /></c><c r="CF153" s="11"><f>-($B$57+(IF(20&lt;=$B$49,$B$56*$B$58+$B$55,IF(20&lt;=$B$49+$B$50,$B$56*$B$58,$B$56)))/CD153)</f><v /></c><c r="CG153" s="11"><f>IF(20=$B$49+$B$50,0,IF(20&gt;$B$49+$B$50,$B$56/CD154,IF(20&gt;=$B$49,$B$56*$B$58/CD154,($B$56*$B$58+$B$55)/CD154)))</f><v /></c><c r="CH153" s="11"><f>IF(20=$B$49,-$K$60*$B$55,0)</f><v /></c><c r="CI153" s="11"><f>CG153/(CF153-CE153*CI152)</f><v /></c><c r="CJ153" s="11"><f>(CH153-CE153*CJ152)/(CF153-CE153*CI152)</f><v /></c><c r="CK153" s="15"><f>CJ153-CI153*CK154</f><v /></c><c r="CL153" s="11"><f>IF(20&gt;$B$49+$B$50,$G$61*$B$54^$H$61,$E$61*$B$52^$F$61)</f><v /></c><c r="CM153" s="11"><f>IF(20=1,0,$B$57)</f><v /></c><c r="CN153" s="11"><f>-($B$57+(IF(20&lt;=$B$49,$B$56*$B$58+$B$55,IF(20&lt;=$B$49+$B$50,$B$56*$B$58,$B$56)))/CL153)</f><v /></c><c r="CO153" s="11"><f>IF(20=$B$49+$B$50,0,IF(20&gt;$B$49+$B$50,$B$56/CL154,IF(20&gt;=$B$49,$B$56*$B$58/CL154,($B$56*$B$58+$B$55)/CL154)))</f><v /></c><c r="CP153" s="11"><f>IF(20=$B$49,-$K$61*$B$55,0)</f><v /></c><c r="CQ153" s="11"><f>CO153/(CN153-CM153*CQ152)</f><v /></c><c r="CR153" s="11"><f>(CP153-CM153*CR152)/(CN153-CM153*CQ152)</f><v /></c><c r="CS153" s="15"><f>CR153-CQ153*CS154</f><v /></c><c r="CT153" s="11"><f>IF(20&gt;$B$49+$B$50,$G$62*$B$54^$H$62,$E$62*$B$52^$F$62)</f><v /></c><c r="CU153" s="11"><f>IF(20=1,0,$B$57)</f><v /></c><c r="CV153" s="11"><f>-($B$57+(IF(20&lt;=$B$49,$B$56*$B$58+$B$55,IF(20&lt;=$B$49+$B$50,$B$56*$B$58,$B$56)))/CT153)</f><v /></c><c r="CW153" s="11"><f>IF(20=$B$49+$B$50,0,IF(20&gt;$B$49+$B$50,$B$56/CT154,IF(20&gt;=$B$49,$B$56*$B$58/CT154,($B$56*$B$58+$B$55)/CT154)))</f><v /></c><c r="CX153" s="11"><f>IF(20=$B$49,-$K$62*$B$55,0)</f><v /></c><c r="CY153" s="11"><f>CW153/(CV153-CU153*CY152)</f><v /></c><c r="CZ153" s="11"><f>(CX153-CU153*CZ152)/(CV153-CU153*CY152)</f><v /></c><c r="DA153" s="15"><f>CZ153-CY153*DA154</f><v /></c><c r="DB153" s="11"><f>IF(20&gt;$B$49+$B$50,$G$63*$B$54^$H$63,$E$63*$B$52^$F$63)</f><v /></c><c r="DC153" s="11"><f>IF(20=1,0,$B$57)</f><v /></c><c r="DD153" s="11"><f>-($B$57+(IF(20&lt;=$B$49,$B$56*$B$58+$B$55,IF(20&lt;=$B$49+$B$50,$B$56*$B$58,$B$56)))/DB153)</f><v /></c><c r="DE153" s="11"><f>IF(20=$B$49+$B$50,0,IF(20&gt;$B$49+$B$50,$B$56/DB154,IF(20&gt;=$B$49,$B$56*$B$58/DB154,($B$56*$B$58+$B$55)/DB154)))</f><v /></c><c r="DF153" s="11"><f>IF(20=$B$49,-$K$63*$B$55,0)</f><v /></c><c r="DG153" s="11"><f>DE153/(DD153-DC153*DG152)</f><v /></c><c r="DH153" s="11"><f>(DF153-DC153*DH152)/(DD153-DC153*DG152)</f><v /></c><c r="DI153" s="15"><f>DH153-DG153*DI154</f><v /></c><c r="DJ153" s="11"><f>IF(20&gt;$B$49+$B$50,$G$64*$B$54^$H$64,$E$64*$B$52^$F$64)</f><v /></c><c r="DK153" s="11"><f>IF(20=1,0,$B$57)</f><v /></c><c r="DL153" s="11"><f>-($B$57+(IF(20&lt;=$B$49,$B$56*$B$58+$B$55,IF(20&lt;=$B$49+$B$50,$B$56*$B$58,$B$56)))/DJ153)</f><v /></c><c r="DM153" s="11"><f>IF(20=$B$49+$B$50,0,IF(20&gt;$B$49+$B$50,$B$56/DJ154,IF(20&gt;=$B$49,$B$56*$B$58/DJ154,($B$56*$B$58+$B$55)/DJ154)))</f><v /></c><c r="DN153" s="11"><f>IF(20=$B$49,-$K$64*$B$55,0)</f><v /></c><c r="DO153" s="11"><f>DM153/(DL153-DK153*DO152)</f><v /></c><c r="DP153" s="11"><f>(DN153-DK153*DP152)/(DL153-DK153*DO152)</f><v /></c><c r="DQ153" s="15"><f>DP153-DO153*DQ154</f><v /></c><c r="DR153" s="11"><f>IF(20&gt;$B$49+$B$50,$G$65*$B$54^$H$65,$E$65*$B$52^$F$65)</f><v /></c><c r="DS153" s="11"><f>IF(20=1,0,$B$57)</f><v /></c><c r="DT153" s="11"><f>-($B$57+(IF(20&lt;=$B$49,$B$56*$B$58+$B$55,IF(20&lt;=$B$49+$B$50,$B$56*$B$58,$B$56)))/DR153)</f><v /></c><c r="DU153" s="11"><f>IF(20=$B$49+$B$50,0,IF(20&gt;$B$49+$B$50,$B$56/DR154,IF(20&gt;=$B$49,$B$56*$B$58/DR154,($B$56*$B$58+$B$55)/DR154)))</f><v /></c><c r="DV153" s="11"><f>IF(20=$B$49,-$K$65*$B$55,0)</f><v /></c><c r="DW153" s="11"><f>DU153/(DT153-DS153*DW152)</f><v /></c><c r="DX153" s="11"><f>(DV153-DS153*DX152)/(DT153-DS153*DW152)</f><v /></c><c r="DY153" s="15"><f>DX153-DW153*DY154</f><v /></c><c r="DZ153" s="11"><f>IF(20&gt;$B$49+$B$50,$G$66*$B$54^$H$66,$E$66*$B$52^$F$66)</f><v /></c><c r="EA153" s="11"><f>IF(20=1,0,$B$57)</f><v /></c><c r="EB153" s="11"><f>-($B$57+(IF(20&lt;=$B$49,$B$56*$B$58+$B$55,IF(20&lt;=$B$49+$B$50,$B$56*$B$58,$B$56)))/DZ153)</f><v /></c><c r="EC153" s="11"><f>IF(20=$B$49+$B$50,0,IF(20&gt;$B$49+$B$50,$B$56/DZ154,IF(20&gt;=$B$49,$B$56*$B$58/DZ154,($B$56*$B$58+$B$55)/DZ154)))</f><v /></c><c r="ED153" s="11"><f>IF(20=$B$49,-$K$66*$B$55,0)</f><v /></c><c r="EE153" s="11"><f>EC153/(EB153-EA153*EE152)</f><v /></c><c r="EF153" s="11"><f>(ED153-EA153*EF152)/(EB153-EA153*EE152)</f><v /></c><c r="EG153" s="15"><f>EF153-EE153*EG154</f><v /></c><c r="EH153" s="11"><f>IF(20&gt;$B$49+$B$50,$G$67*$B$54^$H$67,$E$67*$B$52^$F$67)</f><v /></c><c r="EI153" s="11"><f>IF(20=1,0,$B$57)</f><v /></c><c r="EJ153" s="11"><f>-($B$57+(IF(20&lt;=$B$49,$B$56*$B$58+$B$55,IF(20&lt;=$B$49+$B$50,$B$56*$B$58,$B$56)))/EH153)</f><v /></c><c r="EK153" s="11"><f>IF(20=$B$49+$B$50,0,IF(20&gt;$B$49+$B$50,$B$56/EH154,IF(20&gt;=$B$49,$B$56*$B$58/EH154,($B$56*$B$58+$B$55)/EH154)))</f><v /></c><c r="EL153" s="11"><f>IF(20=$B$49,-$K$67*$B$55,0)</f><v /></c><c r="EM153" s="11"><f>EK153/(EJ153-EI153*EM152)</f><v /></c><c r="EN153" s="11"><f>(EL153-EI153*EN152)/(EJ153-EI153*EM152)</f><v /></c><c r="EO153" s="15"><f>EN153-EM153*EO154</f><v /></c><c r="EP153" s="11"><f>IF(20&gt;$B$49+$B$50,$G$68*$B$54^$H$68,$E$68*$B$52^$F$68)</f><v /></c><c r="EQ153" s="11"><f>IF(20=1,0,$B$57)</f><v /></c><c r="ER153" s="11"><f>-($B$57+(IF(20&lt;=$B$49,$B$56*$B$58+$B$55,IF(20&lt;=$B$49+$B$50,$B$56*$B$58,$B$56)))/EP153)</f><v /></c><c r="ES153" s="11"><f>IF(20=$B$49+$B$50,0,IF(20&gt;$B$49+$B$50,$B$56/EP154,IF(20&gt;=$B$49,$B$56*$B$58/EP154,($B$56*$B$58+$B$55)/EP154)))</f><v /></c><c r="ET153" s="11"><f>IF(20=$B$49,-$K$68*$B$55,0)</f><v /></c><c r="EU153" s="11"><f>ES153/(ER153-EQ153*EU152)</f><v /></c><c r="EV153" s="11"><f>(ET153-EQ153*EV152)/(ER153-EQ153*EU152)</f><v /></c><c r="EW153" s="15"><f>EV153-EU153*EW154</f><v /></c><c r="EX153" s="11"><f>IF(20&gt;$B$49+$B$50,$G$69*$B$54^$H$69,$E$69*$B$52^$F$69)</f><v /></c><c r="EY153" s="11"><f>IF(20=1,0,$B$57)</f><v /></c><c r="EZ153" s="11"><f>-($B$57+(IF(20&lt;=$B$49,$B$56*$B$58+$B$55,IF(20&lt;=$B$49+$B$50,$B$56*$B$58,$B$56)))/EX153)</f><v /></c><c r="FA153" s="11"><f>IF(20=$B$49+$B$50,0,IF(20&gt;$B$49+$B$50,$B$56/EX154,IF(20&gt;=$B$49,$B$56*$B$58/EX154,($B$56*$B$58+$B$55)/EX154)))</f><v /></c><c r="FB153" s="11"><f>IF(20=$B$49,-$K$69*$B$55,0)</f><v /></c><c r="FC153" s="11"><f>FA153/(EZ153-EY153*FC152)</f><v /></c><c r="FD153" s="11"><f>(FB153-EY153*FD152)/(EZ153-EY153*FC152)</f><v /></c><c r="FE153" s="15"><f>FD153-FC153*FE154</f><v /></c><c r="FF153" s="11"><f>IF(20&gt;$B$49+$B$50,$G$70*$B$54^$H$70,$E$70*$B$52^$F$70)</f><v /></c><c r="FG153" s="11"><f>IF(20=1,0,$B$57)</f><v /></c><c r="FH153" s="11"><f>-($B$57+(IF(20&lt;=$B$49,$B$56*$B$58+$B$55,IF(20&lt;=$B$49+$B$50,$B$56*$B$58,$B$56)))/FF153)</f><v /></c><c r="FI153" s="11"><f>IF(20=$B$49+$B$50,0,IF(20&gt;$B$49+$B$50,$B$56/FF154,IF(20&gt;=$B$49,$B$56*$B$58/FF154,($B$56*$B$58+$B$55)/FF154)))</f><v /></c><c r="FJ153" s="11"><f>IF(20=$B$49,-$K$70*$B$55,0)</f><v /></c><c r="FK153" s="11"><f>FI153/(FH153-FG153*FK152)</f><v /></c><c r="FL153" s="11"><f>(FJ153-FG153*FL152)/(FH153-FG153*FK152)</f><v /></c><c r="FM153" s="15"><f>FL153-FK153*FM154</f><v /></c><c r="FN153" s="11"><f>IF(20&gt;$B$49+$B$50,$G$71*$B$54^$H$71,$E$71*$B$52^$F$71)</f><v /></c><c r="FO153" s="11"><f>IF(20=1,0,$B$57)</f><v /></c><c r="FP153" s="11"><f>-($B$57+(IF(20&lt;=$B$49,$B$56*$B$58+$B$55,IF(20&lt;=$B$49+$B$50,$B$56*$B$58,$B$56)))/FN153)</f><v /></c><c r="FQ153" s="11"><f>IF(20=$B$49+$B$50,0,IF(20&gt;$B$49+$B$50,$B$56/FN154,IF(20&gt;=$B$49,$B$56*$B$58/FN154,($B$56*$B$58+$B$55)/FN154)))</f><v /></c><c r="FR153" s="11"><f>IF(20=$B$49,-$K$71*$B$55,0)</f><v /></c><c r="FS153" s="11"><f>FQ153/(FP153-FO153*FS152)</f><v /></c><c r="FT153" s="11"><f>(FR153-FO153*FT152)/(FP153-FO153*FS152)</f><v /></c><c r="FU153" s="15"><f>FT153-FS153*FU154</f><v /></c><c r="FV153" s="11"><f>IF(20&gt;$B$49+$B$50,$G$72*$B$54^$H$72,$E$72*$B$52^$F$72)</f><v /></c><c r="FW153" s="11"><f>IF(20=1,0,$B$57)</f><v /></c><c r="FX153" s="11"><f>-($B$57+(IF(20&lt;=$B$49,$B$56*$B$58+$B$55,IF(20&lt;=$B$49+$B$50,$B$56*$B$58,$B$56)))/FV153)</f><v /></c><c r="FY153" s="11"><f>IF(20=$B$49+$B$50,0,IF(20&gt;$B$49+$B$50,$B$56/FV154,IF(20&gt;=$B$49,$B$56*$B$58/FV154,($B$56*$B$58+$B$55)/FV154)))</f><v /></c><c r="FZ153" s="11"><f>IF(20=$B$49,-$K$72*$B$55,0)</f><v /></c><c r="GA153" s="11"><f>FY153/(FX153-FW153*GA152)</f><v /></c><c r="GB153" s="11"><f>(FZ153-FW153*GB152)/(FX153-FW153*GA152)</f><v /></c><c r="GC153" s="15"><f>GB153-GA153*GC154</f><v /></c><c r="GD153" s="11"><f>IF(20&gt;$B$49+$B$50,$G$73*$B$54^$H$73,$E$73*$B$52^$F$73)</f><v /></c><c r="GE153" s="11"><f>IF(20=1,0,$B$57)</f><v /></c><c r="GF153" s="11"><f>-($B$57+(IF(20&lt;=$B$49,$B$56*$B$58+$B$55,IF(20&lt;=$B$49+$B$50,$B$56*$B$58,$B$56)))/GD153)</f><v /></c><c r="GG153" s="11"><f>IF(20=$B$49+$B$50,0,IF(20&gt;$B$49+$B$50,$B$56/GD154,IF(20&gt;=$B$49,$B$56*$B$58/GD154,($B$56*$B$58+$B$55)/GD154)))</f><v /></c><c r="GH153" s="11"><f>IF(20=$B$49,-$K$73*$B$55,0)</f><v /></c><c r="GI153" s="11"><f>GG153/(GF153-GE153*GI152)</f><v /></c><c r="GJ153" s="11"><f>(GH153-GE153*GJ152)/(GF153-GE153*GI152)</f><v /></c><c r="GK153" s="15"><f>GJ153-GI153*GK154</f><v /></c><c r="GL153" s="11"><f>IF(20&gt;$B$49+$B$50,$G$74*$B$54^$H$74,$E$74*$B$52^$F$74)</f><v /></c><c r="GM153" s="11"><f>IF(20=1,0,$B$57)</f><v /></c><c r="GN153" s="11"><f>-($B$57+(IF(20&lt;=$B$49,$B$56*$B$58+$B$55,IF(20&lt;=$B$49+$B$50,$B$56*$B$58,$B$56)))/GL153)</f><v /></c><c r="GO153" s="11"><f>IF(20=$B$49+$B$50,0,IF(20&gt;$B$49+$B$50,$B$56/GL154,IF(20&gt;=$B$49,$B$56*$B$58/GL154,($B$56*$B$58+$B$55)/GL154)))</f><v /></c><c r="GP153" s="11"><f>IF(20=$B$49,-$K$74*$B$55,0)</f><v /></c><c r="GQ153" s="11"><f>GO153/(GN153-GM153*GQ152)</f><v /></c><c r="GR153" s="11"><f>(GP153-GM153*GR152)/(GN153-GM153*GQ152)</f><v /></c><c r="GS153" s="15"><f>GR153-GQ153*GS154</f><v /></c><c r="GT153" s="11"><f>IF(20&gt;$B$49+$B$50,$G$75*$B$54^$H$75,$E$75*$B$52^$F$75)</f><v /></c><c r="GU153" s="11"><f>IF(20=1,0,$B$57)</f><v /></c><c r="GV153" s="11"><f>-($B$57+(IF(20&lt;=$B$49,$B$56*$B$58+$B$55,IF(20&lt;=$B$49+$B$50,$B$56*$B$58,$B$56)))/GT153)</f><v /></c><c r="GW153" s="11"><f>IF(20=$B$49+$B$50,0,IF(20&gt;$B$49+$B$50,$B$56/GT154,IF(20&gt;=$B$49,$B$56*$B$58/GT154,($B$56*$B$58+$B$55)/GT154)))</f><v /></c><c r="GX153" s="11"><f>IF(20=$B$49,-$K$75*$B$55,0)</f><v /></c><c r="GY153" s="11"><f>GW153/(GV153-GU153*GY152)</f><v /></c><c r="GZ153" s="11"><f>(GX153-GU153*GZ152)/(GV153-GU153*GY152)</f><v /></c><c r="HA153" s="15"><f>GZ153-GY153*HA154</f><v /></c><c r="HB153" s="13"><f>IFERROR(I153/B153,0)</f><v /></c><c r="HC153" s="13"><f>IFERROR(Q153/J153,0)</f><v /></c><c r="HD153" s="13"><f>IFERROR(Y153/R153,0)</f><v /></c><c r="HE153" s="13"><f>IFERROR(AG153/Z153,0)</f><v /></c><c r="HF153" s="13"><f>IFERROR(AO153/AH153,0)</f><v /></c><c r="HG153" s="13"><f>IFERROR(AW153/AP153,0)</f><v /></c><c r="HH153" s="13"><f>IFERROR(BE153/AX153,0)</f><v /></c><c r="HI153" s="13"><f>IFERROR(BM153/BF153,0)</f><v /></c><c r="HJ153" s="13"><f>IFERROR(BU153/BN153,0)</f><v /></c><c r="HK153" s="13"><f>IFERROR(CC153/BV153,0)</f><v /></c><c r="HL153" s="13"><f>IFERROR(CK153/CD153,0)</f><v /></c><c r="HM153" s="13"><f>IFERROR(CS153/CL153,0)</f><v /></c><c r="HN153" s="13"><f>IFERROR(DA153/CT153,0)</f><v /></c><c r="HO153" s="13"><f>IFERROR(DI153/DB153,0)</f><v /></c><c r="HP153" s="13"><f>IFERROR(DQ153/DJ153,0)</f><v /></c><c r="HQ153" s="13"><f>IFERROR(DY153/DR153,0)</f><v /></c><c r="HR153" s="13"><f>IFERROR(EG153/DZ153,0)</f><v /></c><c r="HS153" s="13"><f>IFERROR(EO153/EH153,0)</f><v /></c><c r="HT153" s="13"><f>IFERROR(EW153/EP153,0)</f><v /></c><c r="HU153" s="13"><f>IFERROR(FE153/EX153,0)</f><v /></c><c r="HV153" s="13"><f>IFERROR(FM153/FF153,0)</f><v /></c><c r="HW153" s="13"><f>IFERROR(FU153/FN153,0)</f><v /></c><c r="HX153" s="13"><f>IFERROR(GC153/FV153,0)</f><v /></c><c r="HY153" s="13"><f>IFERROR(GK153/GD153,0)</f><v /></c><c r="HZ153" s="13"><f>IFERROR(GS153/GL153,0)</f><v /></c><c r="IA153" s="13"><f>IFERROR(HA153/GT153,0)</f><v /></c><c r="IB153" s="13"><f>I153+Q153+Y153+AG153+AO153+AW153+BE153+BM153+BU153+CC153+CK153+CS153+DA153+DI153+DQ153+DY153+EG153+EO153+EW153+FE153+FM153+FU153+GC153+GK153+GS153+HA153</f><v /></c><c r="IC153" s="13"><f>HB153+HC153+HD153+HE153+HF153+HG153+HH153+HI153+HJ153+HK153+HL153+HM153+HN153+HO153+HP153+HQ153+HR153+HS153+HT153+HU153+HV153+HW153+HX153+HY153+HZ153+IA153</f><v /></c></row><row r="154" ht="14" customHeight="1"><c r="A154" s="25" t="n"><v>21</v></c><c r="B154" s="11"><f>IF(21&gt;$B$49+$B$50,$G$50*$B$54^$H$50,$E$50*$B$52^$F$50)</f><v /></c><c r="C154" s="11"><f>IF(21=1,0,$B$57)</f><v /></c><c r="D154" s="11"><f>-($B$57+(IF(21&lt;=$B$49,$B$56*$B$58+$B$55,IF(21&lt;=$B$49+$B$50,$B$56*$B$58,$B$56)))/B154)</f><v /></c><c r="E154" s="11"><f>IF(21=$B$49+$B$50,0,IF(21&gt;$B$49+$B$50,$B$56/B155,IF(21&gt;=$B$49,$B$56*$B$58/B155,($B$56*$B$58+$B$55)/B155)))</f><v /></c><c r="F154" s="11"><f>IF(21=$B$49,-$K$50*$B$55,0)</f><v /></c><c r="G154" s="11"><f>E154/(D154-C154*G153)</f><v /></c><c r="H154" s="11"><f>(F154-C154*H153)/(D154-C154*G153)</f><v /></c><c r="I154" s="15"><f>H154-G154*I155</f><v /></c><c r="J154" s="11"><f>IF(21&gt;$B$49+$B$50,$G$51*$B$54^$H$51,$E$51*$B$52^$F$51)</f><v /></c><c r="K154" s="11"><f>IF(21=1,0,$B$57)</f><v /></c><c r="L154" s="11"><f>-($B$57+(IF(21&lt;=$B$49,$B$56*$B$58+$B$55,IF(21&lt;=$B$49+$B$50,$B$56*$B$58,$B$56)))/J154)</f><v /></c><c r="M154" s="11"><f>IF(21=$B$49+$B$50,0,IF(21&gt;$B$49+$B$50,$B$56/J155,IF(21&gt;=$B$49,$B$56*$B$58/J155,($B$56*$B$58+$B$55)/J155)))</f><v /></c><c r="N154" s="11"><f>IF(21=$B$49,-$K$51*$B$55,0)</f><v /></c><c r="O154" s="11"><f>M154/(L154-K154*O153)</f><v /></c><c r="P154" s="11"><f>(N154-K154*P153)/(L154-K154*O153)</f><v /></c><c r="Q154" s="15"><f>P154-O154*Q155</f><v /></c><c r="R154" s="11"><f>IF(21&gt;$B$49+$B$50,$G$52*$B$54^$H$52,$E$52*$B$52^$F$52)</f><v /></c><c r="S154" s="11"><f>IF(21=1,0,$B$57)</f><v /></c><c r="T154" s="11"><f>-($B$57+(IF(21&lt;=$B$49,$B$56*$B$58+$B$55,IF(21&lt;=$B$49+$B$50,$B$56*$B$58,$B$56)))/R154)</f><v /></c><c r="U154" s="11"><f>IF(21=$B$49+$B$50,0,IF(21&gt;$B$49+$B$50,$B$56/R155,IF(21&gt;=$B$49,$B$56*$B$58/R155,($B$56*$B$58+$B$55)/R155)))</f><v /></c><c r="V154" s="11"><f>IF(21=$B$49,-$K$52*$B$55,0)</f><v /></c><c r="W154" s="11"><f>U154/(T154-S154*W153)</f><v /></c><c r="X154" s="11"><f>(V154-S154*X153)/(T154-S154*W153)</f><v /></c><c r="Y154" s="15"><f>X154-W154*Y155</f><v /></c><c r="Z154" s="11"><f>IF(21&gt;$B$49+$B$50,$G$53*$B$54^$H$53,$E$53*$B$52^$F$53)</f><v /></c><c r="AA154" s="11"><f>IF(21=1,0,$B$57)</f><v /></c><c r="AB154" s="11"><f>-($B$57+(IF(21&lt;=$B$49,$B$56*$B$58+$B$55,IF(21&lt;=$B$49+$B$50,$B$56*$B$58,$B$56)))/Z154)</f><v /></c><c r="AC154" s="11"><f>IF(21=$B$49+$B$50,0,IF(21&gt;$B$49+$B$50,$B$56/Z155,IF(21&gt;=$B$49,$B$56*$B$58/Z155,($B$56*$B$58+$B$55)/Z155)))</f><v /></c><c r="AD154" s="11"><f>IF(21=$B$49,-$K$53*$B$55,0)</f><v /></c><c r="AE154" s="11"><f>AC154/(AB154-AA154*AE153)</f><v /></c><c r="AF154" s="11"><f>(AD154-AA154*AF153)/(AB154-AA154*AE153)</f><v /></c><c r="AG154" s="15"><f>AF154-AE154*AG155</f><v /></c><c r="AH154" s="11"><f>IF(21&gt;$B$49+$B$50,$G$54*$B$54^$H$54,$E$54*$B$52^$F$54)</f><v /></c><c r="AI154" s="11"><f>IF(21=1,0,$B$57)</f><v /></c><c r="AJ154" s="11"><f>-($B$57+(IF(21&lt;=$B$49,$B$56*$B$58+$B$55,IF(21&lt;=$B$49+$B$50,$B$56*$B$58,$B$56)))/AH154)</f><v /></c><c r="AK154" s="11"><f>IF(21=$B$49+$B$50,0,IF(21&gt;$B$49+$B$50,$B$56/AH155,IF(21&gt;=$B$49,$B$56*$B$58/AH155,($B$56*$B$58+$B$55)/AH155)))</f><v /></c><c r="AL154" s="11"><f>IF(21=$B$49,-$K$54*$B$55,0)</f><v /></c><c r="AM154" s="11"><f>AK154/(AJ154-AI154*AM153)</f><v /></c><c r="AN154" s="11"><f>(AL154-AI154*AN153)/(AJ154-AI154*AM153)</f><v /></c><c r="AO154" s="15"><f>AN154-AM154*AO155</f><v /></c><c r="AP154" s="11"><f>IF(21&gt;$B$49+$B$50,$G$55*$B$54^$H$55,$E$55*$B$52^$F$55)</f><v /></c><c r="AQ154" s="11"><f>IF(21=1,0,$B$57)</f><v /></c><c r="AR154" s="11"><f>-($B$57+(IF(21&lt;=$B$49,$B$56*$B$58+$B$55,IF(21&lt;=$B$49+$B$50,$B$56*$B$58,$B$56)))/AP154)</f><v /></c><c r="AS154" s="11"><f>IF(21=$B$49+$B$50,0,IF(21&gt;$B$49+$B$50,$B$56/AP155,IF(21&gt;=$B$49,$B$56*$B$58/AP155,($B$56*$B$58+$B$55)/AP155)))</f><v /></c><c r="AT154" s="11"><f>IF(21=$B$49,-$K$55*$B$55,0)</f><v /></c><c r="AU154" s="11"><f>AS154/(AR154-AQ154*AU153)</f><v /></c><c r="AV154" s="11"><f>(AT154-AQ154*AV153)/(AR154-AQ154*AU153)</f><v /></c><c r="AW154" s="15"><f>AV154-AU154*AW155</f><v /></c><c r="AX154" s="11"><f>IF(21&gt;$B$49+$B$50,$G$56*$B$54^$H$56,$E$56*$B$52^$F$56)</f><v /></c><c r="AY154" s="11"><f>IF(21=1,0,$B$57)</f><v /></c><c r="AZ154" s="11"><f>-($B$57+(IF(21&lt;=$B$49,$B$56*$B$58+$B$55,IF(21&lt;=$B$49+$B$50,$B$56*$B$58,$B$56)))/AX154)</f><v /></c><c r="BA154" s="11"><f>IF(21=$B$49+$B$50,0,IF(21&gt;$B$49+$B$50,$B$56/AX155,IF(21&gt;=$B$49,$B$56*$B$58/AX155,($B$56*$B$58+$B$55)/AX155)))</f><v /></c><c r="BB154" s="11"><f>IF(21=$B$49,-$K$56*$B$55,0)</f><v /></c><c r="BC154" s="11"><f>BA154/(AZ154-AY154*BC153)</f><v /></c><c r="BD154" s="11"><f>(BB154-AY154*BD153)/(AZ154-AY154*BC153)</f><v /></c><c r="BE154" s="15"><f>BD154-BC154*BE155</f><v /></c><c r="BF154" s="11"><f>IF(21&gt;$B$49+$B$50,$G$57*$B$54^$H$57,$E$57*$B$52^$F$57)</f><v /></c><c r="BG154" s="11"><f>IF(21=1,0,$B$57)</f><v /></c><c r="BH154" s="11"><f>-($B$57+(IF(21&lt;=$B$49,$B$56*$B$58+$B$55,IF(21&lt;=$B$49+$B$50,$B$56*$B$58,$B$56)))/BF154)</f><v /></c><c r="BI154" s="11"><f>IF(21=$B$49+$B$50,0,IF(21&gt;$B$49+$B$50,$B$56/BF155,IF(21&gt;=$B$49,$B$56*$B$58/BF155,($B$56*$B$58+$B$55)/BF155)))</f><v /></c><c r="BJ154" s="11"><f>IF(21=$B$49,-$K$57*$B$55,0)</f><v /></c><c r="BK154" s="11"><f>BI154/(BH154-BG154*BK153)</f><v /></c><c r="BL154" s="11"><f>(BJ154-BG154*BL153)/(BH154-BG154*BK153)</f><v /></c><c r="BM154" s="15"><f>BL154-BK154*BM155</f><v /></c><c r="BN154" s="11"><f>IF(21&gt;$B$49+$B$50,$G$58*$B$54^$H$58,$E$58*$B$52^$F$58)</f><v /></c><c r="BO154" s="11"><f>IF(21=1,0,$B$57)</f><v /></c><c r="BP154" s="11"><f>-($B$57+(IF(21&lt;=$B$49,$B$56*$B$58+$B$55,IF(21&lt;=$B$49+$B$50,$B$56*$B$58,$B$56)))/BN154)</f><v /></c><c r="BQ154" s="11"><f>IF(21=$B$49+$B$50,0,IF(21&gt;$B$49+$B$50,$B$56/BN155,IF(21&gt;=$B$49,$B$56*$B$58/BN155,($B$56*$B$58+$B$55)/BN155)))</f><v /></c><c r="BR154" s="11"><f>IF(21=$B$49,-$K$58*$B$55,0)</f><v /></c><c r="BS154" s="11"><f>BQ154/(BP154-BO154*BS153)</f><v /></c><c r="BT154" s="11"><f>(BR154-BO154*BT153)/(BP154-BO154*BS153)</f><v /></c><c r="BU154" s="15"><f>BT154-BS154*BU155</f><v /></c><c r="BV154" s="11"><f>IF(21&gt;$B$49+$B$50,$G$59*$B$54^$H$59,$E$59*$B$52^$F$59)</f><v /></c><c r="BW154" s="11"><f>IF(21=1,0,$B$57)</f><v /></c><c r="BX154" s="11"><f>-($B$57+(IF(21&lt;=$B$49,$B$56*$B$58+$B$55,IF(21&lt;=$B$49+$B$50,$B$56*$B$58,$B$56)))/BV154)</f><v /></c><c r="BY154" s="11"><f>IF(21=$B$49+$B$50,0,IF(21&gt;$B$49+$B$50,$B$56/BV155,IF(21&gt;=$B$49,$B$56*$B$58/BV155,($B$56*$B$58+$B$55)/BV155)))</f><v /></c><c r="BZ154" s="11"><f>IF(21=$B$49,-$K$59*$B$55,0)</f><v /></c><c r="CA154" s="11"><f>BY154/(BX154-BW154*CA153)</f><v /></c><c r="CB154" s="11"><f>(BZ154-BW154*CB153)/(BX154-BW154*CA153)</f><v /></c><c r="CC154" s="15"><f>CB154-CA154*CC155</f><v /></c><c r="CD154" s="11"><f>IF(21&gt;$B$49+$B$50,$G$60*$B$54^$H$60,$E$60*$B$52^$F$60)</f><v /></c><c r="CE154" s="11"><f>IF(21=1,0,$B$57)</f><v /></c><c r="CF154" s="11"><f>-($B$57+(IF(21&lt;=$B$49,$B$56*$B$58+$B$55,IF(21&lt;=$B$49+$B$50,$B$56*$B$58,$B$56)))/CD154)</f><v /></c><c r="CG154" s="11"><f>IF(21=$B$49+$B$50,0,IF(21&gt;$B$49+$B$50,$B$56/CD155,IF(21&gt;=$B$49,$B$56*$B$58/CD155,($B$56*$B$58+$B$55)/CD155)))</f><v /></c><c r="CH154" s="11"><f>IF(21=$B$49,-$K$60*$B$55,0)</f><v /></c><c r="CI154" s="11"><f>CG154/(CF154-CE154*CI153)</f><v /></c><c r="CJ154" s="11"><f>(CH154-CE154*CJ153)/(CF154-CE154*CI153)</f><v /></c><c r="CK154" s="15"><f>CJ154-CI154*CK155</f><v /></c><c r="CL154" s="11"><f>IF(21&gt;$B$49+$B$50,$G$61*$B$54^$H$61,$E$61*$B$52^$F$61)</f><v /></c><c r="CM154" s="11"><f>IF(21=1,0,$B$57)</f><v /></c><c r="CN154" s="11"><f>-($B$57+(IF(21&lt;=$B$49,$B$56*$B$58+$B$55,IF(21&lt;=$B$49+$B$50,$B$56*$B$58,$B$56)))/CL154)</f><v /></c><c r="CO154" s="11"><f>IF(21=$B$49+$B$50,0,IF(21&gt;$B$49+$B$50,$B$56/CL155,IF(21&gt;=$B$49,$B$56*$B$58/CL155,($B$56*$B$58+$B$55)/CL155)))</f><v /></c><c r="CP154" s="11"><f>IF(21=$B$49,-$K$61*$B$55,0)</f><v /></c><c r="CQ154" s="11"><f>CO154/(CN154-CM154*CQ153)</f><v /></c><c r="CR154" s="11"><f>(CP154-CM154*CR153)/(CN154-CM154*CQ153)</f><v /></c><c r="CS154" s="15"><f>CR154-CQ154*CS155</f><v /></c><c r="CT154" s="11"><f>IF(21&gt;$B$49+$B$50,$G$62*$B$54^$H$62,$E$62*$B$52^$F$62)</f><v /></c><c r="CU154" s="11"><f>IF(21=1,0,$B$57)</f><v /></c><c r="CV154" s="11"><f>-($B$57+(IF(21&lt;=$B$49,$B$56*$B$58+$B$55,IF(21&lt;=$B$49+$B$50,$B$56*$B$58,$B$56)))/CT154)</f><v /></c><c r="CW154" s="11"><f>IF(21=$B$49+$B$50,0,IF(21&gt;$B$49+$B$50,$B$56/CT155,IF(21&gt;=$B$49,$B$56*$B$58/CT155,($B$56*$B$58+$B$55)/CT155)))</f><v /></c><c r="CX154" s="11"><f>IF(21=$B$49,-$K$62*$B$55,0)</f><v /></c><c r="CY154" s="11"><f>CW154/(CV154-CU154*CY153)</f><v /></c><c r="CZ154" s="11"><f>(CX154-CU154*CZ153)/(CV154-CU154*CY153)</f><v /></c><c r="DA154" s="15"><f>CZ154-CY154*DA155</f><v /></c><c r="DB154" s="11"><f>IF(21&gt;$B$49+$B$50,$G$63*$B$54^$H$63,$E$63*$B$52^$F$63)</f><v /></c><c r="DC154" s="11"><f>IF(21=1,0,$B$57)</f><v /></c><c r="DD154" s="11"><f>-($B$57+(IF(21&lt;=$B$49,$B$56*$B$58+$B$55,IF(21&lt;=$B$49+$B$50,$B$56*$B$58,$B$56)))/DB154)</f><v /></c><c r="DE154" s="11"><f>IF(21=$B$49+$B$50,0,IF(21&gt;$B$49+$B$50,$B$56/DB155,IF(21&gt;=$B$49,$B$56*$B$58/DB155,($B$56*$B$58+$B$55)/DB155)))</f><v /></c><c r="DF154" s="11"><f>IF(21=$B$49,-$K$63*$B$55,0)</f><v /></c><c r="DG154" s="11"><f>DE154/(DD154-DC154*DG153)</f><v /></c><c r="DH154" s="11"><f>(DF154-DC154*DH153)/(DD154-DC154*DG153)</f><v /></c><c r="DI154" s="15"><f>DH154-DG154*DI155</f><v /></c><c r="DJ154" s="11"><f>IF(21&gt;$B$49+$B$50,$G$64*$B$54^$H$64,$E$64*$B$52^$F$64)</f><v /></c><c r="DK154" s="11"><f>IF(21=1,0,$B$57)</f><v /></c><c r="DL154" s="11"><f>-($B$57+(IF(21&lt;=$B$49,$B$56*$B$58+$B$55,IF(21&lt;=$B$49+$B$50,$B$56*$B$58,$B$56)))/DJ154)</f><v /></c><c r="DM154" s="11"><f>IF(21=$B$49+$B$50,0,IF(21&gt;$B$49+$B$50,$B$56/DJ155,IF(21&gt;=$B$49,$B$56*$B$58/DJ155,($B$56*$B$58+$B$55)/DJ155)))</f><v /></c><c r="DN154" s="11"><f>IF(21=$B$49,-$K$64*$B$55,0)</f><v /></c><c r="DO154" s="11"><f>DM154/(DL154-DK154*DO153)</f><v /></c><c r="DP154" s="11"><f>(DN154-DK154*DP153)/(DL154-DK154*DO153)</f><v /></c><c r="DQ154" s="15"><f>DP154-DO154*DQ155</f><v /></c><c r="DR154" s="11"><f>IF(21&gt;$B$49+$B$50,$G$65*$B$54^$H$65,$E$65*$B$52^$F$65)</f><v /></c><c r="DS154" s="11"><f>IF(21=1,0,$B$57)</f><v /></c><c r="DT154" s="11"><f>-($B$57+(IF(21&lt;=$B$49,$B$56*$B$58+$B$55,IF(21&lt;=$B$49+$B$50,$B$56*$B$58,$B$56)))/DR154)</f><v /></c><c r="DU154" s="11"><f>IF(21=$B$49+$B$50,0,IF(21&gt;$B$49+$B$50,$B$56/DR155,IF(21&gt;=$B$49,$B$56*$B$58/DR155,($B$56*$B$58+$B$55)/DR155)))</f><v /></c><c r="DV154" s="11"><f>IF(21=$B$49,-$K$65*$B$55,0)</f><v /></c><c r="DW154" s="11"><f>DU154/(DT154-DS154*DW153)</f><v /></c><c r="DX154" s="11"><f>(DV154-DS154*DX153)/(DT154-DS154*DW153)</f><v /></c><c r="DY154" s="15"><f>DX154-DW154*DY155</f><v /></c><c r="DZ154" s="11"><f>IF(21&gt;$B$49+$B$50,$G$66*$B$54^$H$66,$E$66*$B$52^$F$66)</f><v /></c><c r="EA154" s="11"><f>IF(21=1,0,$B$57)</f><v /></c><c r="EB154" s="11"><f>-($B$57+(IF(21&lt;=$B$49,$B$56*$B$58+$B$55,IF(21&lt;=$B$49+$B$50,$B$56*$B$58,$B$56)))/DZ154)</f><v /></c><c r="EC154" s="11"><f>IF(21=$B$49+$B$50,0,IF(21&gt;$B$49+$B$50,$B$56/DZ155,IF(21&gt;=$B$49,$B$56*$B$58/DZ155,($B$56*$B$58+$B$55)/DZ155)))</f><v /></c><c r="ED154" s="11"><f>IF(21=$B$49,-$K$66*$B$55,0)</f><v /></c><c r="EE154" s="11"><f>EC154/(EB154-EA154*EE153)</f><v /></c><c r="EF154" s="11"><f>(ED154-EA154*EF153)/(EB154-EA154*EE153)</f><v /></c><c r="EG154" s="15"><f>EF154-EE154*EG155</f><v /></c><c r="EH154" s="11"><f>IF(21&gt;$B$49+$B$50,$G$67*$B$54^$H$67,$E$67*$B$52^$F$67)</f><v /></c><c r="EI154" s="11"><f>IF(21=1,0,$B$57)</f><v /></c><c r="EJ154" s="11"><f>-($B$57+(IF(21&lt;=$B$49,$B$56*$B$58+$B$55,IF(21&lt;=$B$49+$B$50,$B$56*$B$58,$B$56)))/EH154)</f><v /></c><c r="EK154" s="11"><f>IF(21=$B$49+$B$50,0,IF(21&gt;$B$49+$B$50,$B$56/EH155,IF(21&gt;=$B$49,$B$56*$B$58/EH155,($B$56*$B$58+$B$55)/EH155)))</f><v /></c><c r="EL154" s="11"><f>IF(21=$B$49,-$K$67*$B$55,0)</f><v /></c><c r="EM154" s="11"><f>EK154/(EJ154-EI154*EM153)</f><v /></c><c r="EN154" s="11"><f>(EL154-EI154*EN153)/(EJ154-EI154*EM153)</f><v /></c><c r="EO154" s="15"><f>EN154-EM154*EO155</f><v /></c><c r="EP154" s="11"><f>IF(21&gt;$B$49+$B$50,$G$68*$B$54^$H$68,$E$68*$B$52^$F$68)</f><v /></c><c r="EQ154" s="11"><f>IF(21=1,0,$B$57)</f><v /></c><c r="ER154" s="11"><f>-($B$57+(IF(21&lt;=$B$49,$B$56*$B$58+$B$55,IF(21&lt;=$B$49+$B$50,$B$56*$B$58,$B$56)))/EP154)</f><v /></c><c r="ES154" s="11"><f>IF(21=$B$49+$B$50,0,IF(21&gt;$B$49+$B$50,$B$56/EP155,IF(21&gt;=$B$49,$B$56*$B$58/EP155,($B$56*$B$58+$B$55)/EP155)))</f><v /></c><c r="ET154" s="11"><f>IF(21=$B$49,-$K$68*$B$55,0)</f><v /></c><c r="EU154" s="11"><f>ES154/(ER154-EQ154*EU153)</f><v /></c><c r="EV154" s="11"><f>(ET154-EQ154*EV153)/(ER154-EQ154*EU153)</f><v /></c><c r="EW154" s="15"><f>EV154-EU154*EW155</f><v /></c><c r="EX154" s="11"><f>IF(21&gt;$B$49+$B$50,$G$69*$B$54^$H$69,$E$69*$B$52^$F$69)</f><v /></c><c r="EY154" s="11"><f>IF(21=1,0,$B$57)</f><v /></c><c r="EZ154" s="11"><f>-($B$57+(IF(21&lt;=$B$49,$B$56*$B$58+$B$55,IF(21&lt;=$B$49+$B$50,$B$56*$B$58,$B$56)))/EX154)</f><v /></c><c r="FA154" s="11"><f>IF(21=$B$49+$B$50,0,IF(21&gt;$B$49+$B$50,$B$56/EX155,IF(21&gt;=$B$49,$B$56*$B$58/EX155,($B$56*$B$58+$B$55)/EX155)))</f><v /></c><c r="FB154" s="11"><f>IF(21=$B$49,-$K$69*$B$55,0)</f><v /></c><c r="FC154" s="11"><f>FA154/(EZ154-EY154*FC153)</f><v /></c><c r="FD154" s="11"><f>(FB154-EY154*FD153)/(EZ154-EY154*FC153)</f><v /></c><c r="FE154" s="15"><f>FD154-FC154*FE155</f><v /></c><c r="FF154" s="11"><f>IF(21&gt;$B$49+$B$50,$G$70*$B$54^$H$70,$E$70*$B$52^$F$70)</f><v /></c><c r="FG154" s="11"><f>IF(21=1,0,$B$57)</f><v /></c><c r="FH154" s="11"><f>-($B$57+(IF(21&lt;=$B$49,$B$56*$B$58+$B$55,IF(21&lt;=$B$49+$B$50,$B$56*$B$58,$B$56)))/FF154)</f><v /></c><c r="FI154" s="11"><f>IF(21=$B$49+$B$50,0,IF(21&gt;$B$49+$B$50,$B$56/FF155,IF(21&gt;=$B$49,$B$56*$B$58/FF155,($B$56*$B$58+$B$55)/FF155)))</f><v /></c><c r="FJ154" s="11"><f>IF(21=$B$49,-$K$70*$B$55,0)</f><v /></c><c r="FK154" s="11"><f>FI154/(FH154-FG154*FK153)</f><v /></c><c r="FL154" s="11"><f>(FJ154-FG154*FL153)/(FH154-FG154*FK153)</f><v /></c><c r="FM154" s="15"><f>FL154-FK154*FM155</f><v /></c><c r="FN154" s="11"><f>IF(21&gt;$B$49+$B$50,$G$71*$B$54^$H$71,$E$71*$B$52^$F$71)</f><v /></c><c r="FO154" s="11"><f>IF(21=1,0,$B$57)</f><v /></c><c r="FP154" s="11"><f>-($B$57+(IF(21&lt;=$B$49,$B$56*$B$58+$B$55,IF(21&lt;=$B$49+$B$50,$B$56*$B$58,$B$56)))/FN154)</f><v /></c><c r="FQ154" s="11"><f>IF(21=$B$49+$B$50,0,IF(21&gt;$B$49+$B$50,$B$56/FN155,IF(21&gt;=$B$49,$B$56*$B$58/FN155,($B$56*$B$58+$B$55)/FN155)))</f><v /></c><c r="FR154" s="11"><f>IF(21=$B$49,-$K$71*$B$55,0)</f><v /></c><c r="FS154" s="11"><f>FQ154/(FP154-FO154*FS153)</f><v /></c><c r="FT154" s="11"><f>(FR154-FO154*FT153)/(FP154-FO154*FS153)</f><v /></c><c r="FU154" s="15"><f>FT154-FS154*FU155</f><v /></c><c r="FV154" s="11"><f>IF(21&gt;$B$49+$B$50,$G$72*$B$54^$H$72,$E$72*$B$52^$F$72)</f><v /></c><c r="FW154" s="11"><f>IF(21=1,0,$B$57)</f><v /></c><c r="FX154" s="11"><f>-($B$57+(IF(21&lt;=$B$49,$B$56*$B$58+$B$55,IF(21&lt;=$B$49+$B$50,$B$56*$B$58,$B$56)))/FV154)</f><v /></c><c r="FY154" s="11"><f>IF(21=$B$49+$B$50,0,IF(21&gt;$B$49+$B$50,$B$56/FV155,IF(21&gt;=$B$49,$B$56*$B$58/FV155,($B$56*$B$58+$B$55)/FV155)))</f><v /></c><c r="FZ154" s="11"><f>IF(21=$B$49,-$K$72*$B$55,0)</f><v /></c><c r="GA154" s="11"><f>FY154/(FX154-FW154*GA153)</f><v /></c><c r="GB154" s="11"><f>(FZ154-FW154*GB153)/(FX154-FW154*GA153)</f><v /></c><c r="GC154" s="15"><f>GB154-GA154*GC155</f><v /></c><c r="GD154" s="11"><f>IF(21&gt;$B$49+$B$50,$G$73*$B$54^$H$73,$E$73*$B$52^$F$73)</f><v /></c><c r="GE154" s="11"><f>IF(21=1,0,$B$57)</f><v /></c><c r="GF154" s="11"><f>-($B$57+(IF(21&lt;=$B$49,$B$56*$B$58+$B$55,IF(21&lt;=$B$49+$B$50,$B$56*$B$58,$B$56)))/GD154)</f><v /></c><c r="GG154" s="11"><f>IF(21=$B$49+$B$50,0,IF(21&gt;$B$49+$B$50,$B$56/GD155,IF(21&gt;=$B$49,$B$56*$B$58/GD155,($B$56*$B$58+$B$55)/GD155)))</f><v /></c><c r="GH154" s="11"><f>IF(21=$B$49,-$K$73*$B$55,0)</f><v /></c><c r="GI154" s="11"><f>GG154/(GF154-GE154*GI153)</f><v /></c><c r="GJ154" s="11"><f>(GH154-GE154*GJ153)/(GF154-GE154*GI153)</f><v /></c><c r="GK154" s="15"><f>GJ154-GI154*GK155</f><v /></c><c r="GL154" s="11"><f>IF(21&gt;$B$49+$B$50,$G$74*$B$54^$H$74,$E$74*$B$52^$F$74)</f><v /></c><c r="GM154" s="11"><f>IF(21=1,0,$B$57)</f><v /></c><c r="GN154" s="11"><f>-($B$57+(IF(21&lt;=$B$49,$B$56*$B$58+$B$55,IF(21&lt;=$B$49+$B$50,$B$56*$B$58,$B$56)))/GL154)</f><v /></c><c r="GO154" s="11"><f>IF(21=$B$49+$B$50,0,IF(21&gt;$B$49+$B$50,$B$56/GL155,IF(21&gt;=$B$49,$B$56*$B$58/GL155,($B$56*$B$58+$B$55)/GL155)))</f><v /></c><c r="GP154" s="11"><f>IF(21=$B$49,-$K$74*$B$55,0)</f><v /></c><c r="GQ154" s="11"><f>GO154/(GN154-GM154*GQ153)</f><v /></c><c r="GR154" s="11"><f>(GP154-GM154*GR153)/(GN154-GM154*GQ153)</f><v /></c><c r="GS154" s="15"><f>GR154-GQ154*GS155</f><v /></c><c r="GT154" s="11"><f>IF(21&gt;$B$49+$B$50,$G$75*$B$54^$H$75,$E$75*$B$52^$F$75)</f><v /></c><c r="GU154" s="11"><f>IF(21=1,0,$B$57)</f><v /></c><c r="GV154" s="11"><f>-($B$57+(IF(21&lt;=$B$49,$B$56*$B$58+$B$55,IF(21&lt;=$B$49+$B$50,$B$56*$B$58,$B$56)))/GT154)</f><v /></c><c r="GW154" s="11"><f>IF(21=$B$49+$B$50,0,IF(21&gt;$B$49+$B$50,$B$56/GT155,IF(21&gt;=$B$49,$B$56*$B$58/GT155,($B$56*$B$58+$B$55)/GT155)))</f><v /></c><c r="GX154" s="11"><f>IF(21=$B$49,-$K$75*$B$55,0)</f><v /></c><c r="GY154" s="11"><f>GW154/(GV154-GU154*GY153)</f><v /></c><c r="GZ154" s="11"><f>(GX154-GU154*GZ153)/(GV154-GU154*GY153)</f><v /></c><c r="HA154" s="15"><f>GZ154-GY154*HA155</f><v /></c><c r="HB154" s="13"><f>IFERROR(I154/B154,0)</f><v /></c><c r="HC154" s="13"><f>IFERROR(Q154/J154,0)</f><v /></c><c r="HD154" s="13"><f>IFERROR(Y154/R154,0)</f><v /></c><c r="HE154" s="13"><f>IFERROR(AG154/Z154,0)</f><v /></c><c r="HF154" s="13"><f>IFERROR(AO154/AH154,0)</f><v /></c><c r="HG154" s="13"><f>IFERROR(AW154/AP154,0)</f><v /></c><c r="HH154" s="13"><f>IFERROR(BE154/AX154,0)</f><v /></c><c r="HI154" s="13"><f>IFERROR(BM154/BF154,0)</f><v /></c><c r="HJ154" s="13"><f>IFERROR(BU154/BN154,0)</f><v /></c><c r="HK154" s="13"><f>IFERROR(CC154/BV154,0)</f><v /></c><c r="HL154" s="13"><f>IFERROR(CK154/CD154,0)</f><v /></c><c r="HM154" s="13"><f>IFERROR(CS154/CL154,0)</f><v /></c><c r="HN154" s="13"><f>IFERROR(DA154/CT154,0)</f><v /></c><c r="HO154" s="13"><f>IFERROR(DI154/DB154,0)</f><v /></c><c r="HP154" s="13"><f>IFERROR(DQ154/DJ154,0)</f><v /></c><c r="HQ154" s="13"><f>IFERROR(DY154/DR154,0)</f><v /></c><c r="HR154" s="13"><f>IFERROR(EG154/DZ154,0)</f><v /></c><c r="HS154" s="13"><f>IFERROR(EO154/EH154,0)</f><v /></c><c r="HT154" s="13"><f>IFERROR(EW154/EP154,0)</f><v /></c><c r="HU154" s="13"><f>IFERROR(FE154/EX154,0)</f><v /></c><c r="HV154" s="13"><f>IFERROR(FM154/FF154,0)</f><v /></c><c r="HW154" s="13"><f>IFERROR(FU154/FN154,0)</f><v /></c><c r="HX154" s="13"><f>IFERROR(GC154/FV154,0)</f><v /></c><c r="HY154" s="13"><f>IFERROR(GK154/GD154,0)</f><v /></c><c r="HZ154" s="13"><f>IFERROR(GS154/GL154,0)</f><v /></c><c r="IA154" s="13"><f>IFERROR(HA154/GT154,0)</f><v /></c><c r="IB154" s="13"><f>I154+Q154+Y154+AG154+AO154+AW154+BE154+BM154+BU154+CC154+CK154+CS154+DA154+DI154+DQ154+DY154+EG154+EO154+EW154+FE154+FM154+FU154+GC154+GK154+GS154+HA154</f><v /></c><c r="IC154" s="13"><f>HB154+HC154+HD154+HE154+HF154+HG154+HH154+HI154+HJ154+HK154+HL154+HM154+HN154+HO154+HP154+HQ154+HR154+HS154+HT154+HU154+HV154+HW154+HX154+HY154+HZ154+IA154</f><v /></c></row><row r="155" ht="14" customHeight="1"><c r="A155" s="25" t="n"><v>22</v></c><c r="B155" s="11"><f>IF(22&gt;$B$49+$B$50,$G$50*$B$54^$H$50,$E$50*$B$52^$F$50)</f><v /></c><c r="C155" s="11"><f>IF(22=1,0,$B$57)</f><v /></c><c r="D155" s="11"><f>-($B$57+(IF(22&lt;=$B$49,$B$56*$B$58+$B$55,IF(22&lt;=$B$49+$B$50,$B$56*$B$58,$B$56)))/B155)</f><v /></c><c r="E155" s="11"><f>IF(22=$B$49+$B$50,0,IF(22&gt;$B$49+$B$50,$B$56/B156,IF(22&gt;=$B$49,$B$56*$B$58/B156,($B$56*$B$58+$B$55)/B156)))</f><v /></c><c r="F155" s="11"><f>IF(22=$B$49,-$K$50*$B$55,0)</f><v /></c><c r="G155" s="11"><f>E155/(D155-C155*G154)</f><v /></c><c r="H155" s="11"><f>(F155-C155*H154)/(D155-C155*G154)</f><v /></c><c r="I155" s="15"><f>H155-G155*I156</f><v /></c><c r="J155" s="11"><f>IF(22&gt;$B$49+$B$50,$G$51*$B$54^$H$51,$E$51*$B$52^$F$51)</f><v /></c><c r="K155" s="11"><f>IF(22=1,0,$B$57)</f><v /></c><c r="L155" s="11"><f>-($B$57+(IF(22&lt;=$B$49,$B$56*$B$58+$B$55,IF(22&lt;=$B$49+$B$50,$B$56*$B$58,$B$56)))/J155)</f><v /></c><c r="M155" s="11"><f>IF(22=$B$49+$B$50,0,IF(22&gt;$B$49+$B$50,$B$56/J156,IF(22&gt;=$B$49,$B$56*$B$58/J156,($B$56*$B$58+$B$55)/J156)))</f><v /></c><c r="N155" s="11"><f>IF(22=$B$49,-$K$51*$B$55,0)</f><v /></c><c r="O155" s="11"><f>M155/(L155-K155*O154)</f><v /></c><c r="P155" s="11"><f>(N155-K155*P154)/(L155-K155*O154)</f><v /></c><c r="Q155" s="15"><f>P155-O155*Q156</f><v /></c><c r="R155" s="11"><f>IF(22&gt;$B$49+$B$50,$G$52*$B$54^$H$52,$E$52*$B$52^$F$52)</f><v /></c><c r="S155" s="11"><f>IF(22=1,0,$B$57)</f><v /></c><c r="T155" s="11"><f>-($B$57+(IF(22&lt;=$B$49,$B$56*$B$58+$B$55,IF(22&lt;=$B$49+$B$50,$B$56*$B$58,$B$56)))/R155)</f><v /></c><c r="U155" s="11"><f>IF(22=$B$49+$B$50,0,IF(22&gt;$B$49+$B$50,$B$56/R156,IF(22&gt;=$B$49,$B$56*$B$58/R156,($B$56*$B$58+$B$55)/R156)))</f><v /></c><c r="V155" s="11"><f>IF(22=$B$49,-$K$52*$B$55,0)</f><v /></c><c r="W155" s="11"><f>U155/(T155-S155*W154)</f><v /></c><c r="X155" s="11"><f>(V155-S155*X154)/(T155-S155*W154)</f><v /></c><c r="Y155" s="15"><f>X155-W155*Y156</f><v /></c><c r="Z155" s="11"><f>IF(22&gt;$B$49+$B$50,$G$53*$B$54^$H$53,$E$53*$B$52^$F$53)</f><v /></c><c r="AA155" s="11"><f>IF(22=1,0,$B$57)</f><v /></c><c r="AB155" s="11"><f>-($B$57+(IF(22&lt;=$B$49,$B$56*$B$58+$B$55,IF(22&lt;=$B$49+$B$50,$B$56*$B$58,$B$56)))/Z155)</f><v /></c><c r="AC155" s="11"><f>IF(22=$B$49+$B$50,0,IF(22&gt;$B$49+$B$50,$B$56/Z156,IF(22&gt;=$B$49,$B$56*$B$58/Z156,($B$56*$B$58+$B$55)/Z156)))</f><v /></c><c r="AD155" s="11"><f>IF(22=$B$49,-$K$53*$B$55,0)</f><v /></c><c r="AE155" s="11"><f>AC155/(AB155-AA155*AE154)</f><v /></c><c r="AF155" s="11"><f>(AD155-AA155*AF154)/(AB155-AA155*AE154)</f><v /></c><c r="AG155" s="15"><f>AF155-AE155*AG156</f><v /></c><c r="AH155" s="11"><f>IF(22&gt;$B$49+$B$50,$G$54*$B$54^$H$54,$E$54*$B$52^$F$54)</f><v /></c><c r="AI155" s="11"><f>IF(22=1,0,$B$57)</f><v /></c><c r="AJ155" s="11"><f>-($B$57+(IF(22&lt;=$B$49,$B$56*$B$58+$B$55,IF(22&lt;=$B$49+$B$50,$B$56*$B$58,$B$56)))/AH155)</f><v /></c><c r="AK155" s="11"><f>IF(22=$B$49+$B$50,0,IF(22&gt;$B$49+$B$50,$B$56/AH156,IF(22&gt;=$B$49,$B$56*$B$58/AH156,($B$56*$B$58+$B$55)/AH156)))</f><v /></c><c r="AL155" s="11"><f>IF(22=$B$49,-$K$54*$B$55,0)</f><v /></c><c r="AM155" s="11"><f>AK155/(AJ155-AI155*AM154)</f><v /></c><c r="AN155" s="11"><f>(AL155-AI155*AN154)/(AJ155-AI155*AM154)</f><v /></c><c r="AO155" s="15"><f>AN155-AM155*AO156</f><v /></c><c r="AP155" s="11"><f>IF(22&gt;$B$49+$B$50,$G$55*$B$54^$H$55,$E$55*$B$52^$F$55)</f><v /></c><c r="AQ155" s="11"><f>IF(22=1,0,$B$57)</f><v /></c><c r="AR155" s="11"><f>-($B$57+(IF(22&lt;=$B$49,$B$56*$B$58+$B$55,IF(22&lt;=$B$49+$B$50,$B$56*$B$58,$B$56)))/AP155)</f><v /></c><c r="AS155" s="11"><f>IF(22=$B$49+$B$50,0,IF(22&gt;$B$49+$B$50,$B$56/AP156,IF(22&gt;=$B$49,$B$56*$B$58/AP156,($B$56*$B$58+$B$55)/AP156)))</f><v /></c><c r="AT155" s="11"><f>IF(22=$B$49,-$K$55*$B$55,0)</f><v /></c><c r="AU155" s="11"><f>AS155/(AR155-AQ155*AU154)</f><v /></c><c r="AV155" s="11"><f>(AT155-AQ155*AV154)/(AR155-AQ155*AU154)</f><v /></c><c r="AW155" s="15"><f>AV155-AU155*AW156</f><v /></c><c r="AX155" s="11"><f>IF(22&gt;$B$49+$B$50,$G$56*$B$54^$H$56,$E$56*$B$52^$F$56)</f><v /></c><c r="AY155" s="11"><f>IF(22=1,0,$B$57)</f><v /></c><c r="AZ155" s="11"><f>-($B$57+(IF(22&lt;=$B$49,$B$56*$B$58+$B$55,IF(22&lt;=$B$49+$B$50,$B$56*$B$58,$B$56)))/AX155)</f><v /></c><c r="BA155" s="11"><f>IF(22=$B$49+$B$50,0,IF(22&gt;$B$49+$B$50,$B$56/AX156,IF(22&gt;=$B$49,$B$56*$B$58/AX156,($B$56*$B$58+$B$55)/AX156)))</f><v /></c><c r="BB155" s="11"><f>IF(22=$B$49,-$K$56*$B$55,0)</f><v /></c><c r="BC155" s="11"><f>BA155/(AZ155-AY155*BC154)</f><v /></c><c r="BD155" s="11"><f>(BB155-AY155*BD154)/(AZ155-AY155*BC154)</f><v /></c><c r="BE155" s="15"><f>BD155-BC155*BE156</f><v /></c><c r="BF155" s="11"><f>IF(22&gt;$B$49+$B$50,$G$57*$B$54^$H$57,$E$57*$B$52^$F$57)</f><v /></c><c r="BG155" s="11"><f>IF(22=1,0,$B$57)</f><v /></c><c r="BH155" s="11"><f>-($B$57+(IF(22&lt;=$B$49,$B$56*$B$58+$B$55,IF(22&lt;=$B$49+$B$50,$B$56*$B$58,$B$56)))/BF155)</f><v /></c><c r="BI155" s="11"><f>IF(22=$B$49+$B$50,0,IF(22&gt;$B$49+$B$50,$B$56/BF156,IF(22&gt;=$B$49,$B$56*$B$58/BF156,($B$56*$B$58+$B$55)/BF156)))</f><v /></c><c r="BJ155" s="11"><f>IF(22=$B$49,-$K$57*$B$55,0)</f><v /></c><c r="BK155" s="11"><f>BI155/(BH155-BG155*BK154)</f><v /></c><c r="BL155" s="11"><f>(BJ155-BG155*BL154)/(BH155-BG155*BK154)</f><v /></c><c r="BM155" s="15"><f>BL155-BK155*BM156</f><v /></c><c r="BN155" s="11"><f>IF(22&gt;$B$49+$B$50,$G$58*$B$54^$H$58,$E$58*$B$52^$F$58)</f><v /></c><c r="BO155" s="11"><f>IF(22=1,0,$B$57)</f><v /></c><c r="BP155" s="11"><f>-($B$57+(IF(22&lt;=$B$49,$B$56*$B$58+$B$55,IF(22&lt;=$B$49+$B$50,$B$56*$B$58,$B$56)))/BN155)</f><v /></c><c r="BQ155" s="11"><f>IF(22=$B$49+$B$50,0,IF(22&gt;$B$49+$B$50,$B$56/BN156,IF(22&gt;=$B$49,$B$56*$B$58/BN156,($B$56*$B$58+$B$55)/BN156)))</f><v /></c><c r="BR155" s="11"><f>IF(22=$B$49,-$K$58*$B$55,0)</f><v /></c><c r="BS155" s="11"><f>BQ155/(BP155-BO155*BS154)</f><v /></c><c r="BT155" s="11"><f>(BR155-BO155*BT154)/(BP155-BO155*BS154)</f><v /></c><c r="BU155" s="15"><f>BT155-BS155*BU156</f><v /></c><c r="BV155" s="11"><f>IF(22&gt;$B$49+$B$50,$G$59*$B$54^$H$59,$E$59*$B$52^$F$59)</f><v /></c><c r="BW155" s="11"><f>IF(22=1,0,$B$57)</f><v /></c><c r="BX155" s="11"><f>-($B$57+(IF(22&lt;=$B$49,$B$56*$B$58+$B$55,IF(22&lt;=$B$49+$B$50,$B$56*$B$58,$B$56)))/BV155)</f><v /></c><c r="BY155" s="11"><f>IF(22=$B$49+$B$50,0,IF(22&gt;$B$49+$B$50,$B$56/BV156,IF(22&gt;=$B$49,$B$56*$B$58/BV156,($B$56*$B$58+$B$55)/BV156)))</f><v /></c><c r="BZ155" s="11"><f>IF(22=$B$49,-$K$59*$B$55,0)</f><v /></c><c r="CA155" s="11"><f>BY155/(BX155-BW155*CA154)</f><v /></c><c r="CB155" s="11"><f>(BZ155-BW155*CB154)/(BX155-BW155*CA154)</f><v /></c><c r="CC155" s="15"><f>CB155-CA155*CC156</f><v /></c><c r="CD155" s="11"><f>IF(22&gt;$B$49+$B$50,$G$60*$B$54^$H$60,$E$60*$B$52^$F$60)</f><v /></c><c r="CE155" s="11"><f>IF(22=1,0,$B$57)</f><v /></c><c r="CF155" s="11"><f>-($B$57+(IF(22&lt;=$B$49,$B$56*$B$58+$B$55,IF(22&lt;=$B$49+$B$50,$B$56*$B$58,$B$56)))/CD155)</f><v /></c><c r="CG155" s="11"><f>IF(22=$B$49+$B$50,0,IF(22&gt;$B$49+$B$50,$B$56/CD156,IF(22&gt;=$B$49,$B$56*$B$58/CD156,($B$56*$B$58+$B$55)/CD156)))</f><v /></c><c r="CH155" s="11"><f>IF(22=$B$49,-$K$60*$B$55,0)</f><v /></c><c r="CI155" s="11"><f>CG155/(CF155-CE155*CI154)</f><v /></c><c r="CJ155" s="11"><f>(CH155-CE155*CJ154)/(CF155-CE155*CI154)</f><v /></c><c r="CK155" s="15"><f>CJ155-CI155*CK156</f><v /></c><c r="CL155" s="11"><f>IF(22&gt;$B$49+$B$50,$G$61*$B$54^$H$61,$E$61*$B$52^$F$61)</f><v /></c><c r="CM155" s="11"><f>IF(22=1,0,$B$57)</f><v /></c><c r="CN155" s="11"><f>-($B$57+(IF(22&lt;=$B$49,$B$56*$B$58+$B$55,IF(22&lt;=$B$49+$B$50,$B$56*$B$58,$B$56)))/CL155)</f><v /></c><c r="CO155" s="11"><f>IF(22=$B$49+$B$50,0,IF(22&gt;$B$49+$B$50,$B$56/CL156,IF(22&gt;=$B$49,$B$56*$B$58/CL156,($B$56*$B$58+$B$55)/CL156)))</f><v /></c><c r="CP155" s="11"><f>IF(22=$B$49,-$K$61*$B$55,0)</f><v /></c><c r="CQ155" s="11"><f>CO155/(CN155-CM155*CQ154)</f><v /></c><c r="CR155" s="11"><f>(CP155-CM155*CR154)/(CN155-CM155*CQ154)</f><v /></c><c r="CS155" s="15"><f>CR155-CQ155*CS156</f><v /></c><c r="CT155" s="11"><f>IF(22&gt;$B$49+$B$50,$G$62*$B$54^$H$62,$E$62*$B$52^$F$62)</f><v /></c><c r="CU155" s="11"><f>IF(22=1,0,$B$57)</f><v /></c><c r="CV155" s="11"><f>-($B$57+(IF(22&lt;=$B$49,$B$56*$B$58+$B$55,IF(22&lt;=$B$49+$B$50,$B$56*$B$58,$B$56)))/CT155)</f><v /></c><c r="CW155" s="11"><f>IF(22=$B$49+$B$50,0,IF(22&gt;$B$49+$B$50,$B$56/CT156,IF(22&gt;=$B$49,$B$56*$B$58/CT156,($B$56*$B$58+$B$55)/CT156)))</f><v /></c><c r="CX155" s="11"><f>IF(22=$B$49,-$K$62*$B$55,0)</f><v /></c><c r="CY155" s="11"><f>CW155/(CV155-CU155*CY154)</f><v /></c><c r="CZ155" s="11"><f>(CX155-CU155*CZ154)/(CV155-CU155*CY154)</f><v /></c><c r="DA155" s="15"><f>CZ155-CY155*DA156</f><v /></c><c r="DB155" s="11"><f>IF(22&gt;$B$49+$B$50,$G$63*$B$54^$H$63,$E$63*$B$52^$F$63)</f><v /></c><c r="DC155" s="11"><f>IF(22=1,0,$B$57)</f><v /></c><c r="DD155" s="11"><f>-($B$57+(IF(22&lt;=$B$49,$B$56*$B$58+$B$55,IF(22&lt;=$B$49+$B$50,$B$56*$B$58,$B$56)))/DB155)</f><v /></c><c r="DE155" s="11"><f>IF(22=$B$49+$B$50,0,IF(22&gt;$B$49+$B$50,$B$56/DB156,IF(22&gt;=$B$49,$B$56*$B$58/DB156,($B$56*$B$58+$B$55)/DB156)))</f><v /></c><c r="DF155" s="11"><f>IF(22=$B$49,-$K$63*$B$55,0)</f><v /></c><c r="DG155" s="11"><f>DE155/(DD155-DC155*DG154)</f><v /></c><c r="DH155" s="11"><f>(DF155-DC155*DH154)/(DD155-DC155*DG154)</f><v /></c><c r="DI155" s="15"><f>DH155-DG155*DI156</f><v /></c><c r="DJ155" s="11"><f>IF(22&gt;$B$49+$B$50,$G$64*$B$54^$H$64,$E$64*$B$52^$F$64)</f><v /></c><c r="DK155" s="11"><f>IF(22=1,0,$B$57)</f><v /></c><c r="DL155" s="11"><f>-($B$57+(IF(22&lt;=$B$49,$B$56*$B$58+$B$55,IF(22&lt;=$B$49+$B$50,$B$56*$B$58,$B$56)))/DJ155)</f><v /></c><c r="DM155" s="11"><f>IF(22=$B$49+$B$50,0,IF(22&gt;$B$49+$B$50,$B$56/DJ156,IF(22&gt;=$B$49,$B$56*$B$58/DJ156,($B$56*$B$58+$B$55)/DJ156)))</f><v /></c><c r="DN155" s="11"><f>IF(22=$B$49,-$K$64*$B$55,0)</f><v /></c><c r="DO155" s="11"><f>DM155/(DL155-DK155*DO154)</f><v /></c><c r="DP155" s="11"><f>(DN155-DK155*DP154)/(DL155-DK155*DO154)</f><v /></c><c r="DQ155" s="15"><f>DP155-DO155*DQ156</f><v /></c><c r="DR155" s="11"><f>IF(22&gt;$B$49+$B$50,$G$65*$B$54^$H$65,$E$65*$B$52^$F$65)</f><v /></c><c r="DS155" s="11"><f>IF(22=1,0,$B$57)</f><v /></c><c r="DT155" s="11"><f>-($B$57+(IF(22&lt;=$B$49,$B$56*$B$58+$B$55,IF(22&lt;=$B$49+$B$50,$B$56*$B$58,$B$56)))/DR155)</f><v /></c><c r="DU155" s="11"><f>IF(22=$B$49+$B$50,0,IF(22&gt;$B$49+$B$50,$B$56/DR156,IF(22&gt;=$B$49,$B$56*$B$58/DR156,($B$56*$B$58+$B$55)/DR156)))</f><v /></c><c r="DV155" s="11"><f>IF(22=$B$49,-$K$65*$B$55,0)</f><v /></c><c r="DW155" s="11"><f>DU155/(DT155-DS155*DW154)</f><v /></c><c r="DX155" s="11"><f>(DV155-DS155*DX154)/(DT155-DS155*DW154)</f><v /></c><c r="DY155" s="15"><f>DX155-DW155*DY156</f><v /></c><c r="DZ155" s="11"><f>IF(22&gt;$B$49+$B$50,$G$66*$B$54^$H$66,$E$66*$B$52^$F$66)</f><v /></c><c r="EA155" s="11"><f>IF(22=1,0,$B$57)</f><v /></c><c r="EB155" s="11"><f>-($B$57+(IF(22&lt;=$B$49,$B$56*$B$58+$B$55,IF(22&lt;=$B$49+$B$50,$B$56*$B$58,$B$56)))/DZ155)</f><v /></c><c r="EC155" s="11"><f>IF(22=$B$49+$B$50,0,IF(22&gt;$B$49+$B$50,$B$56/DZ156,IF(22&gt;=$B$49,$B$56*$B$58/DZ156,($B$56*$B$58+$B$55)/DZ156)))</f><v /></c><c r="ED155" s="11"><f>IF(22=$B$49,-$K$66*$B$55,0)</f><v /></c><c r="EE155" s="11"><f>EC155/(EB155-EA155*EE154)</f><v /></c><c r="EF155" s="11"><f>(ED155-EA155*EF154)/(EB155-EA155*EE154)</f><v /></c><c r="EG155" s="15"><f>EF155-EE155*EG156</f><v /></c><c r="EH155" s="11"><f>IF(22&gt;$B$49+$B$50,$G$67*$B$54^$H$67,$E$67*$B$52^$F$67)</f><v /></c><c r="EI155" s="11"><f>IF(22=1,0,$B$57)</f><v /></c><c r="EJ155" s="11"><f>-($B$57+(IF(22&lt;=$B$49,$B$56*$B$58+$B$55,IF(22&lt;=$B$49+$B$50,$B$56*$B$58,$B$56)))/EH155)</f><v /></c><c r="EK155" s="11"><f>IF(22=$B$49+$B$50,0,IF(22&gt;$B$49+$B$50,$B$56/EH156,IF(22&gt;=$B$49,$B$56*$B$58/EH156,($B$56*$B$58+$B$55)/EH156)))</f><v /></c><c r="EL155" s="11"><f>IF(22=$B$49,-$K$67*$B$55,0)</f><v /></c><c r="EM155" s="11"><f>EK155/(EJ155-EI155*EM154)</f><v /></c><c r="EN155" s="11"><f>(EL155-EI155*EN154)/(EJ155-EI155*EM154)</f><v /></c><c r="EO155" s="15"><f>EN155-EM155*EO156</f><v /></c><c r="EP155" s="11"><f>IF(22&gt;$B$49+$B$50,$G$68*$B$54^$H$68,$E$68*$B$52^$F$68)</f><v /></c><c r="EQ155" s="11"><f>IF(22=1,0,$B$57)</f><v /></c><c r="ER155" s="11"><f>-($B$57+(IF(22&lt;=$B$49,$B$56*$B$58+$B$55,IF(22&lt;=$B$49+$B$50,$B$56*$B$58,$B$56)))/EP155)</f><v /></c><c r="ES155" s="11"><f>IF(22=$B$49+$B$50,0,IF(22&gt;$B$49+$B$50,$B$56/EP156,IF(22&gt;=$B$49,$B$56*$B$58/EP156,($B$56*$B$58+$B$55)/EP156)))</f><v /></c><c r="ET155" s="11"><f>IF(22=$B$49,-$K$68*$B$55,0)</f><v /></c><c r="EU155" s="11"><f>ES155/(ER155-EQ155*EU154)</f><v /></c><c r="EV155" s="11"><f>(ET155-EQ155*EV154)/(ER155-EQ155*EU154)</f><v /></c><c r="EW155" s="15"><f>EV155-EU155*EW156</f><v /></c><c r="EX155" s="11"><f>IF(22&gt;$B$49+$B$50,$G$69*$B$54^$H$69,$E$69*$B$52^$F$69)</f><v /></c><c r="EY155" s="11"><f>IF(22=1,0,$B$57)</f><v /></c><c r="EZ155" s="11"><f>-($B$57+(IF(22&lt;=$B$49,$B$56*$B$58+$B$55,IF(22&lt;=$B$49+$B$50,$B$56*$B$58,$B$56)))/EX155)</f><v /></c><c r="FA155" s="11"><f>IF(22=$B$49+$B$50,0,IF(22&gt;$B$49+$B$50,$B$56/EX156,IF(22&gt;=$B$49,$B$56*$B$58/EX156,($B$56*$B$58+$B$55)/EX156)))</f><v /></c><c r="FB155" s="11"><f>IF(22=$B$49,-$K$69*$B$55,0)</f><v /></c><c r="FC155" s="11"><f>FA155/(EZ155-EY155*FC154)</f><v /></c><c r="FD155" s="11"><f>(FB155-EY155*FD154)/(EZ155-EY155*FC154)</f><v /></c><c r="FE155" s="15"><f>FD155-FC155*FE156</f><v /></c><c r="FF155" s="11"><f>IF(22&gt;$B$49+$B$50,$G$70*$B$54^$H$70,$E$70*$B$52^$F$70)</f><v /></c><c r="FG155" s="11"><f>IF(22=1,0,$B$57)</f><v /></c><c r="FH155" s="11"><f>-($B$57+(IF(22&lt;=$B$49,$B$56*$B$58+$B$55,IF(22&lt;=$B$49+$B$50,$B$56*$B$58,$B$56)))/FF155)</f><v /></c><c r="FI155" s="11"><f>IF(22=$B$49+$B$50,0,IF(22&gt;$B$49+$B$50,$B$56/FF156,IF(22&gt;=$B$49,$B$56*$B$58/FF156,($B$56*$B$58+$B$55)/FF156)))</f><v /></c><c r="FJ155" s="11"><f>IF(22=$B$49,-$K$70*$B$55,0)</f><v /></c><c r="FK155" s="11"><f>FI155/(FH155-FG155*FK154)</f><v /></c><c r="FL155" s="11"><f>(FJ155-FG155*FL154)/(FH155-FG155*FK154)</f><v /></c><c r="FM155" s="15"><f>FL155-FK155*FM156</f><v /></c><c r="FN155" s="11"><f>IF(22&gt;$B$49+$B$50,$G$71*$B$54^$H$71,$E$71*$B$52^$F$71)</f><v /></c><c r="FO155" s="11"><f>IF(22=1,0,$B$57)</f><v /></c><c r="FP155" s="11"><f>-($B$57+(IF(22&lt;=$B$49,$B$56*$B$58+$B$55,IF(22&lt;=$B$49+$B$50,$B$56*$B$58,$B$56)))/FN155)</f><v /></c><c r="FQ155" s="11"><f>IF(22=$B$49+$B$50,0,IF(22&gt;$B$49+$B$50,$B$56/FN156,IF(22&gt;=$B$49,$B$56*$B$58/FN156,($B$56*$B$58+$B$55)/FN156)))</f><v /></c><c r="FR155" s="11"><f>IF(22=$B$49,-$K$71*$B$55,0)</f><v /></c><c r="FS155" s="11"><f>FQ155/(FP155-FO155*FS154)</f><v /></c><c r="FT155" s="11"><f>(FR155-FO155*FT154)/(FP155-FO155*FS154)</f><v /></c><c r="FU155" s="15"><f>FT155-FS155*FU156</f><v /></c><c r="FV155" s="11"><f>IF(22&gt;$B$49+$B$50,$G$72*$B$54^$H$72,$E$72*$B$52^$F$72)</f><v /></c><c r="FW155" s="11"><f>IF(22=1,0,$B$57)</f><v /></c><c r="FX155" s="11"><f>-($B$57+(IF(22&lt;=$B$49,$B$56*$B$58+$B$55,IF(22&lt;=$B$49+$B$50,$B$56*$B$58,$B$56)))/FV155)</f><v /></c><c r="FY155" s="11"><f>IF(22=$B$49+$B$50,0,IF(22&gt;$B$49+$B$50,$B$56/FV156,IF(22&gt;=$B$49,$B$56*$B$58/FV156,($B$56*$B$58+$B$55)/FV156)))</f><v /></c><c r="FZ155" s="11"><f>IF(22=$B$49,-$K$72*$B$55,0)</f><v /></c><c r="GA155" s="11"><f>FY155/(FX155-FW155*GA154)</f><v /></c><c r="GB155" s="11"><f>(FZ155-FW155*GB154)/(FX155-FW155*GA154)</f><v /></c><c r="GC155" s="15"><f>GB155-GA155*GC156</f><v /></c><c r="GD155" s="11"><f>IF(22&gt;$B$49+$B$50,$G$73*$B$54^$H$73,$E$73*$B$52^$F$73)</f><v /></c><c r="GE155" s="11"><f>IF(22=1,0,$B$57)</f><v /></c><c r="GF155" s="11"><f>-($B$57+(IF(22&lt;=$B$49,$B$56*$B$58+$B$55,IF(22&lt;=$B$49+$B$50,$B$56*$B$58,$B$56)))/GD155)</f><v /></c><c r="GG155" s="11"><f>IF(22=$B$49+$B$50,0,IF(22&gt;$B$49+$B$50,$B$56/GD156,IF(22&gt;=$B$49,$B$56*$B$58/GD156,($B$56*$B$58+$B$55)/GD156)))</f><v /></c><c r="GH155" s="11"><f>IF(22=$B$49,-$K$73*$B$55,0)</f><v /></c><c r="GI155" s="11"><f>GG155/(GF155-GE155*GI154)</f><v /></c><c r="GJ155" s="11"><f>(GH155-GE155*GJ154)/(GF155-GE155*GI154)</f><v /></c><c r="GK155" s="15"><f>GJ155-GI155*GK156</f><v /></c><c r="GL155" s="11"><f>IF(22&gt;$B$49+$B$50,$G$74*$B$54^$H$74,$E$74*$B$52^$F$74)</f><v /></c><c r="GM155" s="11"><f>IF(22=1,0,$B$57)</f><v /></c><c r="GN155" s="11"><f>-($B$57+(IF(22&lt;=$B$49,$B$56*$B$58+$B$55,IF(22&lt;=$B$49+$B$50,$B$56*$B$58,$B$56)))/GL155)</f><v /></c><c r="GO155" s="11"><f>IF(22=$B$49+$B$50,0,IF(22&gt;$B$49+$B$50,$B$56/GL156,IF(22&gt;=$B$49,$B$56*$B$58/GL156,($B$56*$B$58+$B$55)/GL156)))</f><v /></c><c r="GP155" s="11"><f>IF(22=$B$49,-$K$74*$B$55,0)</f><v /></c><c r="GQ155" s="11"><f>GO155/(GN155-GM155*GQ154)</f><v /></c><c r="GR155" s="11"><f>(GP155-GM155*GR154)/(GN155-GM155*GQ154)</f><v /></c><c r="GS155" s="15"><f>GR155-GQ155*GS156</f><v /></c><c r="GT155" s="11"><f>IF(22&gt;$B$49+$B$50,$G$75*$B$54^$H$75,$E$75*$B$52^$F$75)</f><v /></c><c r="GU155" s="11"><f>IF(22=1,0,$B$57)</f><v /></c><c r="GV155" s="11"><f>-($B$57+(IF(22&lt;=$B$49,$B$56*$B$58+$B$55,IF(22&lt;=$B$49+$B$50,$B$56*$B$58,$B$56)))/GT155)</f><v /></c><c r="GW155" s="11"><f>IF(22=$B$49+$B$50,0,IF(22&gt;$B$49+$B$50,$B$56/GT156,IF(22&gt;=$B$49,$B$56*$B$58/GT156,($B$56*$B$58+$B$55)/GT156)))</f><v /></c><c r="GX155" s="11"><f>IF(22=$B$49,-$K$75*$B$55,0)</f><v /></c><c r="GY155" s="11"><f>GW155/(GV155-GU155*GY154)</f><v /></c><c r="GZ155" s="11"><f>(GX155-GU155*GZ154)/(GV155-GU155*GY154)</f><v /></c><c r="HA155" s="15"><f>GZ155-GY155*HA156</f><v /></c><c r="HB155" s="13"><f>IFERROR(I155/B155,0)</f><v /></c><c r="HC155" s="13"><f>IFERROR(Q155/J155,0)</f><v /></c><c r="HD155" s="13"><f>IFERROR(Y155/R155,0)</f><v /></c><c r="HE155" s="13"><f>IFERROR(AG155/Z155,0)</f><v /></c><c r="HF155" s="13"><f>IFERROR(AO155/AH155,0)</f><v /></c><c r="HG155" s="13"><f>IFERROR(AW155/AP155,0)</f><v /></c><c r="HH155" s="13"><f>IFERROR(BE155/AX155,0)</f><v /></c><c r="HI155" s="13"><f>IFERROR(BM155/BF155,0)</f><v /></c><c r="HJ155" s="13"><f>IFERROR(BU155/BN155,0)</f><v /></c><c r="HK155" s="13"><f>IFERROR(CC155/BV155,0)</f><v /></c><c r="HL155" s="13"><f>IFERROR(CK155/CD155,0)</f><v /></c><c r="HM155" s="13"><f>IFERROR(CS155/CL155,0)</f><v /></c><c r="HN155" s="13"><f>IFERROR(DA155/CT155,0)</f><v /></c><c r="HO155" s="13"><f>IFERROR(DI155/DB155,0)</f><v /></c><c r="HP155" s="13"><f>IFERROR(DQ155/DJ155,0)</f><v /></c><c r="HQ155" s="13"><f>IFERROR(DY155/DR155,0)</f><v /></c><c r="HR155" s="13"><f>IFERROR(EG155/DZ155,0)</f><v /></c><c r="HS155" s="13"><f>IFERROR(EO155/EH155,0)</f><v /></c><c r="HT155" s="13"><f>IFERROR(EW155/EP155,0)</f><v /></c><c r="HU155" s="13"><f>IFERROR(FE155/EX155,0)</f><v /></c><c r="HV155" s="13"><f>IFERROR(FM155/FF155,0)</f><v /></c><c r="HW155" s="13"><f>IFERROR(FU155/FN155,0)</f><v /></c><c r="HX155" s="13"><f>IFERROR(GC155/FV155,0)</f><v /></c><c r="HY155" s="13"><f>IFERROR(GK155/GD155,0)</f><v /></c><c r="HZ155" s="13"><f>IFERROR(GS155/GL155,0)</f><v /></c><c r="IA155" s="13"><f>IFERROR(HA155/GT155,0)</f><v /></c><c r="IB155" s="13"><f>I155+Q155+Y155+AG155+AO155+AW155+BE155+BM155+BU155+CC155+CK155+CS155+DA155+DI155+DQ155+DY155+EG155+EO155+EW155+FE155+FM155+FU155+GC155+GK155+GS155+HA155</f><v /></c><c r="IC155" s="13"><f>HB155+HC155+HD155+HE155+HF155+HG155+HH155+HI155+HJ155+HK155+HL155+HM155+HN155+HO155+HP155+HQ155+HR155+HS155+HT155+HU155+HV155+HW155+HX155+HY155+HZ155+IA155</f><v /></c></row><row r="156" ht="14" customHeight="1"><c r="A156" s="25" t="n"><v>23</v></c><c r="B156" s="11"><f>IF(23&gt;$B$49+$B$50,$G$50*$B$54^$H$50,$E$50*$B$52^$F$50)</f><v /></c><c r="C156" s="11"><f>IF(23=1,0,$B$57)</f><v /></c><c r="D156" s="11"><f>-($B$57+(IF(23&lt;=$B$49,$B$56*$B$58+$B$55,IF(23&lt;=$B$49+$B$50,$B$56*$B$58,$B$56)))/B156)</f><v /></c><c r="E156" s="11"><f>IF(23=$B$49+$B$50,0,IF(23&gt;$B$49+$B$50,$B$56/B157,IF(23&gt;=$B$49,$B$56*$B$58/B157,($B$56*$B$58+$B$55)/B157)))</f><v /></c><c r="F156" s="11"><f>IF(23=$B$49,-$K$50*$B$55,0)</f><v /></c><c r="G156" s="11"><f>E156/(D156-C156*G155)</f><v /></c><c r="H156" s="11"><f>(F156-C156*H155)/(D156-C156*G155)</f><v /></c><c r="I156" s="15"><f>H156-G156*I157</f><v /></c><c r="J156" s="11"><f>IF(23&gt;$B$49+$B$50,$G$51*$B$54^$H$51,$E$51*$B$52^$F$51)</f><v /></c><c r="K156" s="11"><f>IF(23=1,0,$B$57)</f><v /></c><c r="L156" s="11"><f>-($B$57+(IF(23&lt;=$B$49,$B$56*$B$58+$B$55,IF(23&lt;=$B$49+$B$50,$B$56*$B$58,$B$56)))/J156)</f><v /></c><c r="M156" s="11"><f>IF(23=$B$49+$B$50,0,IF(23&gt;$B$49+$B$50,$B$56/J157,IF(23&gt;=$B$49,$B$56*$B$58/J157,($B$56*$B$58+$B$55)/J157)))</f><v /></c><c r="N156" s="11"><f>IF(23=$B$49,-$K$51*$B$55,0)</f><v /></c><c r="O156" s="11"><f>M156/(L156-K156*O155)</f><v /></c><c r="P156" s="11"><f>(N156-K156*P155)/(L156-K156*O155)</f><v /></c><c r="Q156" s="15"><f>P156-O156*Q157</f><v /></c><c r="R156" s="11"><f>IF(23&gt;$B$49+$B$50,$G$52*$B$54^$H$52,$E$52*$B$52^$F$52)</f><v /></c><c r="S156" s="11"><f>IF(23=1,0,$B$57)</f><v /></c><c r="T156" s="11"><f>-($B$57+(IF(23&lt;=$B$49,$B$56*$B$58+$B$55,IF(23&lt;=$B$49+$B$50,$B$56*$B$58,$B$56)))/R156)</f><v /></c><c r="U156" s="11"><f>IF(23=$B$49+$B$50,0,IF(23&gt;$B$49+$B$50,$B$56/R157,IF(23&gt;=$B$49,$B$56*$B$58/R157,($B$56*$B$58+$B$55)/R157)))</f><v /></c><c r="V156" s="11"><f>IF(23=$B$49,-$K$52*$B$55,0)</f><v /></c><c r="W156" s="11"><f>U156/(T156-S156*W155)</f><v /></c><c r="X156" s="11"><f>(V156-S156*X155)/(T156-S156*W155)</f><v /></c><c r="Y156" s="15"><f>X156-W156*Y157</f><v /></c><c r="Z156" s="11"><f>IF(23&gt;$B$49+$B$50,$G$53*$B$54^$H$53,$E$53*$B$52^$F$53)</f><v /></c><c r="AA156" s="11"><f>IF(23=1,0,$B$57)</f><v /></c><c r="AB156" s="11"><f>-($B$57+(IF(23&lt;=$B$49,$B$56*$B$58+$B$55,IF(23&lt;=$B$49+$B$50,$B$56*$B$58,$B$56)))/Z156)</f><v /></c><c r="AC156" s="11"><f>IF(23=$B$49+$B$50,0,IF(23&gt;$B$49+$B$50,$B$56/Z157,IF(23&gt;=$B$49,$B$56*$B$58/Z157,($B$56*$B$58+$B$55)/Z157)))</f><v /></c><c r="AD156" s="11"><f>IF(23=$B$49,-$K$53*$B$55,0)</f><v /></c><c r="AE156" s="11"><f>AC156/(AB156-AA156*AE155)</f><v /></c><c r="AF156" s="11"><f>(AD156-AA156*AF155)/(AB156-AA156*AE155)</f><v /></c><c r="AG156" s="15"><f>AF156-AE156*AG157</f><v /></c><c r="AH156" s="11"><f>IF(23&gt;$B$49+$B$50,$G$54*$B$54^$H$54,$E$54*$B$52^$F$54)</f><v /></c><c r="AI156" s="11"><f>IF(23=1,0,$B$57)</f><v /></c><c r="AJ156" s="11"><f>-($B$57+(IF(23&lt;=$B$49,$B$56*$B$58+$B$55,IF(23&lt;=$B$49+$B$50,$B$56*$B$58,$B$56)))/AH156)</f><v /></c><c r="AK156" s="11"><f>IF(23=$B$49+$B$50,0,IF(23&gt;$B$49+$B$50,$B$56/AH157,IF(23&gt;=$B$49,$B$56*$B$58/AH157,($B$56*$B$58+$B$55)/AH157)))</f><v /></c><c r="AL156" s="11"><f>IF(23=$B$49,-$K$54*$B$55,0)</f><v /></c><c r="AM156" s="11"><f>AK156/(AJ156-AI156*AM155)</f><v /></c><c r="AN156" s="11"><f>(AL156-AI156*AN155)/(AJ156-AI156*AM155)</f><v /></c><c r="AO156" s="15"><f>AN156-AM156*AO157</f><v /></c><c r="AP156" s="11"><f>IF(23&gt;$B$49+$B$50,$G$55*$B$54^$H$55,$E$55*$B$52^$F$55)</f><v /></c><c r="AQ156" s="11"><f>IF(23=1,0,$B$57)</f><v /></c><c r="AR156" s="11"><f>-($B$57+(IF(23&lt;=$B$49,$B$56*$B$58+$B$55,IF(23&lt;=$B$49+$B$50,$B$56*$B$58,$B$56)))/AP156)</f><v /></c><c r="AS156" s="11"><f>IF(23=$B$49+$B$50,0,IF(23&gt;$B$49+$B$50,$B$56/AP157,IF(23&gt;=$B$49,$B$56*$B$58/AP157,($B$56*$B$58+$B$55)/AP157)))</f><v /></c><c r="AT156" s="11"><f>IF(23=$B$49,-$K$55*$B$55,0)</f><v /></c><c r="AU156" s="11"><f>AS156/(AR156-AQ156*AU155)</f><v /></c><c r="AV156" s="11"><f>(AT156-AQ156*AV155)/(AR156-AQ156*AU155)</f><v /></c><c r="AW156" s="15"><f>AV156-AU156*AW157</f><v /></c><c r="AX156" s="11"><f>IF(23&gt;$B$49+$B$50,$G$56*$B$54^$H$56,$E$56*$B$52^$F$56)</f><v /></c><c r="AY156" s="11"><f>IF(23=1,0,$B$57)</f><v /></c><c r="AZ156" s="11"><f>-($B$57+(IF(23&lt;=$B$49,$B$56*$B$58+$B$55,IF(23&lt;=$B$49+$B$50,$B$56*$B$58,$B$56)))/AX156)</f><v /></c><c r="BA156" s="11"><f>IF(23=$B$49+$B$50,0,IF(23&gt;$B$49+$B$50,$B$56/AX157,IF(23&gt;=$B$49,$B$56*$B$58/AX157,($B$56*$B$58+$B$55)/AX157)))</f><v /></c><c r="BB156" s="11"><f>IF(23=$B$49,-$K$56*$B$55,0)</f><v /></c><c r="BC156" s="11"><f>BA156/(AZ156-AY156*BC155)</f><v /></c><c r="BD156" s="11"><f>(BB156-AY156*BD155)/(AZ156-AY156*BC155)</f><v /></c><c r="BE156" s="15"><f>BD156-BC156*BE157</f><v /></c><c r="BF156" s="11"><f>IF(23&gt;$B$49+$B$50,$G$57*$B$54^$H$57,$E$57*$B$52^$F$57)</f><v /></c><c r="BG156" s="11"><f>IF(23=1,0,$B$57)</f><v /></c><c r="BH156" s="11"><f>-($B$57+(IF(23&lt;=$B$49,$B$56*$B$58+$B$55,IF(23&lt;=$B$49+$B$50,$B$56*$B$58,$B$56)))/BF156)</f><v /></c><c r="BI156" s="11"><f>IF(23=$B$49+$B$50,0,IF(23&gt;$B$49+$B$50,$B$56/BF157,IF(23&gt;=$B$49,$B$56*$B$58/BF157,($B$56*$B$58+$B$55)/BF157)))</f><v /></c><c r="BJ156" s="11"><f>IF(23=$B$49,-$K$57*$B$55,0)</f><v /></c><c r="BK156" s="11"><f>BI156/(BH156-BG156*BK155)</f><v /></c><c r="BL156" s="11"><f>(BJ156-BG156*BL155)/(BH156-BG156*BK155)</f><v /></c><c r="BM156" s="15"><f>BL156-BK156*BM157</f><v /></c><c r="BN156" s="11"><f>IF(23&gt;$B$49+$B$50,$G$58*$B$54^$H$58,$E$58*$B$52^$F$58)</f><v /></c><c r="BO156" s="11"><f>IF(23=1,0,$B$57)</f><v /></c><c r="BP156" s="11"><f>-($B$57+(IF(23&lt;=$B$49,$B$56*$B$58+$B$55,IF(23&lt;=$B$49+$B$50,$B$56*$B$58,$B$56)))/BN156)</f><v /></c><c r="BQ156" s="11"><f>IF(23=$B$49+$B$50,0,IF(23&gt;$B$49+$B$50,$B$56/BN157,IF(23&gt;=$B$49,$B$56*$B$58/BN157,($B$56*$B$58+$B$55)/BN157)))</f><v /></c><c r="BR156" s="11"><f>IF(23=$B$49,-$K$58*$B$55,0)</f><v /></c><c r="BS156" s="11"><f>BQ156/(BP156-BO156*BS155)</f><v /></c><c r="BT156" s="11"><f>(BR156-BO156*BT155)/(BP156-BO156*BS155)</f><v /></c><c r="BU156" s="15"><f>BT156-BS156*BU157</f><v /></c><c r="BV156" s="11"><f>IF(23&gt;$B$49+$B$50,$G$59*$B$54^$H$59,$E$59*$B$52^$F$59)</f><v /></c><c r="BW156" s="11"><f>IF(23=1,0,$B$57)</f><v /></c><c r="BX156" s="11"><f>-($B$57+(IF(23&lt;=$B$49,$B$56*$B$58+$B$55,IF(23&lt;=$B$49+$B$50,$B$56*$B$58,$B$56)))/BV156)</f><v /></c><c r="BY156" s="11"><f>IF(23=$B$49+$B$50,0,IF(23&gt;$B$49+$B$50,$B$56/BV157,IF(23&gt;=$B$49,$B$56*$B$58/BV157,($B$56*$B$58+$B$55)/BV157)))</f><v /></c><c r="BZ156" s="11"><f>IF(23=$B$49,-$K$59*$B$55,0)</f><v /></c><c r="CA156" s="11"><f>BY156/(BX156-BW156*CA155)</f><v /></c><c r="CB156" s="11"><f>(BZ156-BW156*CB155)/(BX156-BW156*CA155)</f><v /></c><c r="CC156" s="15"><f>CB156-CA156*CC157</f><v /></c><c r="CD156" s="11"><f>IF(23&gt;$B$49+$B$50,$G$60*$B$54^$H$60,$E$60*$B$52^$F$60)</f><v /></c><c r="CE156" s="11"><f>IF(23=1,0,$B$57)</f><v /></c><c r="CF156" s="11"><f>-($B$57+(IF(23&lt;=$B$49,$B$56*$B$58+$B$55,IF(23&lt;=$B$49+$B$50,$B$56*$B$58,$B$56)))/CD156)</f><v /></c><c r="CG156" s="11"><f>IF(23=$B$49+$B$50,0,IF(23&gt;$B$49+$B$50,$B$56/CD157,IF(23&gt;=$B$49,$B$56*$B$58/CD157,($B$56*$B$58+$B$55)/CD157)))</f><v /></c><c r="CH156" s="11"><f>IF(23=$B$49,-$K$60*$B$55,0)</f><v /></c><c r="CI156" s="11"><f>CG156/(CF156-CE156*CI155)</f><v /></c><c r="CJ156" s="11"><f>(CH156-CE156*CJ155)/(CF156-CE156*CI155)</f><v /></c><c r="CK156" s="15"><f>CJ156-CI156*CK157</f><v /></c><c r="CL156" s="11"><f>IF(23&gt;$B$49+$B$50,$G$61*$B$54^$H$61,$E$61*$B$52^$F$61)</f><v /></c><c r="CM156" s="11"><f>IF(23=1,0,$B$57)</f><v /></c><c r="CN156" s="11"><f>-($B$57+(IF(23&lt;=$B$49,$B$56*$B$58+$B$55,IF(23&lt;=$B$49+$B$50,$B$56*$B$58,$B$56)))/CL156)</f><v /></c><c r="CO156" s="11"><f>IF(23=$B$49+$B$50,0,IF(23&gt;$B$49+$B$50,$B$56/CL157,IF(23&gt;=$B$49,$B$56*$B$58/CL157,($B$56*$B$58+$B$55)/CL157)))</f><v /></c><c r="CP156" s="11"><f>IF(23=$B$49,-$K$61*$B$55,0)</f><v /></c><c r="CQ156" s="11"><f>CO156/(CN156-CM156*CQ155)</f><v /></c><c r="CR156" s="11"><f>(CP156-CM156*CR155)/(CN156-CM156*CQ155)</f><v /></c><c r="CS156" s="15"><f>CR156-CQ156*CS157</f><v /></c><c r="CT156" s="11"><f>IF(23&gt;$B$49+$B$50,$G$62*$B$54^$H$62,$E$62*$B$52^$F$62)</f><v /></c><c r="CU156" s="11"><f>IF(23=1,0,$B$57)</f><v /></c><c r="CV156" s="11"><f>-($B$57+(IF(23&lt;=$B$49,$B$56*$B$58+$B$55,IF(23&lt;=$B$49+$B$50,$B$56*$B$58,$B$56)))/CT156)</f><v /></c><c r="CW156" s="11"><f>IF(23=$B$49+$B$50,0,IF(23&gt;$B$49+$B$50,$B$56/CT157,IF(23&gt;=$B$49,$B$56*$B$58/CT157,($B$56*$B$58+$B$55)/CT157)))</f><v /></c><c r="CX156" s="11"><f>IF(23=$B$49,-$K$62*$B$55,0)</f><v /></c><c r="CY156" s="11"><f>CW156/(CV156-CU156*CY155)</f><v /></c><c r="CZ156" s="11"><f>(CX156-CU156*CZ155)/(CV156-CU156*CY155)</f><v /></c><c r="DA156" s="15"><f>CZ156-CY156*DA157</f><v /></c><c r="DB156" s="11"><f>IF(23&gt;$B$49+$B$50,$G$63*$B$54^$H$63,$E$63*$B$52^$F$63)</f><v /></c><c r="DC156" s="11"><f>IF(23=1,0,$B$57)</f><v /></c><c r="DD156" s="11"><f>-($B$57+(IF(23&lt;=$B$49,$B$56*$B$58+$B$55,IF(23&lt;=$B$49+$B$50,$B$56*$B$58,$B$56)))/DB156)</f><v /></c><c r="DE156" s="11"><f>IF(23=$B$49+$B$50,0,IF(23&gt;$B$49+$B$50,$B$56/DB157,IF(23&gt;=$B$49,$B$56*$B$58/DB157,($B$56*$B$58+$B$55)/DB157)))</f><v /></c><c r="DF156" s="11"><f>IF(23=$B$49,-$K$63*$B$55,0)</f><v /></c><c r="DG156" s="11"><f>DE156/(DD156-DC156*DG155)</f><v /></c><c r="DH156" s="11"><f>(DF156-DC156*DH155)/(DD156-DC156*DG155)</f><v /></c><c r="DI156" s="15"><f>DH156-DG156*DI157</f><v /></c><c r="DJ156" s="11"><f>IF(23&gt;$B$49+$B$50,$G$64*$B$54^$H$64,$E$64*$B$52^$F$64)</f><v /></c><c r="DK156" s="11"><f>IF(23=1,0,$B$57)</f><v /></c><c r="DL156" s="11"><f>-($B$57+(IF(23&lt;=$B$49,$B$56*$B$58+$B$55,IF(23&lt;=$B$49+$B$50,$B$56*$B$58,$B$56)))/DJ156)</f><v /></c><c r="DM156" s="11"><f>IF(23=$B$49+$B$50,0,IF(23&gt;$B$49+$B$50,$B$56/DJ157,IF(23&gt;=$B$49,$B$56*$B$58/DJ157,($B$56*$B$58+$B$55)/DJ157)))</f><v /></c><c r="DN156" s="11"><f>IF(23=$B$49,-$K$64*$B$55,0)</f><v /></c><c r="DO156" s="11"><f>DM156/(DL156-DK156*DO155)</f><v /></c><c r="DP156" s="11"><f>(DN156-DK156*DP155)/(DL156-DK156*DO155)</f><v /></c><c r="DQ156" s="15"><f>DP156-DO156*DQ157</f><v /></c><c r="DR156" s="11"><f>IF(23&gt;$B$49+$B$50,$G$65*$B$54^$H$65,$E$65*$B$52^$F$65)</f><v /></c><c r="DS156" s="11"><f>IF(23=1,0,$B$57)</f><v /></c><c r="DT156" s="11"><f>-($B$57+(IF(23&lt;=$B$49,$B$56*$B$58+$B$55,IF(23&lt;=$B$49+$B$50,$B$56*$B$58,$B$56)))/DR156)</f><v /></c><c r="DU156" s="11"><f>IF(23=$B$49+$B$50,0,IF(23&gt;$B$49+$B$50,$B$56/DR157,IF(23&gt;=$B$49,$B$56*$B$58/DR157,($B$56*$B$58+$B$55)/DR157)))</f><v /></c><c r="DV156" s="11"><f>IF(23=$B$49,-$K$65*$B$55,0)</f><v /></c><c r="DW156" s="11"><f>DU156/(DT156-DS156*DW155)</f><v /></c><c r="DX156" s="11"><f>(DV156-DS156*DX155)/(DT156-DS156*DW155)</f><v /></c><c r="DY156" s="15"><f>DX156-DW156*DY157</f><v /></c><c r="DZ156" s="11"><f>IF(23&gt;$B$49+$B$50,$G$66*$B$54^$H$66,$E$66*$B$52^$F$66)</f><v /></c><c r="EA156" s="11"><f>IF(23=1,0,$B$57)</f><v /></c><c r="EB156" s="11"><f>-($B$57+(IF(23&lt;=$B$49,$B$56*$B$58+$B$55,IF(23&lt;=$B$49+$B$50,$B$56*$B$58,$B$56)))/DZ156)</f><v /></c><c r="EC156" s="11"><f>IF(23=$B$49+$B$50,0,IF(23&gt;$B$49+$B$50,$B$56/DZ157,IF(23&gt;=$B$49,$B$56*$B$58/DZ157,($B$56*$B$58+$B$55)/DZ157)))</f><v /></c><c r="ED156" s="11"><f>IF(23=$B$49,-$K$66*$B$55,0)</f><v /></c><c r="EE156" s="11"><f>EC156/(EB156-EA156*EE155)</f><v /></c><c r="EF156" s="11"><f>(ED156-EA156*EF155)/(EB156-EA156*EE155)</f><v /></c><c r="EG156" s="15"><f>EF156-EE156*EG157</f><v /></c><c r="EH156" s="11"><f>IF(23&gt;$B$49+$B$50,$G$67*$B$54^$H$67,$E$67*$B$52^$F$67)</f><v /></c><c r="EI156" s="11"><f>IF(23=1,0,$B$57)</f><v /></c><c r="EJ156" s="11"><f>-($B$57+(IF(23&lt;=$B$49,$B$56*$B$58+$B$55,IF(23&lt;=$B$49+$B$50,$B$56*$B$58,$B$56)))/EH156)</f><v /></c><c r="EK156" s="11"><f>IF(23=$B$49+$B$50,0,IF(23&gt;$B$49+$B$50,$B$56/EH157,IF(23&gt;=$B$49,$B$56*$B$58/EH157,($B$56*$B$58+$B$55)/EH157)))</f><v /></c><c r="EL156" s="11"><f>IF(23=$B$49,-$K$67*$B$55,0)</f><v /></c><c r="EM156" s="11"><f>EK156/(EJ156-EI156*EM155)</f><v /></c><c r="EN156" s="11"><f>(EL156-EI156*EN155)/(EJ156-EI156*EM155)</f><v /></c><c r="EO156" s="15"><f>EN156-EM156*EO157</f><v /></c><c r="EP156" s="11"><f>IF(23&gt;$B$49+$B$50,$G$68*$B$54^$H$68,$E$68*$B$52^$F$68)</f><v /></c><c r="EQ156" s="11"><f>IF(23=1,0,$B$57)</f><v /></c><c r="ER156" s="11"><f>-($B$57+(IF(23&lt;=$B$49,$B$56*$B$58+$B$55,IF(23&lt;=$B$49+$B$50,$B$56*$B$58,$B$56)))/EP156)</f><v /></c><c r="ES156" s="11"><f>IF(23=$B$49+$B$50,0,IF(23&gt;$B$49+$B$50,$B$56/EP157,IF(23&gt;=$B$49,$B$56*$B$58/EP157,($B$56*$B$58+$B$55)/EP157)))</f><v /></c><c r="ET156" s="11"><f>IF(23=$B$49,-$K$68*$B$55,0)</f><v /></c><c r="EU156" s="11"><f>ES156/(ER156-EQ156*EU155)</f><v /></c><c r="EV156" s="11"><f>(ET156-EQ156*EV155)/(ER156-EQ156*EU155)</f><v /></c><c r="EW156" s="15"><f>EV156-EU156*EW157</f><v /></c><c r="EX156" s="11"><f>IF(23&gt;$B$49+$B$50,$G$69*$B$54^$H$69,$E$69*$B$52^$F$69)</f><v /></c><c r="EY156" s="11"><f>IF(23=1,0,$B$57)</f><v /></c><c r="EZ156" s="11"><f>-($B$57+(IF(23&lt;=$B$49,$B$56*$B$58+$B$55,IF(23&lt;=$B$49+$B$50,$B$56*$B$58,$B$56)))/EX156)</f><v /></c><c r="FA156" s="11"><f>IF(23=$B$49+$B$50,0,IF(23&gt;$B$49+$B$50,$B$56/EX157,IF(23&gt;=$B$49,$B$56*$B$58/EX157,($B$56*$B$58+$B$55)/EX157)))</f><v /></c><c r="FB156" s="11"><f>IF(23=$B$49,-$K$69*$B$55,0)</f><v /></c><c r="FC156" s="11"><f>FA156/(EZ156-EY156*FC155)</f><v /></c><c r="FD156" s="11"><f>(FB156-EY156*FD155)/(EZ156-EY156*FC155)</f><v /></c><c r="FE156" s="15"><f>FD156-FC156*FE157</f><v /></c><c r="FF156" s="11"><f>IF(23&gt;$B$49+$B$50,$G$70*$B$54^$H$70,$E$70*$B$52^$F$70)</f><v /></c><c r="FG156" s="11"><f>IF(23=1,0,$B$57)</f><v /></c><c r="FH156" s="11"><f>-($B$57+(IF(23&lt;=$B$49,$B$56*$B$58+$B$55,IF(23&lt;=$B$49+$B$50,$B$56*$B$58,$B$56)))/FF156)</f><v /></c><c r="FI156" s="11"><f>IF(23=$B$49+$B$50,0,IF(23&gt;$B$49+$B$50,$B$56/FF157,IF(23&gt;=$B$49,$B$56*$B$58/FF157,($B$56*$B$58+$B$55)/FF157)))</f><v /></c><c r="FJ156" s="11"><f>IF(23=$B$49,-$K$70*$B$55,0)</f><v /></c><c r="FK156" s="11"><f>FI156/(FH156-FG156*FK155)</f><v /></c><c r="FL156" s="11"><f>(FJ156-FG156*FL155)/(FH156-FG156*FK155)</f><v /></c><c r="FM156" s="15"><f>FL156-FK156*FM157</f><v /></c><c r="FN156" s="11"><f>IF(23&gt;$B$49+$B$50,$G$71*$B$54^$H$71,$E$71*$B$52^$F$71)</f><v /></c><c r="FO156" s="11"><f>IF(23=1,0,$B$57)</f><v /></c><c r="FP156" s="11"><f>-($B$57+(IF(23&lt;=$B$49,$B$56*$B$58+$B$55,IF(23&lt;=$B$49+$B$50,$B$56*$B$58,$B$56)))/FN156)</f><v /></c><c r="FQ156" s="11"><f>IF(23=$B$49+$B$50,0,IF(23&gt;$B$49+$B$50,$B$56/FN157,IF(23&gt;=$B$49,$B$56*$B$58/FN157,($B$56*$B$58+$B$55)/FN157)))</f><v /></c><c r="FR156" s="11"><f>IF(23=$B$49,-$K$71*$B$55,0)</f><v /></c><c r="FS156" s="11"><f>FQ156/(FP156-FO156*FS155)</f><v /></c><c r="FT156" s="11"><f>(FR156-FO156*FT155)/(FP156-FO156*FS155)</f><v /></c><c r="FU156" s="15"><f>FT156-FS156*FU157</f><v /></c><c r="FV156" s="11"><f>IF(23&gt;$B$49+$B$50,$G$72*$B$54^$H$72,$E$72*$B$52^$F$72)</f><v /></c><c r="FW156" s="11"><f>IF(23=1,0,$B$57)</f><v /></c><c r="FX156" s="11"><f>-($B$57+(IF(23&lt;=$B$49,$B$56*$B$58+$B$55,IF(23&lt;=$B$49+$B$50,$B$56*$B$58,$B$56)))/FV156)</f><v /></c><c r="FY156" s="11"><f>IF(23=$B$49+$B$50,0,IF(23&gt;$B$49+$B$50,$B$56/FV157,IF(23&gt;=$B$49,$B$56*$B$58/FV157,($B$56*$B$58+$B$55)/FV157)))</f><v /></c><c r="FZ156" s="11"><f>IF(23=$B$49,-$K$72*$B$55,0)</f><v /></c><c r="GA156" s="11"><f>FY156/(FX156-FW156*GA155)</f><v /></c><c r="GB156" s="11"><f>(FZ156-FW156*GB155)/(FX156-FW156*GA155)</f><v /></c><c r="GC156" s="15"><f>GB156-GA156*GC157</f><v /></c><c r="GD156" s="11"><f>IF(23&gt;$B$49+$B$50,$G$73*$B$54^$H$73,$E$73*$B$52^$F$73)</f><v /></c><c r="GE156" s="11"><f>IF(23=1,0,$B$57)</f><v /></c><c r="GF156" s="11"><f>-($B$57+(IF(23&lt;=$B$49,$B$56*$B$58+$B$55,IF(23&lt;=$B$49+$B$50,$B$56*$B$58,$B$56)))/GD156)</f><v /></c><c r="GG156" s="11"><f>IF(23=$B$49+$B$50,0,IF(23&gt;$B$49+$B$50,$B$56/GD157,IF(23&gt;=$B$49,$B$56*$B$58/GD157,($B$56*$B$58+$B$55)/GD157)))</f><v /></c><c r="GH156" s="11"><f>IF(23=$B$49,-$K$73*$B$55,0)</f><v /></c><c r="GI156" s="11"><f>GG156/(GF156-GE156*GI155)</f><v /></c><c r="GJ156" s="11"><f>(GH156-GE156*GJ155)/(GF156-GE156*GI155)</f><v /></c><c r="GK156" s="15"><f>GJ156-GI156*GK157</f><v /></c><c r="GL156" s="11"><f>IF(23&gt;$B$49+$B$50,$G$74*$B$54^$H$74,$E$74*$B$52^$F$74)</f><v /></c><c r="GM156" s="11"><f>IF(23=1,0,$B$57)</f><v /></c><c r="GN156" s="11"><f>-($B$57+(IF(23&lt;=$B$49,$B$56*$B$58+$B$55,IF(23&lt;=$B$49+$B$50,$B$56*$B$58,$B$56)))/GL156)</f><v /></c><c r="GO156" s="11"><f>IF(23=$B$49+$B$50,0,IF(23&gt;$B$49+$B$50,$B$56/GL157,IF(23&gt;=$B$49,$B$56*$B$58/GL157,($B$56*$B$58+$B$55)/GL157)))</f><v /></c><c r="GP156" s="11"><f>IF(23=$B$49,-$K$74*$B$55,0)</f><v /></c><c r="GQ156" s="11"><f>GO156/(GN156-GM156*GQ155)</f><v /></c><c r="GR156" s="11"><f>(GP156-GM156*GR155)/(GN156-GM156*GQ155)</f><v /></c><c r="GS156" s="15"><f>GR156-GQ156*GS157</f><v /></c><c r="GT156" s="11"><f>IF(23&gt;$B$49+$B$50,$G$75*$B$54^$H$75,$E$75*$B$52^$F$75)</f><v /></c><c r="GU156" s="11"><f>IF(23=1,0,$B$57)</f><v /></c><c r="GV156" s="11"><f>-($B$57+(IF(23&lt;=$B$49,$B$56*$B$58+$B$55,IF(23&lt;=$B$49+$B$50,$B$56*$B$58,$B$56)))/GT156)</f><v /></c><c r="GW156" s="11"><f>IF(23=$B$49+$B$50,0,IF(23&gt;$B$49+$B$50,$B$56/GT157,IF(23&gt;=$B$49,$B$56*$B$58/GT157,($B$56*$B$58+$B$55)/GT157)))</f><v /></c><c r="GX156" s="11"><f>IF(23=$B$49,-$K$75*$B$55,0)</f><v /></c><c r="GY156" s="11"><f>GW156/(GV156-GU156*GY155)</f><v /></c><c r="GZ156" s="11"><f>(GX156-GU156*GZ155)/(GV156-GU156*GY155)</f><v /></c><c r="HA156" s="15"><f>GZ156-GY156*HA157</f><v /></c><c r="HB156" s="13"><f>IFERROR(I156/B156,0)</f><v /></c><c r="HC156" s="13"><f>IFERROR(Q156/J156,0)</f><v /></c><c r="HD156" s="13"><f>IFERROR(Y156/R156,0)</f><v /></c><c r="HE156" s="13"><f>IFERROR(AG156/Z156,0)</f><v /></c><c r="HF156" s="13"><f>IFERROR(AO156/AH156,0)</f><v /></c><c r="HG156" s="13"><f>IFERROR(AW156/AP156,0)</f><v /></c><c r="HH156" s="13"><f>IFERROR(BE156/AX156,0)</f><v /></c><c r="HI156" s="13"><f>IFERROR(BM156/BF156,0)</f><v /></c><c r="HJ156" s="13"><f>IFERROR(BU156/BN156,0)</f><v /></c><c r="HK156" s="13"><f>IFERROR(CC156/BV156,0)</f><v /></c><c r="HL156" s="13"><f>IFERROR(CK156/CD156,0)</f><v /></c><c r="HM156" s="13"><f>IFERROR(CS156/CL156,0)</f><v /></c><c r="HN156" s="13"><f>IFERROR(DA156/CT156,0)</f><v /></c><c r="HO156" s="13"><f>IFERROR(DI156/DB156,0)</f><v /></c><c r="HP156" s="13"><f>IFERROR(DQ156/DJ156,0)</f><v /></c><c r="HQ156" s="13"><f>IFERROR(DY156/DR156,0)</f><v /></c><c r="HR156" s="13"><f>IFERROR(EG156/DZ156,0)</f><v /></c><c r="HS156" s="13"><f>IFERROR(EO156/EH156,0)</f><v /></c><c r="HT156" s="13"><f>IFERROR(EW156/EP156,0)</f><v /></c><c r="HU156" s="13"><f>IFERROR(FE156/EX156,0)</f><v /></c><c r="HV156" s="13"><f>IFERROR(FM156/FF156,0)</f><v /></c><c r="HW156" s="13"><f>IFERROR(FU156/FN156,0)</f><v /></c><c r="HX156" s="13"><f>IFERROR(GC156/FV156,0)</f><v /></c><c r="HY156" s="13"><f>IFERROR(GK156/GD156,0)</f><v /></c><c r="HZ156" s="13"><f>IFERROR(GS156/GL156,0)</f><v /></c><c r="IA156" s="13"><f>IFERROR(HA156/GT156,0)</f><v /></c><c r="IB156" s="13"><f>I156+Q156+Y156+AG156+AO156+AW156+BE156+BM156+BU156+CC156+CK156+CS156+DA156+DI156+DQ156+DY156+EG156+EO156+EW156+FE156+FM156+FU156+GC156+GK156+GS156+HA156</f><v /></c><c r="IC156" s="13"><f>HB156+HC156+HD156+HE156+HF156+HG156+HH156+HI156+HJ156+HK156+HL156+HM156+HN156+HO156+HP156+HQ156+HR156+HS156+HT156+HU156+HV156+HW156+HX156+HY156+HZ156+IA156</f><v /></c></row><row r="157" ht="14" customHeight="1"><c r="A157" s="25" t="n"><v>24</v></c><c r="B157" s="11"><f>IF(24&gt;$B$49+$B$50,$G$50*$B$54^$H$50,$E$50*$B$52^$F$50)</f><v /></c><c r="C157" s="11"><f>IF(24=1,0,$B$57)</f><v /></c><c r="D157" s="11"><f>-($B$57+(IF(24&lt;=$B$49,$B$56*$B$58+$B$55,IF(24&lt;=$B$49+$B$50,$B$56*$B$58,$B$56)))/B157)</f><v /></c><c r="E157" s="11"><f>IF(24=$B$49+$B$50,0,IF(24&gt;$B$49+$B$50,$B$56/B158,IF(24&gt;=$B$49,$B$56*$B$58/B158,($B$56*$B$58+$B$55)/B158)))</f><v /></c><c r="F157" s="11"><f>IF(24=$B$49,-$K$50*$B$55,0)</f><v /></c><c r="G157" s="11"><f>E157/(D157-C157*G156)</f><v /></c><c r="H157" s="11"><f>(F157-C157*H156)/(D157-C157*G156)</f><v /></c><c r="I157" s="15"><f>H157-G157*I158</f><v /></c><c r="J157" s="11"><f>IF(24&gt;$B$49+$B$50,$G$51*$B$54^$H$51,$E$51*$B$52^$F$51)</f><v /></c><c r="K157" s="11"><f>IF(24=1,0,$B$57)</f><v /></c><c r="L157" s="11"><f>-($B$57+(IF(24&lt;=$B$49,$B$56*$B$58+$B$55,IF(24&lt;=$B$49+$B$50,$B$56*$B$58,$B$56)))/J157)</f><v /></c><c r="M157" s="11"><f>IF(24=$B$49+$B$50,0,IF(24&gt;$B$49+$B$50,$B$56/J158,IF(24&gt;=$B$49,$B$56*$B$58/J158,($B$56*$B$58+$B$55)/J158)))</f><v /></c><c r="N157" s="11"><f>IF(24=$B$49,-$K$51*$B$55,0)</f><v /></c><c r="O157" s="11"><f>M157/(L157-K157*O156)</f><v /></c><c r="P157" s="11"><f>(N157-K157*P156)/(L157-K157*O156)</f><v /></c><c r="Q157" s="15"><f>P157-O157*Q158</f><v /></c><c r="R157" s="11"><f>IF(24&gt;$B$49+$B$50,$G$52*$B$54^$H$52,$E$52*$B$52^$F$52)</f><v /></c><c r="S157" s="11"><f>IF(24=1,0,$B$57)</f><v /></c><c r="T157" s="11"><f>-($B$57+(IF(24&lt;=$B$49,$B$56*$B$58+$B$55,IF(24&lt;=$B$49+$B$50,$B$56*$B$58,$B$56)))/R157)</f><v /></c><c r="U157" s="11"><f>IF(24=$B$49+$B$50,0,IF(24&gt;$B$49+$B$50,$B$56/R158,IF(24&gt;=$B$49,$B$56*$B$58/R158,($B$56*$B$58+$B$55)/R158)))</f><v /></c><c r="V157" s="11"><f>IF(24=$B$49,-$K$52*$B$55,0)</f><v /></c><c r="W157" s="11"><f>U157/(T157-S157*W156)</f><v /></c><c r="X157" s="11"><f>(V157-S157*X156)/(T157-S157*W156)</f><v /></c><c r="Y157" s="15"><f>X157-W157*Y158</f><v /></c><c r="Z157" s="11"><f>IF(24&gt;$B$49+$B$50,$G$53*$B$54^$H$53,$E$53*$B$52^$F$53)</f><v /></c><c r="AA157" s="11"><f>IF(24=1,0,$B$57)</f><v /></c><c r="AB157" s="11"><f>-($B$57+(IF(24&lt;=$B$49,$B$56*$B$58+$B$55,IF(24&lt;=$B$49+$B$50,$B$56*$B$58,$B$56)))/Z157)</f><v /></c><c r="AC157" s="11"><f>IF(24=$B$49+$B$50,0,IF(24&gt;$B$49+$B$50,$B$56/Z158,IF(24&gt;=$B$49,$B$56*$B$58/Z158,($B$56*$B$58+$B$55)/Z158)))</f><v /></c><c r="AD157" s="11"><f>IF(24=$B$49,-$K$53*$B$55,0)</f><v /></c><c r="AE157" s="11"><f>AC157/(AB157-AA157*AE156)</f><v /></c><c r="AF157" s="11"><f>(AD157-AA157*AF156)/(AB157-AA157*AE156)</f><v /></c><c r="AG157" s="15"><f>AF157-AE157*AG158</f><v /></c><c r="AH157" s="11"><f>IF(24&gt;$B$49+$B$50,$G$54*$B$54^$H$54,$E$54*$B$52^$F$54)</f><v /></c><c r="AI157" s="11"><f>IF(24=1,0,$B$57)</f><v /></c><c r="AJ157" s="11"><f>-($B$57+(IF(24&lt;=$B$49,$B$56*$B$58+$B$55,IF(24&lt;=$B$49+$B$50,$B$56*$B$58,$B$56)))/AH157)</f><v /></c><c r="AK157" s="11"><f>IF(24=$B$49+$B$50,0,IF(24&gt;$B$49+$B$50,$B$56/AH158,IF(24&gt;=$B$49,$B$56*$B$58/AH158,($B$56*$B$58+$B$55)/AH158)))</f><v /></c><c r="AL157" s="11"><f>IF(24=$B$49,-$K$54*$B$55,0)</f><v /></c><c r="AM157" s="11"><f>AK157/(AJ157-AI157*AM156)</f><v /></c><c r="AN157" s="11"><f>(AL157-AI157*AN156)/(AJ157-AI157*AM156)</f><v /></c><c r="AO157" s="15"><f>AN157-AM157*AO158</f><v /></c><c r="AP157" s="11"><f>IF(24&gt;$B$49+$B$50,$G$55*$B$54^$H$55,$E$55*$B$52^$F$55)</f><v /></c><c r="AQ157" s="11"><f>IF(24=1,0,$B$57)</f><v /></c><c r="AR157" s="11"><f>-($B$57+(IF(24&lt;=$B$49,$B$56*$B$58+$B$55,IF(24&lt;=$B$49+$B$50,$B$56*$B$58,$B$56)))/AP157)</f><v /></c><c r="AS157" s="11"><f>IF(24=$B$49+$B$50,0,IF(24&gt;$B$49+$B$50,$B$56/AP158,IF(24&gt;=$B$49,$B$56*$B$58/AP158,($B$56*$B$58+$B$55)/AP158)))</f><v /></c><c r="AT157" s="11"><f>IF(24=$B$49,-$K$55*$B$55,0)</f><v /></c><c r="AU157" s="11"><f>AS157/(AR157-AQ157*AU156)</f><v /></c><c r="AV157" s="11"><f>(AT157-AQ157*AV156)/(AR157-AQ157*AU156)</f><v /></c><c r="AW157" s="15"><f>AV157-AU157*AW158</f><v /></c><c r="AX157" s="11"><f>IF(24&gt;$B$49+$B$50,$G$56*$B$54^$H$56,$E$56*$B$52^$F$56)</f><v /></c><c r="AY157" s="11"><f>IF(24=1,0,$B$57)</f><v /></c><c r="AZ157" s="11"><f>-($B$57+(IF(24&lt;=$B$49,$B$56*$B$58+$B$55,IF(24&lt;=$B$49+$B$50,$B$56*$B$58,$B$56)))/AX157)</f><v /></c><c r="BA157" s="11"><f>IF(24=$B$49+$B$50,0,IF(24&gt;$B$49+$B$50,$B$56/AX158,IF(24&gt;=$B$49,$B$56*$B$58/AX158,($B$56*$B$58+$B$55)/AX158)))</f><v /></c><c r="BB157" s="11"><f>IF(24=$B$49,-$K$56*$B$55,0)</f><v /></c><c r="BC157" s="11"><f>BA157/(AZ157-AY157*BC156)</f><v /></c><c r="BD157" s="11"><f>(BB157-AY157*BD156)/(AZ157-AY157*BC156)</f><v /></c><c r="BE157" s="15"><f>BD157-BC157*BE158</f><v /></c><c r="BF157" s="11"><f>IF(24&gt;$B$49+$B$50,$G$57*$B$54^$H$57,$E$57*$B$52^$F$57)</f><v /></c><c r="BG157" s="11"><f>IF(24=1,0,$B$57)</f><v /></c><c r="BH157" s="11"><f>-($B$57+(IF(24&lt;=$B$49,$B$56*$B$58+$B$55,IF(24&lt;=$B$49+$B$50,$B$56*$B$58,$B$56)))/BF157)</f><v /></c><c r="BI157" s="11"><f>IF(24=$B$49+$B$50,0,IF(24&gt;$B$49+$B$50,$B$56/BF158,IF(24&gt;=$B$49,$B$56*$B$58/BF158,($B$56*$B$58+$B$55)/BF158)))</f><v /></c><c r="BJ157" s="11"><f>IF(24=$B$49,-$K$57*$B$55,0)</f><v /></c><c r="BK157" s="11"><f>BI157/(BH157-BG157*BK156)</f><v /></c><c r="BL157" s="11"><f>(BJ157-BG157*BL156)/(BH157-BG157*BK156)</f><v /></c><c r="BM157" s="15"><f>BL157-BK157*BM158</f><v /></c><c r="BN157" s="11"><f>IF(24&gt;$B$49+$B$50,$G$58*$B$54^$H$58,$E$58*$B$52^$F$58)</f><v /></c><c r="BO157" s="11"><f>IF(24=1,0,$B$57)</f><v /></c><c r="BP157" s="11"><f>-($B$57+(IF(24&lt;=$B$49,$B$56*$B$58+$B$55,IF(24&lt;=$B$49+$B$50,$B$56*$B$58,$B$56)))/BN157)</f><v /></c><c r="BQ157" s="11"><f>IF(24=$B$49+$B$50,0,IF(24&gt;$B$49+$B$50,$B$56/BN158,IF(24&gt;=$B$49,$B$56*$B$58/BN158,($B$56*$B$58+$B$55)/BN158)))</f><v /></c><c r="BR157" s="11"><f>IF(24=$B$49,-$K$58*$B$55,0)</f><v /></c><c r="BS157" s="11"><f>BQ157/(BP157-BO157*BS156)</f><v /></c><c r="BT157" s="11"><f>(BR157-BO157*BT156)/(BP157-BO157*BS156)</f><v /></c><c r="BU157" s="15"><f>BT157-BS157*BU158</f><v /></c><c r="BV157" s="11"><f>IF(24&gt;$B$49+$B$50,$G$59*$B$54^$H$59,$E$59*$B$52^$F$59)</f><v /></c><c r="BW157" s="11"><f>IF(24=1,0,$B$57)</f><v /></c><c r="BX157" s="11"><f>-($B$57+(IF(24&lt;=$B$49,$B$56*$B$58+$B$55,IF(24&lt;=$B$49+$B$50,$B$56*$B$58,$B$56)))/BV157)</f><v /></c><c r="BY157" s="11"><f>IF(24=$B$49+$B$50,0,IF(24&gt;$B$49+$B$50,$B$56/BV158,IF(24&gt;=$B$49,$B$56*$B$58/BV158,($B$56*$B$58+$B$55)/BV158)))</f><v /></c><c r="BZ157" s="11"><f>IF(24=$B$49,-$K$59*$B$55,0)</f><v /></c><c r="CA157" s="11"><f>BY157/(BX157-BW157*CA156)</f><v /></c><c r="CB157" s="11"><f>(BZ157-BW157*CB156)/(BX157-BW157*CA156)</f><v /></c><c r="CC157" s="15"><f>CB157-CA157*CC158</f><v /></c><c r="CD157" s="11"><f>IF(24&gt;$B$49+$B$50,$G$60*$B$54^$H$60,$E$60*$B$52^$F$60)</f><v /></c><c r="CE157" s="11"><f>IF(24=1,0,$B$57)</f><v /></c><c r="CF157" s="11"><f>-($B$57+(IF(24&lt;=$B$49,$B$56*$B$58+$B$55,IF(24&lt;=$B$49+$B$50,$B$56*$B$58,$B$56)))/CD157)</f><v /></c><c r="CG157" s="11"><f>IF(24=$B$49+$B$50,0,IF(24&gt;$B$49+$B$50,$B$56/CD158,IF(24&gt;=$B$49,$B$56*$B$58/CD158,($B$56*$B$58+$B$55)/CD158)))</f><v /></c><c r="CH157" s="11"><f>IF(24=$B$49,-$K$60*$B$55,0)</f><v /></c><c r="CI157" s="11"><f>CG157/(CF157-CE157*CI156)</f><v /></c><c r="CJ157" s="11"><f>(CH157-CE157*CJ156)/(CF157-CE157*CI156)</f><v /></c><c r="CK157" s="15"><f>CJ157-CI157*CK158</f><v /></c><c r="CL157" s="11"><f>IF(24&gt;$B$49+$B$50,$G$61*$B$54^$H$61,$E$61*$B$52^$F$61)</f><v /></c><c r="CM157" s="11"><f>IF(24=1,0,$B$57)</f><v /></c><c r="CN157" s="11"><f>-($B$57+(IF(24&lt;=$B$49,$B$56*$B$58+$B$55,IF(24&lt;=$B$49+$B$50,$B$56*$B$58,$B$56)))/CL157)</f><v /></c><c r="CO157" s="11"><f>IF(24=$B$49+$B$50,0,IF(24&gt;$B$49+$B$50,$B$56/CL158,IF(24&gt;=$B$49,$B$56*$B$58/CL158,($B$56*$B$58+$B$55)/CL158)))</f><v /></c><c r="CP157" s="11"><f>IF(24=$B$49,-$K$61*$B$55,0)</f><v /></c><c r="CQ157" s="11"><f>CO157/(CN157-CM157*CQ156)</f><v /></c><c r="CR157" s="11"><f>(CP157-CM157*CR156)/(CN157-CM157*CQ156)</f><v /></c><c r="CS157" s="15"><f>CR157-CQ157*CS158</f><v /></c><c r="CT157" s="11"><f>IF(24&gt;$B$49+$B$50,$G$62*$B$54^$H$62,$E$62*$B$52^$F$62)</f><v /></c><c r="CU157" s="11"><f>IF(24=1,0,$B$57)</f><v /></c><c r="CV157" s="11"><f>-($B$57+(IF(24&lt;=$B$49,$B$56*$B$58+$B$55,IF(24&lt;=$B$49+$B$50,$B$56*$B$58,$B$56)))/CT157)</f><v /></c><c r="CW157" s="11"><f>IF(24=$B$49+$B$50,0,IF(24&gt;$B$49+$B$50,$B$56/CT158,IF(24&gt;=$B$49,$B$56*$B$58/CT158,($B$56*$B$58+$B$55)/CT158)))</f><v /></c><c r="CX157" s="11"><f>IF(24=$B$49,-$K$62*$B$55,0)</f><v /></c><c r="CY157" s="11"><f>CW157/(CV157-CU157*CY156)</f><v /></c><c r="CZ157" s="11"><f>(CX157-CU157*CZ156)/(CV157-CU157*CY156)</f><v /></c><c r="DA157" s="15"><f>CZ157-CY157*DA158</f><v /></c><c r="DB157" s="11"><f>IF(24&gt;$B$49+$B$50,$G$63*$B$54^$H$63,$E$63*$B$52^$F$63)</f><v /></c><c r="DC157" s="11"><f>IF(24=1,0,$B$57)</f><v /></c><c r="DD157" s="11"><f>-($B$57+(IF(24&lt;=$B$49,$B$56*$B$58+$B$55,IF(24&lt;=$B$49+$B$50,$B$56*$B$58,$B$56)))/DB157)</f><v /></c><c r="DE157" s="11"><f>IF(24=$B$49+$B$50,0,IF(24&gt;$B$49+$B$50,$B$56/DB158,IF(24&gt;=$B$49,$B$56*$B$58/DB158,($B$56*$B$58+$B$55)/DB158)))</f><v /></c><c r="DF157" s="11"><f>IF(24=$B$49,-$K$63*$B$55,0)</f><v /></c><c r="DG157" s="11"><f>DE157/(DD157-DC157*DG156)</f><v /></c><c r="DH157" s="11"><f>(DF157-DC157*DH156)/(DD157-DC157*DG156)</f><v /></c><c r="DI157" s="15"><f>DH157-DG157*DI158</f><v /></c><c r="DJ157" s="11"><f>IF(24&gt;$B$49+$B$50,$G$64*$B$54^$H$64,$E$64*$B$52^$F$64)</f><v /></c><c r="DK157" s="11"><f>IF(24=1,0,$B$57)</f><v /></c><c r="DL157" s="11"><f>-($B$57+(IF(24&lt;=$B$49,$B$56*$B$58+$B$55,IF(24&lt;=$B$49+$B$50,$B$56*$B$58,$B$56)))/DJ157)</f><v /></c><c r="DM157" s="11"><f>IF(24=$B$49+$B$50,0,IF(24&gt;$B$49+$B$50,$B$56/DJ158,IF(24&gt;=$B$49,$B$56*$B$58/DJ158,($B$56*$B$58+$B$55)/DJ158)))</f><v /></c><c r="DN157" s="11"><f>IF(24=$B$49,-$K$64*$B$55,0)</f><v /></c><c r="DO157" s="11"><f>DM157/(DL157-DK157*DO156)</f><v /></c><c r="DP157" s="11"><f>(DN157-DK157*DP156)/(DL157-DK157*DO156)</f><v /></c><c r="DQ157" s="15"><f>DP157-DO157*DQ158</f><v /></c><c r="DR157" s="11"><f>IF(24&gt;$B$49+$B$50,$G$65*$B$54^$H$65,$E$65*$B$52^$F$65)</f><v /></c><c r="DS157" s="11"><f>IF(24=1,0,$B$57)</f><v /></c><c r="DT157" s="11"><f>-($B$57+(IF(24&lt;=$B$49,$B$56*$B$58+$B$55,IF(24&lt;=$B$49+$B$50,$B$56*$B$58,$B$56)))/DR157)</f><v /></c><c r="DU157" s="11"><f>IF(24=$B$49+$B$50,0,IF(24&gt;$B$49+$B$50,$B$56/DR158,IF(24&gt;=$B$49,$B$56*$B$58/DR158,($B$56*$B$58+$B$55)/DR158)))</f><v /></c><c r="DV157" s="11"><f>IF(24=$B$49,-$K$65*$B$55,0)</f><v /></c><c r="DW157" s="11"><f>DU157/(DT157-DS157*DW156)</f><v /></c><c r="DX157" s="11"><f>(DV157-DS157*DX156)/(DT157-DS157*DW156)</f><v /></c><c r="DY157" s="15"><f>DX157-DW157*DY158</f><v /></c><c r="DZ157" s="11"><f>IF(24&gt;$B$49+$B$50,$G$66*$B$54^$H$66,$E$66*$B$52^$F$66)</f><v /></c><c r="EA157" s="11"><f>IF(24=1,0,$B$57)</f><v /></c><c r="EB157" s="11"><f>-($B$57+(IF(24&lt;=$B$49,$B$56*$B$58+$B$55,IF(24&lt;=$B$49+$B$50,$B$56*$B$58,$B$56)))/DZ157)</f><v /></c><c r="EC157" s="11"><f>IF(24=$B$49+$B$50,0,IF(24&gt;$B$49+$B$50,$B$56/DZ158,IF(24&gt;=$B$49,$B$56*$B$58/DZ158,($B$56*$B$58+$B$55)/DZ158)))</f><v /></c><c r="ED157" s="11"><f>IF(24=$B$49,-$K$66*$B$55,0)</f><v /></c><c r="EE157" s="11"><f>EC157/(EB157-EA157*EE156)</f><v /></c><c r="EF157" s="11"><f>(ED157-EA157*EF156)/(EB157-EA157*EE156)</f><v /></c><c r="EG157" s="15"><f>EF157-EE157*EG158</f><v /></c><c r="EH157" s="11"><f>IF(24&gt;$B$49+$B$50,$G$67*$B$54^$H$67,$E$67*$B$52^$F$67)</f><v /></c><c r="EI157" s="11"><f>IF(24=1,0,$B$57)</f><v /></c><c r="EJ157" s="11"><f>-($B$57+(IF(24&lt;=$B$49,$B$56*$B$58+$B$55,IF(24&lt;=$B$49+$B$50,$B$56*$B$58,$B$56)))/EH157)</f><v /></c><c r="EK157" s="11"><f>IF(24=$B$49+$B$50,0,IF(24&gt;$B$49+$B$50,$B$56/EH158,IF(24&gt;=$B$49,$B$56*$B$58/EH158,($B$56*$B$58+$B$55)/EH158)))</f><v /></c><c r="EL157" s="11"><f>IF(24=$B$49,-$K$67*$B$55,0)</f><v /></c><c r="EM157" s="11"><f>EK157/(EJ157-EI157*EM156)</f><v /></c><c r="EN157" s="11"><f>(EL157-EI157*EN156)/(EJ157-EI157*EM156)</f><v /></c><c r="EO157" s="15"><f>EN157-EM157*EO158</f><v /></c><c r="EP157" s="11"><f>IF(24&gt;$B$49+$B$50,$G$68*$B$54^$H$68,$E$68*$B$52^$F$68)</f><v /></c><c r="EQ157" s="11"><f>IF(24=1,0,$B$57)</f><v /></c><c r="ER157" s="11"><f>-($B$57+(IF(24&lt;=$B$49,$B$56*$B$58+$B$55,IF(24&lt;=$B$49+$B$50,$B$56*$B$58,$B$56)))/EP157)</f><v /></c><c r="ES157" s="11"><f>IF(24=$B$49+$B$50,0,IF(24&gt;$B$49+$B$50,$B$56/EP158,IF(24&gt;=$B$49,$B$56*$B$58/EP158,($B$56*$B$58+$B$55)/EP158)))</f><v /></c><c r="ET157" s="11"><f>IF(24=$B$49,-$K$68*$B$55,0)</f><v /></c><c r="EU157" s="11"><f>ES157/(ER157-EQ157*EU156)</f><v /></c><c r="EV157" s="11"><f>(ET157-EQ157*EV156)/(ER157-EQ157*EU156)</f><v /></c><c r="EW157" s="15"><f>EV157-EU157*EW158</f><v /></c><c r="EX157" s="11"><f>IF(24&gt;$B$49+$B$50,$G$69*$B$54^$H$69,$E$69*$B$52^$F$69)</f><v /></c><c r="EY157" s="11"><f>IF(24=1,0,$B$57)</f><v /></c><c r="EZ157" s="11"><f>-($B$57+(IF(24&lt;=$B$49,$B$56*$B$58+$B$55,IF(24&lt;=$B$49+$B$50,$B$56*$B$58,$B$56)))/EX157)</f><v /></c><c r="FA157" s="11"><f>IF(24=$B$49+$B$50,0,IF(24&gt;$B$49+$B$50,$B$56/EX158,IF(24&gt;=$B$49,$B$56*$B$58/EX158,($B$56*$B$58+$B$55)/EX158)))</f><v /></c><c r="FB157" s="11"><f>IF(24=$B$49,-$K$69*$B$55,0)</f><v /></c><c r="FC157" s="11"><f>FA157/(EZ157-EY157*FC156)</f><v /></c><c r="FD157" s="11"><f>(FB157-EY157*FD156)/(EZ157-EY157*FC156)</f><v /></c><c r="FE157" s="15"><f>FD157-FC157*FE158</f><v /></c><c r="FF157" s="11"><f>IF(24&gt;$B$49+$B$50,$G$70*$B$54^$H$70,$E$70*$B$52^$F$70)</f><v /></c><c r="FG157" s="11"><f>IF(24=1,0,$B$57)</f><v /></c><c r="FH157" s="11"><f>-($B$57+(IF(24&lt;=$B$49,$B$56*$B$58+$B$55,IF(24&lt;=$B$49+$B$50,$B$56*$B$58,$B$56)))/FF157)</f><v /></c><c r="FI157" s="11"><f>IF(24=$B$49+$B$50,0,IF(24&gt;$B$49+$B$50,$B$56/FF158,IF(24&gt;=$B$49,$B$56*$B$58/FF158,($B$56*$B$58+$B$55)/FF158)))</f><v /></c><c r="FJ157" s="11"><f>IF(24=$B$49,-$K$70*$B$55,0)</f><v /></c><c r="FK157" s="11"><f>FI157/(FH157-FG157*FK156)</f><v /></c><c r="FL157" s="11"><f>(FJ157-FG157*FL156)/(FH157-FG157*FK156)</f><v /></c><c r="FM157" s="15"><f>FL157-FK157*FM158</f><v /></c><c r="FN157" s="11"><f>IF(24&gt;$B$49+$B$50,$G$71*$B$54^$H$71,$E$71*$B$52^$F$71)</f><v /></c><c r="FO157" s="11"><f>IF(24=1,0,$B$57)</f><v /></c><c r="FP157" s="11"><f>-($B$57+(IF(24&lt;=$B$49,$B$56*$B$58+$B$55,IF(24&lt;=$B$49+$B$50,$B$56*$B$58,$B$56)))/FN157)</f><v /></c><c r="FQ157" s="11"><f>IF(24=$B$49+$B$50,0,IF(24&gt;$B$49+$B$50,$B$56/FN158,IF(24&gt;=$B$49,$B$56*$B$58/FN158,($B$56*$B$58+$B$55)/FN158)))</f><v /></c><c r="FR157" s="11"><f>IF(24=$B$49,-$K$71*$B$55,0)</f><v /></c><c r="FS157" s="11"><f>FQ157/(FP157-FO157*FS156)</f><v /></c><c r="FT157" s="11"><f>(FR157-FO157*FT156)/(FP157-FO157*FS156)</f><v /></c><c r="FU157" s="15"><f>FT157-FS157*FU158</f><v /></c><c r="FV157" s="11"><f>IF(24&gt;$B$49+$B$50,$G$72*$B$54^$H$72,$E$72*$B$52^$F$72)</f><v /></c><c r="FW157" s="11"><f>IF(24=1,0,$B$57)</f><v /></c><c r="FX157" s="11"><f>-($B$57+(IF(24&lt;=$B$49,$B$56*$B$58+$B$55,IF(24&lt;=$B$49+$B$50,$B$56*$B$58,$B$56)))/FV157)</f><v /></c><c r="FY157" s="11"><f>IF(24=$B$49+$B$50,0,IF(24&gt;$B$49+$B$50,$B$56/FV158,IF(24&gt;=$B$49,$B$56*$B$58/FV158,($B$56*$B$58+$B$55)/FV158)))</f><v /></c><c r="FZ157" s="11"><f>IF(24=$B$49,-$K$72*$B$55,0)</f><v /></c><c r="GA157" s="11"><f>FY157/(FX157-FW157*GA156)</f><v /></c><c r="GB157" s="11"><f>(FZ157-FW157*GB156)/(FX157-FW157*GA156)</f><v /></c><c r="GC157" s="15"><f>GB157-GA157*GC158</f><v /></c><c r="GD157" s="11"><f>IF(24&gt;$B$49+$B$50,$G$73*$B$54^$H$73,$E$73*$B$52^$F$73)</f><v /></c><c r="GE157" s="11"><f>IF(24=1,0,$B$57)</f><v /></c><c r="GF157" s="11"><f>-($B$57+(IF(24&lt;=$B$49,$B$56*$B$58+$B$55,IF(24&lt;=$B$49+$B$50,$B$56*$B$58,$B$56)))/GD157)</f><v /></c><c r="GG157" s="11"><f>IF(24=$B$49+$B$50,0,IF(24&gt;$B$49+$B$50,$B$56/GD158,IF(24&gt;=$B$49,$B$56*$B$58/GD158,($B$56*$B$58+$B$55)/GD158)))</f><v /></c><c r="GH157" s="11"><f>IF(24=$B$49,-$K$73*$B$55,0)</f><v /></c><c r="GI157" s="11"><f>GG157/(GF157-GE157*GI156)</f><v /></c><c r="GJ157" s="11"><f>(GH157-GE157*GJ156)/(GF157-GE157*GI156)</f><v /></c><c r="GK157" s="15"><f>GJ157-GI157*GK158</f><v /></c><c r="GL157" s="11"><f>IF(24&gt;$B$49+$B$50,$G$74*$B$54^$H$74,$E$74*$B$52^$F$74)</f><v /></c><c r="GM157" s="11"><f>IF(24=1,0,$B$57)</f><v /></c><c r="GN157" s="11"><f>-($B$57+(IF(24&lt;=$B$49,$B$56*$B$58+$B$55,IF(24&lt;=$B$49+$B$50,$B$56*$B$58,$B$56)))/GL157)</f><v /></c><c r="GO157" s="11"><f>IF(24=$B$49+$B$50,0,IF(24&gt;$B$49+$B$50,$B$56/GL158,IF(24&gt;=$B$49,$B$56*$B$58/GL158,($B$56*$B$58+$B$55)/GL158)))</f><v /></c><c r="GP157" s="11"><f>IF(24=$B$49,-$K$74*$B$55,0)</f><v /></c><c r="GQ157" s="11"><f>GO157/(GN157-GM157*GQ156)</f><v /></c><c r="GR157" s="11"><f>(GP157-GM157*GR156)/(GN157-GM157*GQ156)</f><v /></c><c r="GS157" s="15"><f>GR157-GQ157*GS158</f><v /></c><c r="GT157" s="11"><f>IF(24&gt;$B$49+$B$50,$G$75*$B$54^$H$75,$E$75*$B$52^$F$75)</f><v /></c><c r="GU157" s="11"><f>IF(24=1,0,$B$57)</f><v /></c><c r="GV157" s="11"><f>-($B$57+(IF(24&lt;=$B$49,$B$56*$B$58+$B$55,IF(24&lt;=$B$49+$B$50,$B$56*$B$58,$B$56)))/GT157)</f><v /></c><c r="GW157" s="11"><f>IF(24=$B$49+$B$50,0,IF(24&gt;$B$49+$B$50,$B$56/GT158,IF(24&gt;=$B$49,$B$56*$B$58/GT158,($B$56*$B$58+$B$55)/GT158)))</f><v /></c><c r="GX157" s="11"><f>IF(24=$B$49,-$K$75*$B$55,0)</f><v /></c><c r="GY157" s="11"><f>GW157/(GV157-GU157*GY156)</f><v /></c><c r="GZ157" s="11"><f>(GX157-GU157*GZ156)/(GV157-GU157*GY156)</f><v /></c><c r="HA157" s="15"><f>GZ157-GY157*HA158</f><v /></c><c r="HB157" s="13"><f>IFERROR(I157/B157,0)</f><v /></c><c r="HC157" s="13"><f>IFERROR(Q157/J157,0)</f><v /></c><c r="HD157" s="13"><f>IFERROR(Y157/R157,0)</f><v /></c><c r="HE157" s="13"><f>IFERROR(AG157/Z157,0)</f><v /></c><c r="HF157" s="13"><f>IFERROR(AO157/AH157,0)</f><v /></c><c r="HG157" s="13"><f>IFERROR(AW157/AP157,0)</f><v /></c><c r="HH157" s="13"><f>IFERROR(BE157/AX157,0)</f><v /></c><c r="HI157" s="13"><f>IFERROR(BM157/BF157,0)</f><v /></c><c r="HJ157" s="13"><f>IFERROR(BU157/BN157,0)</f><v /></c><c r="HK157" s="13"><f>IFERROR(CC157/BV157,0)</f><v /></c><c r="HL157" s="13"><f>IFERROR(CK157/CD157,0)</f><v /></c><c r="HM157" s="13"><f>IFERROR(CS157/CL157,0)</f><v /></c><c r="HN157" s="13"><f>IFERROR(DA157/CT157,0)</f><v /></c><c r="HO157" s="13"><f>IFERROR(DI157/DB157,0)</f><v /></c><c r="HP157" s="13"><f>IFERROR(DQ157/DJ157,0)</f><v /></c><c r="HQ157" s="13"><f>IFERROR(DY157/DR157,0)</f><v /></c><c r="HR157" s="13"><f>IFERROR(EG157/DZ157,0)</f><v /></c><c r="HS157" s="13"><f>IFERROR(EO157/EH157,0)</f><v /></c><c r="HT157" s="13"><f>IFERROR(EW157/EP157,0)</f><v /></c><c r="HU157" s="13"><f>IFERROR(FE157/EX157,0)</f><v /></c><c r="HV157" s="13"><f>IFERROR(FM157/FF157,0)</f><v /></c><c r="HW157" s="13"><f>IFERROR(FU157/FN157,0)</f><v /></c><c r="HX157" s="13"><f>IFERROR(GC157/FV157,0)</f><v /></c><c r="HY157" s="13"><f>IFERROR(GK157/GD157,0)</f><v /></c><c r="HZ157" s="13"><f>IFERROR(GS157/GL157,0)</f><v /></c><c r="IA157" s="13"><f>IFERROR(HA157/GT157,0)</f><v /></c><c r="IB157" s="13"><f>I157+Q157+Y157+AG157+AO157+AW157+BE157+BM157+BU157+CC157+CK157+CS157+DA157+DI157+DQ157+DY157+EG157+EO157+EW157+FE157+FM157+FU157+GC157+GK157+GS157+HA157</f><v /></c><c r="IC157" s="13"><f>HB157+HC157+HD157+HE157+HF157+HG157+HH157+HI157+HJ157+HK157+HL157+HM157+HN157+HO157+HP157+HQ157+HR157+HS157+HT157+HU157+HV157+HW157+HX157+HY157+HZ157+IA157</f><v /></c></row><row r="158" ht="14" customHeight="1"><c r="A158" s="25" t="n"><v>25</v></c><c r="B158" s="11"><f>IF(25&gt;$B$49+$B$50,$G$50*$B$54^$H$50,$E$50*$B$52^$F$50)</f><v /></c><c r="C158" s="11"><f>IF(25=1,0,$B$57)</f><v /></c><c r="D158" s="11"><f>-($B$57+(IF(25&lt;=$B$49,$B$56*$B$58+$B$55,IF(25&lt;=$B$49+$B$50,$B$56*$B$58,$B$56)))/B158)</f><v /></c><c r="E158" s="11"><f>0</f><v /></c><c r="F158" s="11"><f>IF(25=$B$49,-$K$50*$B$55,0)</f><v /></c><c r="G158" s="11"><f>E158/(D158-C158*G157)</f><v /></c><c r="H158" s="11"><f>(F158-C158*H157)/(D158-C158*G157)</f><v /></c><c r="I158" s="15"><f>H158</f><v /></c><c r="J158" s="11"><f>IF(25&gt;$B$49+$B$50,$G$51*$B$54^$H$51,$E$51*$B$52^$F$51)</f><v /></c><c r="K158" s="11"><f>IF(25=1,0,$B$57)</f><v /></c><c r="L158" s="11"><f>-($B$57+(IF(25&lt;=$B$49,$B$56*$B$58+$B$55,IF(25&lt;=$B$49+$B$50,$B$56*$B$58,$B$56)))/J158)</f><v /></c><c r="M158" s="11"><f>0</f><v /></c><c r="N158" s="11"><f>IF(25=$B$49,-$K$51*$B$55,0)</f><v /></c><c r="O158" s="11"><f>M158/(L158-K158*O157)</f><v /></c><c r="P158" s="11"><f>(N158-K158*P157)/(L158-K158*O157)</f><v /></c><c r="Q158" s="15"><f>P158</f><v /></c><c r="R158" s="11"><f>IF(25&gt;$B$49+$B$50,$G$52*$B$54^$H$52,$E$52*$B$52^$F$52)</f><v /></c><c r="S158" s="11"><f>IF(25=1,0,$B$57)</f><v /></c><c r="T158" s="11"><f>-($B$57+(IF(25&lt;=$B$49,$B$56*$B$58+$B$55,IF(25&lt;=$B$49+$B$50,$B$56*$B$58,$B$56)))/R158)</f><v /></c><c r="U158" s="11"><f>0</f><v /></c><c r="V158" s="11"><f>IF(25=$B$49,-$K$52*$B$55,0)</f><v /></c><c r="W158" s="11"><f>U158/(T158-S158*W157)</f><v /></c><c r="X158" s="11"><f>(V158-S158*X157)/(T158-S158*W157)</f><v /></c><c r="Y158" s="15"><f>X158</f><v /></c><c r="Z158" s="11"><f>IF(25&gt;$B$49+$B$50,$G$53*$B$54^$H$53,$E$53*$B$52^$F$53)</f><v /></c><c r="AA158" s="11"><f>IF(25=1,0,$B$57)</f><v /></c><c r="AB158" s="11"><f>-($B$57+(IF(25&lt;=$B$49,$B$56*$B$58+$B$55,IF(25&lt;=$B$49+$B$50,$B$56*$B$58,$B$56)))/Z158)</f><v /></c><c r="AC158" s="11"><f>0</f><v /></c><c r="AD158" s="11"><f>IF(25=$B$49,-$K$53*$B$55,0)</f><v /></c><c r="AE158" s="11"><f>AC158/(AB158-AA158*AE157)</f><v /></c><c r="AF158" s="11"><f>(AD158-AA158*AF157)/(AB158-AA158*AE157)</f><v /></c><c r="AG158" s="15"><f>AF158</f><v /></c><c r="AH158" s="11"><f>IF(25&gt;$B$49+$B$50,$G$54*$B$54^$H$54,$E$54*$B$52^$F$54)</f><v /></c><c r="AI158" s="11"><f>IF(25=1,0,$B$57)</f><v /></c><c r="AJ158" s="11"><f>-($B$57+(IF(25&lt;=$B$49,$B$56*$B$58+$B$55,IF(25&lt;=$B$49+$B$50,$B$56*$B$58,$B$56)))/AH158)</f><v /></c><c r="AK158" s="11"><f>0</f><v /></c><c r="AL158" s="11"><f>IF(25=$B$49,-$K$54*$B$55,0)</f><v /></c><c r="AM158" s="11"><f>AK158/(AJ158-AI158*AM157)</f><v /></c><c r="AN158" s="11"><f>(AL158-AI158*AN157)/(AJ158-AI158*AM157)</f><v /></c><c r="AO158" s="15"><f>AN158</f><v /></c><c r="AP158" s="11"><f>IF(25&gt;$B$49+$B$50,$G$55*$B$54^$H$55,$E$55*$B$52^$F$55)</f><v /></c><c r="AQ158" s="11"><f>IF(25=1,0,$B$57)</f><v /></c><c r="AR158" s="11"><f>-($B$57+(IF(25&lt;=$B$49,$B$56*$B$58+$B$55,IF(25&lt;=$B$49+$B$50,$B$56*$B$58,$B$56)))/AP158)</f><v /></c><c r="AS158" s="11"><f>0</f><v /></c><c r="AT158" s="11"><f>IF(25=$B$49,-$K$55*$B$55,0)</f><v /></c><c r="AU158" s="11"><f>AS158/(AR158-AQ158*AU157)</f><v /></c><c r="AV158" s="11"><f>(AT158-AQ158*AV157)/(AR158-AQ158*AU157)</f><v /></c><c r="AW158" s="15"><f>AV158</f><v /></c><c r="AX158" s="11"><f>IF(25&gt;$B$49+$B$50,$G$56*$B$54^$H$56,$E$56*$B$52^$F$56)</f><v /></c><c r="AY158" s="11"><f>IF(25=1,0,$B$57)</f><v /></c><c r="AZ158" s="11"><f>-($B$57+(IF(25&lt;=$B$49,$B$56*$B$58+$B$55,IF(25&lt;=$B$49+$B$50,$B$56*$B$58,$B$56)))/AX158)</f><v /></c><c r="BA158" s="11"><f>0</f><v /></c><c r="BB158" s="11"><f>IF(25=$B$49,-$K$56*$B$55,0)</f><v /></c><c r="BC158" s="11"><f>BA158/(AZ158-AY158*BC157)</f><v /></c><c r="BD158" s="11"><f>(BB158-AY158*BD157)/(AZ158-AY158*BC157)</f><v /></c><c r="BE158" s="15"><f>BD158</f><v /></c><c r="BF158" s="11"><f>IF(25&gt;$B$49+$B$50,$G$57*$B$54^$H$57,$E$57*$B$52^$F$57)</f><v /></c><c r="BG158" s="11"><f>IF(25=1,0,$B$57)</f><v /></c><c r="BH158" s="11"><f>-($B$57+(IF(25&lt;=$B$49,$B$56*$B$58+$B$55,IF(25&lt;=$B$49+$B$50,$B$56*$B$58,$B$56)))/BF158)</f><v /></c><c r="BI158" s="11"><f>0</f><v /></c><c r="BJ158" s="11"><f>IF(25=$B$49,-$K$57*$B$55,0)</f><v /></c><c r="BK158" s="11"><f>BI158/(BH158-BG158*BK157)</f><v /></c><c r="BL158" s="11"><f>(BJ158-BG158*BL157)/(BH158-BG158*BK157)</f><v /></c><c r="BM158" s="15"><f>BL158</f><v /></c><c r="BN158" s="11"><f>IF(25&gt;$B$49+$B$50,$G$58*$B$54^$H$58,$E$58*$B$52^$F$58)</f><v /></c><c r="BO158" s="11"><f>IF(25=1,0,$B$57)</f><v /></c><c r="BP158" s="11"><f>-($B$57+(IF(25&lt;=$B$49,$B$56*$B$58+$B$55,IF(25&lt;=$B$49+$B$50,$B$56*$B$58,$B$56)))/BN158)</f><v /></c><c r="BQ158" s="11"><f>0</f><v /></c><c r="BR158" s="11"><f>IF(25=$B$49,-$K$58*$B$55,0)</f><v /></c><c r="BS158" s="11"><f>BQ158/(BP158-BO158*BS157)</f><v /></c><c r="BT158" s="11"><f>(BR158-BO158*BT157)/(BP158-BO158*BS157)</f><v /></c><c r="BU158" s="15"><f>BT158</f><v /></c><c r="BV158" s="11"><f>IF(25&gt;$B$49+$B$50,$G$59*$B$54^$H$59,$E$59*$B$52^$F$59)</f><v /></c><c r="BW158" s="11"><f>IF(25=1,0,$B$57)</f><v /></c><c r="BX158" s="11"><f>-($B$57+(IF(25&lt;=$B$49,$B$56*$B$58+$B$55,IF(25&lt;=$B$49+$B$50,$B$56*$B$58,$B$56)))/BV158)</f><v /></c><c r="BY158" s="11"><f>0</f><v /></c><c r="BZ158" s="11"><f>IF(25=$B$49,-$K$59*$B$55,0)</f><v /></c><c r="CA158" s="11"><f>BY158/(BX158-BW158*CA157)</f><v /></c><c r="CB158" s="11"><f>(BZ158-BW158*CB157)/(BX158-BW158*CA157)</f><v /></c><c r="CC158" s="15"><f>CB158</f><v /></c><c r="CD158" s="11"><f>IF(25&gt;$B$49+$B$50,$G$60*$B$54^$H$60,$E$60*$B$52^$F$60)</f><v /></c><c r="CE158" s="11"><f>IF(25=1,0,$B$57)</f><v /></c><c r="CF158" s="11"><f>-($B$57+(IF(25&lt;=$B$49,$B$56*$B$58+$B$55,IF(25&lt;=$B$49+$B$50,$B$56*$B$58,$B$56)))/CD158)</f><v /></c><c r="CG158" s="11"><f>0</f><v /></c><c r="CH158" s="11"><f>IF(25=$B$49,-$K$60*$B$55,0)</f><v /></c><c r="CI158" s="11"><f>CG158/(CF158-CE158*CI157)</f><v /></c><c r="CJ158" s="11"><f>(CH158-CE158*CJ157)/(CF158-CE158*CI157)</f><v /></c><c r="CK158" s="15"><f>CJ158</f><v /></c><c r="CL158" s="11"><f>IF(25&gt;$B$49+$B$50,$G$61*$B$54^$H$61,$E$61*$B$52^$F$61)</f><v /></c><c r="CM158" s="11"><f>IF(25=1,0,$B$57)</f><v /></c><c r="CN158" s="11"><f>-($B$57+(IF(25&lt;=$B$49,$B$56*$B$58+$B$55,IF(25&lt;=$B$49+$B$50,$B$56*$B$58,$B$56)))/CL158)</f><v /></c><c r="CO158" s="11"><f>0</f><v /></c><c r="CP158" s="11"><f>IF(25=$B$49,-$K$61*$B$55,0)</f><v /></c><c r="CQ158" s="11"><f>CO158/(CN158-CM158*CQ157)</f><v /></c><c r="CR158" s="11"><f>(CP158-CM158*CR157)/(CN158-CM158*CQ157)</f><v /></c><c r="CS158" s="15"><f>CR158</f><v /></c><c r="CT158" s="11"><f>IF(25&gt;$B$49+$B$50,$G$62*$B$54^$H$62,$E$62*$B$52^$F$62)</f><v /></c><c r="CU158" s="11"><f>IF(25=1,0,$B$57)</f><v /></c><c r="CV158" s="11"><f>-($B$57+(IF(25&lt;=$B$49,$B$56*$B$58+$B$55,IF(25&lt;=$B$49+$B$50,$B$56*$B$58,$B$56)))/CT158)</f><v /></c><c r="CW158" s="11"><f>0</f><v /></c><c r="CX158" s="11"><f>IF(25=$B$49,-$K$62*$B$55,0)</f><v /></c><c r="CY158" s="11"><f>CW158/(CV158-CU158*CY157)</f><v /></c><c r="CZ158" s="11"><f>(CX158-CU158*CZ157)/(CV158-CU158*CY157)</f><v /></c><c r="DA158" s="15"><f>CZ158</f><v /></c><c r="DB158" s="11"><f>IF(25&gt;$B$49+$B$50,$G$63*$B$54^$H$63,$E$63*$B$52^$F$63)</f><v /></c><c r="DC158" s="11"><f>IF(25=1,0,$B$57)</f><v /></c><c r="DD158" s="11"><f>-($B$57+(IF(25&lt;=$B$49,$B$56*$B$58+$B$55,IF(25&lt;=$B$49+$B$50,$B$56*$B$58,$B$56)))/DB158)</f><v /></c><c r="DE158" s="11"><f>0</f><v /></c><c r="DF158" s="11"><f>IF(25=$B$49,-$K$63*$B$55,0)</f><v /></c><c r="DG158" s="11"><f>DE158/(DD158-DC158*DG157)</f><v /></c><c r="DH158" s="11"><f>(DF158-DC158*DH157)/(DD158-DC158*DG157)</f><v /></c><c r="DI158" s="15"><f>DH158</f><v /></c><c r="DJ158" s="11"><f>IF(25&gt;$B$49+$B$50,$G$64*$B$54^$H$64,$E$64*$B$52^$F$64)</f><v /></c><c r="DK158" s="11"><f>IF(25=1,0,$B$57)</f><v /></c><c r="DL158" s="11"><f>-($B$57+(IF(25&lt;=$B$49,$B$56*$B$58+$B$55,IF(25&lt;=$B$49+$B$50,$B$56*$B$58,$B$56)))/DJ158)</f><v /></c><c r="DM158" s="11"><f>0</f><v /></c><c r="DN158" s="11"><f>IF(25=$B$49,-$K$64*$B$55,0)</f><v /></c><c r="DO158" s="11"><f>DM158/(DL158-DK158*DO157)</f><v /></c><c r="DP158" s="11"><f>(DN158-DK158*DP157)/(DL158-DK158*DO157)</f><v /></c><c r="DQ158" s="15"><f>DP158</f><v /></c><c r="DR158" s="11"><f>IF(25&gt;$B$49+$B$50,$G$65*$B$54^$H$65,$E$65*$B$52^$F$65)</f><v /></c><c r="DS158" s="11"><f>IF(25=1,0,$B$57)</f><v /></c><c r="DT158" s="11"><f>-($B$57+(IF(25&lt;=$B$49,$B$56*$B$58+$B$55,IF(25&lt;=$B$49+$B$50,$B$56*$B$58,$B$56)))/DR158)</f><v /></c><c r="DU158" s="11"><f>0</f><v /></c><c r="DV158" s="11"><f>IF(25=$B$49,-$K$65*$B$55,0)</f><v /></c><c r="DW158" s="11"><f>DU158/(DT158-DS158*DW157)</f><v /></c><c r="DX158" s="11"><f>(DV158-DS158*DX157)/(DT158-DS158*DW157)</f><v /></c><c r="DY158" s="15"><f>DX158</f><v /></c><c r="DZ158" s="11"><f>IF(25&gt;$B$49+$B$50,$G$66*$B$54^$H$66,$E$66*$B$52^$F$66)</f><v /></c><c r="EA158" s="11"><f>IF(25=1,0,$B$57)</f><v /></c><c r="EB158" s="11"><f>-($B$57+(IF(25&lt;=$B$49,$B$56*$B$58+$B$55,IF(25&lt;=$B$49+$B$50,$B$56*$B$58,$B$56)))/DZ158)</f><v /></c><c r="EC158" s="11"><f>0</f><v /></c><c r="ED158" s="11"><f>IF(25=$B$49,-$K$66*$B$55,0)</f><v /></c><c r="EE158" s="11"><f>EC158/(EB158-EA158*EE157)</f><v /></c><c r="EF158" s="11"><f>(ED158-EA158*EF157)/(EB158-EA158*EE157)</f><v /></c><c r="EG158" s="15"><f>EF158</f><v /></c><c r="EH158" s="11"><f>IF(25&gt;$B$49+$B$50,$G$67*$B$54^$H$67,$E$67*$B$52^$F$67)</f><v /></c><c r="EI158" s="11"><f>IF(25=1,0,$B$57)</f><v /></c><c r="EJ158" s="11"><f>-($B$57+(IF(25&lt;=$B$49,$B$56*$B$58+$B$55,IF(25&lt;=$B$49+$B$50,$B$56*$B$58,$B$56)))/EH158)</f><v /></c><c r="EK158" s="11"><f>0</f><v /></c><c r="EL158" s="11"><f>IF(25=$B$49,-$K$67*$B$55,0)</f><v /></c><c r="EM158" s="11"><f>EK158/(EJ158-EI158*EM157)</f><v /></c><c r="EN158" s="11"><f>(EL158-EI158*EN157)/(EJ158-EI158*EM157)</f><v /></c><c r="EO158" s="15"><f>EN158</f><v /></c><c r="EP158" s="11"><f>IF(25&gt;$B$49+$B$50,$G$68*$B$54^$H$68,$E$68*$B$52^$F$68)</f><v /></c><c r="EQ158" s="11"><f>IF(25=1,0,$B$57)</f><v /></c><c r="ER158" s="11"><f>-($B$57+(IF(25&lt;=$B$49,$B$56*$B$58+$B$55,IF(25&lt;=$B$49+$B$50,$B$56*$B$58,$B$56)))/EP158)</f><v /></c><c r="ES158" s="11"><f>0</f><v /></c><c r="ET158" s="11"><f>IF(25=$B$49,-$K$68*$B$55,0)</f><v /></c><c r="EU158" s="11"><f>ES158/(ER158-EQ158*EU157)</f><v /></c><c r="EV158" s="11"><f>(ET158-EQ158*EV157)/(ER158-EQ158*EU157)</f><v /></c><c r="EW158" s="15"><f>EV158</f><v /></c><c r="EX158" s="11"><f>IF(25&gt;$B$49+$B$50,$G$69*$B$54^$H$69,$E$69*$B$52^$F$69)</f><v /></c><c r="EY158" s="11"><f>IF(25=1,0,$B$57)</f><v /></c><c r="EZ158" s="11"><f>-($B$57+(IF(25&lt;=$B$49,$B$56*$B$58+$B$55,IF(25&lt;=$B$49+$B$50,$B$56*$B$58,$B$56)))/EX158)</f><v /></c><c r="FA158" s="11"><f>0</f><v /></c><c r="FB158" s="11"><f>IF(25=$B$49,-$K$69*$B$55,0)</f><v /></c><c r="FC158" s="11"><f>FA158/(EZ158-EY158*FC157)</f><v /></c><c r="FD158" s="11"><f>(FB158-EY158*FD157)/(EZ158-EY158*FC157)</f><v /></c><c r="FE158" s="15"><f>FD158</f><v /></c><c r="FF158" s="11"><f>IF(25&gt;$B$49+$B$50,$G$70*$B$54^$H$70,$E$70*$B$52^$F$70)</f><v /></c><c r="FG158" s="11"><f>IF(25=1,0,$B$57)</f><v /></c><c r="FH158" s="11"><f>-($B$57+(IF(25&lt;=$B$49,$B$56*$B$58+$B$55,IF(25&lt;=$B$49+$B$50,$B$56*$B$58,$B$56)))/FF158)</f><v /></c><c r="FI158" s="11"><f>0</f><v /></c><c r="FJ158" s="11"><f>IF(25=$B$49,-$K$70*$B$55,0)</f><v /></c><c r="FK158" s="11"><f>FI158/(FH158-FG158*FK157)</f><v /></c><c r="FL158" s="11"><f>(FJ158-FG158*FL157)/(FH158-FG158*FK157)</f><v /></c><c r="FM158" s="15"><f>FL158</f><v /></c><c r="FN158" s="11"><f>IF(25&gt;$B$49+$B$50,$G$71*$B$54^$H$71,$E$71*$B$52^$F$71)</f><v /></c><c r="FO158" s="11"><f>IF(25=1,0,$B$57)</f><v /></c><c r="FP158" s="11"><f>-($B$57+(IF(25&lt;=$B$49,$B$56*$B$58+$B$55,IF(25&lt;=$B$49+$B$50,$B$56*$B$58,$B$56)))/FN158)</f><v /></c><c r="FQ158" s="11"><f>0</f><v /></c><c r="FR158" s="11"><f>IF(25=$B$49,-$K$71*$B$55,0)</f><v /></c><c r="FS158" s="11"><f>FQ158/(FP158-FO158*FS157)</f><v /></c><c r="FT158" s="11"><f>(FR158-FO158*FT157)/(FP158-FO158*FS157)</f><v /></c><c r="FU158" s="15"><f>FT158</f><v /></c><c r="FV158" s="11"><f>IF(25&gt;$B$49+$B$50,$G$72*$B$54^$H$72,$E$72*$B$52^$F$72)</f><v /></c><c r="FW158" s="11"><f>IF(25=1,0,$B$57)</f><v /></c><c r="FX158" s="11"><f>-($B$57+(IF(25&lt;=$B$49,$B$56*$B$58+$B$55,IF(25&lt;=$B$49+$B$50,$B$56*$B$58,$B$56)))/FV158)</f><v /></c><c r="FY158" s="11"><f>0</f><v /></c><c r="FZ158" s="11"><f>IF(25=$B$49,-$K$72*$B$55,0)</f><v /></c><c r="GA158" s="11"><f>FY158/(FX158-FW158*GA157)</f><v /></c><c r="GB158" s="11"><f>(FZ158-FW158*GB157)/(FX158-FW158*GA157)</f><v /></c><c r="GC158" s="15"><f>GB158</f><v /></c><c r="GD158" s="11"><f>IF(25&gt;$B$49+$B$50,$G$73*$B$54^$H$73,$E$73*$B$52^$F$73)</f><v /></c><c r="GE158" s="11"><f>IF(25=1,0,$B$57)</f><v /></c><c r="GF158" s="11"><f>-($B$57+(IF(25&lt;=$B$49,$B$56*$B$58+$B$55,IF(25&lt;=$B$49+$B$50,$B$56*$B$58,$B$56)))/GD158)</f><v /></c><c r="GG158" s="11"><f>0</f><v /></c><c r="GH158" s="11"><f>IF(25=$B$49,-$K$73*$B$55,0)</f><v /></c><c r="GI158" s="11"><f>GG158/(GF158-GE158*GI157)</f><v /></c><c r="GJ158" s="11"><f>(GH158-GE158*GJ157)/(GF158-GE158*GI157)</f><v /></c><c r="GK158" s="15"><f>GJ158</f><v /></c><c r="GL158" s="11"><f>IF(25&gt;$B$49+$B$50,$G$74*$B$54^$H$74,$E$74*$B$52^$F$74)</f><v /></c><c r="GM158" s="11"><f>IF(25=1,0,$B$57)</f><v /></c><c r="GN158" s="11"><f>-($B$57+(IF(25&lt;=$B$49,$B$56*$B$58+$B$55,IF(25&lt;=$B$49+$B$50,$B$56*$B$58,$B$56)))/GL158)</f><v /></c><c r="GO158" s="11"><f>0</f><v /></c><c r="GP158" s="11"><f>IF(25=$B$49,-$K$74*$B$55,0)</f><v /></c><c r="GQ158" s="11"><f>GO158/(GN158-GM158*GQ157)</f><v /></c><c r="GR158" s="11"><f>(GP158-GM158*GR157)/(GN158-GM158*GQ157)</f><v /></c><c r="GS158" s="15"><f>GR158</f><v /></c><c r="GT158" s="11"><f>IF(25&gt;$B$49+$B$50,$G$75*$B$54^$H$75,$E$75*$B$52^$F$75)</f><v /></c><c r="GU158" s="11"><f>IF(25=1,0,$B$57)</f><v /></c><c r="GV158" s="11"><f>-($B$57+(IF(25&lt;=$B$49,$B$56*$B$58+$B$55,IF(25&lt;=$B$49+$B$50,$B$56*$B$58,$B$56)))/GT158)</f><v /></c><c r="GW158" s="11"><f>0</f><v /></c><c r="GX158" s="11"><f>IF(25=$B$49,-$K$75*$B$55,0)</f><v /></c><c r="GY158" s="11"><f>GW158/(GV158-GU158*GY157)</f><v /></c><c r="GZ158" s="11"><f>(GX158-GU158*GZ157)/(GV158-GU158*GY157)</f><v /></c><c r="HA158" s="15"><f>GZ158</f><v /></c><c r="HB158" s="13"><f>IFERROR(I158/B158,0)</f><v /></c><c r="HC158" s="13"><f>IFERROR(Q158/J158,0)</f><v /></c><c r="HD158" s="13"><f>IFERROR(Y158/R158,0)</f><v /></c><c r="HE158" s="13"><f>IFERROR(AG158/Z158,0)</f><v /></c><c r="HF158" s="13"><f>IFERROR(AO158/AH158,0)</f><v /></c><c r="HG158" s="13"><f>IFERROR(AW158/AP158,0)</f><v /></c><c r="HH158" s="13"><f>IFERROR(BE158/AX158,0)</f><v /></c><c r="HI158" s="13"><f>IFERROR(BM158/BF158,0)</f><v /></c><c r="HJ158" s="13"><f>IFERROR(BU158/BN158,0)</f><v /></c><c r="HK158" s="13"><f>IFERROR(CC158/BV158,0)</f><v /></c><c r="HL158" s="13"><f>IFERROR(CK158/CD158,0)</f><v /></c><c r="HM158" s="13"><f>IFERROR(CS158/CL158,0)</f><v /></c><c r="HN158" s="13"><f>IFERROR(DA158/CT158,0)</f><v /></c><c r="HO158" s="13"><f>IFERROR(DI158/DB158,0)</f><v /></c><c r="HP158" s="13"><f>IFERROR(DQ158/DJ158,0)</f><v /></c><c r="HQ158" s="13"><f>IFERROR(DY158/DR158,0)</f><v /></c><c r="HR158" s="13"><f>IFERROR(EG158/DZ158,0)</f><v /></c><c r="HS158" s="13"><f>IFERROR(EO158/EH158,0)</f><v /></c><c r="HT158" s="13"><f>IFERROR(EW158/EP158,0)</f><v /></c><c r="HU158" s="13"><f>IFERROR(FE158/EX158,0)</f><v /></c><c r="HV158" s="13"><f>IFERROR(FM158/FF158,0)</f><v /></c><c r="HW158" s="13"><f>IFERROR(FU158/FN158,0)</f><v /></c><c r="HX158" s="13"><f>IFERROR(GC158/FV158,0)</f><v /></c><c r="HY158" s="13"><f>IFERROR(GK158/GD158,0)</f><v /></c><c r="HZ158" s="13"><f>IFERROR(GS158/GL158,0)</f><v /></c><c r="IA158" s="13"><f>IFERROR(HA158/GT158,0)</f><v /></c><c r="IB158" s="13"><f>I158+Q158+Y158+AG158+AO158+AW158+BE158+BM158+BU158+CC158+CK158+CS158+DA158+DI158+DQ158+DY158+EG158+EO158+EW158+FE158+FM158+FU158+GC158+GK158+GS158+HA158</f><v /></c><c r="IC158" s="13"><f>HB158+HC158+HD158+HE158+HF158+HG158+HH158+HI158+HJ158+HK158+HL158+HM158+HN158+HO158+HP158+HQ158+HR158+HS158+HT158+HU158+HV158+HW158+HX158+HY158+HZ158+IA158</f><v /></c></row><row r="162" ht="18" customHeight="1"><c r="A162" s="17" t="inlineStr"><is><t>STAGE AQUEOUS PROFILES  (g/L)</t></is></c></row><row r="163" ht="16" customHeight="1"><c r="A163" s="10" t="inlineStr"><is><t>Stage</t></is></c><c r="B163" s="21" t="inlineStr"><is><t>x_aq Al</t></is></c><c r="C163" s="21" t="inlineStr"><is><t>x_aq Sc</t></is></c><c r="D163" s="21" t="inlineStr"><is><t>x_aq Fe</t></is></c><c r="E163" s="21" t="inlineStr"><is><t>x_aq Co</t></is></c><c r="F163" s="21" t="inlineStr"><is><t>x_aq Zn</t></is></c><c r="G163" s="21" t="inlineStr"><is><t>x_aq Ga</t></is></c><c r="H163" s="21" t="inlineStr"><is><t>x_aq Rb</t></is></c><c r="I163" s="21" t="inlineStr"><is><t>x_aq Y</t></is></c><c r="J163" s="21" t="inlineStr"><is><t>x_aq Zr</t></is></c><c r="K163" s="21" t="inlineStr"><is><t>x_aq La</t></is></c><c r="L163" s="21" t="inlineStr"><is><t>x_aq Ce</t></is></c><c r="M163" s="21" t="inlineStr"><is><t>x_aq Pr</t></is></c><c r="N163" s="21" t="inlineStr"><is><t>x_aq Nd</t></is></c><c r="O163" s="21" t="inlineStr"><is><t>x_aq Sm</t></is></c><c r="P163" s="21" t="inlineStr"><is><t>x_aq Eu</t></is></c><c r="Q163" s="21" t="inlineStr"><is><t>x_aq Gd</t></is></c><c r="R163" s="21" t="inlineStr"><is><t>x_aq Tb</t></is></c><c r="S163" s="21" t="inlineStr"><is><t>x_aq Dy</t></is></c><c r="T163" s="21" t="inlineStr"><is><t>x_aq Ho</t></is></c><c r="U163" s="21" t="inlineStr"><is><t>x_aq Er</t></is></c><c r="V163" s="21" t="inlineStr"><is><t>x_aq Tm</t></is></c><c r="W163" s="21" t="inlineStr"><is><t>x_aq Yb</t></is></c><c r="X163" s="21" t="inlineStr"><is><t>x_aq Lu</t></is></c><c r="Y163" s="21" t="inlineStr"><is><t>x_aq Hf</t></is></c><c r="Z163" s="21" t="inlineStr"><is><t>x_aq Th</t></is></c><c r="AA163" s="21" t="inlineStr"><is><t>x_aq U</t></is></c></row><row r="164" ht="13" customHeight="1"><c r="A164" s="11" t="n"><v>1</v></c><c r="B164" s="13"><f>HB134</f><v /></c><c r="C164" s="13"><f>HC134</f><v /></c><c r="D164" s="13"><f>HD134</f><v /></c><c r="E164" s="13"><f>HE134</f><v /></c><c r="F164" s="13"><f>HF134</f><v /></c><c r="G164" s="13"><f>HG134</f><v /></c><c r="H164" s="13"><f>HH134</f><v /></c><c r="I164" s="13"><f>HI134</f><v /></c><c r="J164" s="13"><f>HJ134</f><v /></c><c r="K164" s="13"><f>HK134</f><v /></c><c r="L164" s="13"><f>HL134</f><v /></c><c r="M164" s="13"><f>HM134</f><v /></c><c r="N164" s="13"><f>HN134</f><v /></c><c r="O164" s="13"><f>HO134</f><v /></c><c r="P164" s="13"><f>HP134</f><v /></c><c r="Q164" s="13"><f>HQ134</f><v /></c><c r="R164" s="13"><f>HR134</f><v /></c><c r="S164" s="13"><f>HS134</f><v /></c><c r="T164" s="13"><f>HT134</f><v /></c><c r="U164" s="13"><f>HU134</f><v /></c><c r="V164" s="13"><f>HV134</f><v /></c><c r="W164" s="13"><f>HW134</f><v /></c><c r="X164" s="13"><f>HX134</f><v /></c><c r="Y164" s="13"><f>HY134</f><v /></c><c r="Z164" s="13"><f>HZ134</f><v /></c><c r="AA164" s="13"><f>IA134</f><v /></c></row><row r="165" ht="13" customHeight="1"><c r="A165" s="11" t="n"><v>2</v></c><c r="B165" s="13"><f>HB135</f><v /></c><c r="C165" s="13"><f>HC135</f><v /></c><c r="D165" s="13"><f>HD135</f><v /></c><c r="E165" s="13"><f>HE135</f><v /></c><c r="F165" s="13"><f>HF135</f><v /></c><c r="G165" s="13"><f>HG135</f><v /></c><c r="H165" s="13"><f>HH135</f><v /></c><c r="I165" s="13"><f>HI135</f><v /></c><c r="J165" s="13"><f>HJ135</f><v /></c><c r="K165" s="13"><f>HK135</f><v /></c><c r="L165" s="13"><f>HL135</f><v /></c><c r="M165" s="13"><f>HM135</f><v /></c><c r="N165" s="13"><f>HN135</f><v /></c><c r="O165" s="13"><f>HO135</f><v /></c><c r="P165" s="13"><f>HP135</f><v /></c><c r="Q165" s="13"><f>HQ135</f><v /></c><c r="R165" s="13"><f>HR135</f><v /></c><c r="S165" s="13"><f>HS135</f><v /></c><c r="T165" s="13"><f>HT135</f><v /></c><c r="U165" s="13"><f>HU135</f><v /></c><c r="V165" s="13"><f>HV135</f><v /></c><c r="W165" s="13"><f>HW135</f><v /></c><c r="X165" s="13"><f>HX135</f><v /></c><c r="Y165" s="13"><f>HY135</f><v /></c><c r="Z165" s="13"><f>HZ135</f><v /></c><c r="AA165" s="13"><f>IA135</f><v /></c></row><row r="166" ht="13" customHeight="1"><c r="A166" s="11" t="n"><v>3</v></c><c r="B166" s="13"><f>HB136</f><v /></c><c r="C166" s="13"><f>HC136</f><v /></c><c r="D166" s="13"><f>HD136</f><v /></c><c r="E166" s="13"><f>HE136</f><v /></c><c r="F166" s="13"><f>HF136</f><v /></c><c r="G166" s="13"><f>HG136</f><v /></c><c r="H166" s="13"><f>HH136</f><v /></c><c r="I166" s="13"><f>HI136</f><v /></c><c r="J166" s="13"><f>HJ136</f><v /></c><c r="K166" s="13"><f>HK136</f><v /></c><c r="L166" s="13"><f>HL136</f><v /></c><c r="M166" s="13"><f>HM136</f><v /></c><c r="N166" s="13"><f>HN136</f><v /></c><c r="O166" s="13"><f>HO136</f><v /></c><c r="P166" s="13"><f>HP136</f><v /></c><c r="Q166" s="13"><f>HQ136</f><v /></c><c r="R166" s="13"><f>HR136</f><v /></c><c r="S166" s="13"><f>HS136</f><v /></c><c r="T166" s="13"><f>HT136</f><v /></c><c r="U166" s="13"><f>HU136</f><v /></c><c r="V166" s="13"><f>HV136</f><v /></c><c r="W166" s="13"><f>HW136</f><v /></c><c r="X166" s="13"><f>HX136</f><v /></c><c r="Y166" s="13"><f>HY136</f><v /></c><c r="Z166" s="13"><f>HZ136</f><v /></c><c r="AA166" s="13"><f>IA136</f><v /></c></row><row r="167" ht="13" customHeight="1"><c r="A167" s="11" t="n"><v>4</v></c><c r="B167" s="13"><f>HB137</f><v /></c><c r="C167" s="13"><f>HC137</f><v /></c><c r="D167" s="13"><f>HD137</f><v /></c><c r="E167" s="13"><f>HE137</f><v /></c><c r="F167" s="13"><f>HF137</f><v /></c><c r="G167" s="13"><f>HG137</f><v /></c><c r="H167" s="13"><f>HH137</f><v /></c><c r="I167" s="13"><f>HI137</f><v /></c><c r="J167" s="13"><f>HJ137</f><v /></c><c r="K167" s="13"><f>HK137</f><v /></c><c r="L167" s="13"><f>HL137</f><v /></c><c r="M167" s="13"><f>HM137</f><v /></c><c r="N167" s="13"><f>HN137</f><v /></c><c r="O167" s="13"><f>HO137</f><v /></c><c r="P167" s="13"><f>HP137</f><v /></c><c r="Q167" s="13"><f>HQ137</f><v /></c><c r="R167" s="13"><f>HR137</f><v /></c><c r="S167" s="13"><f>HS137</f><v /></c><c r="T167" s="13"><f>HT137</f><v /></c><c r="U167" s="13"><f>HU137</f><v /></c><c r="V167" s="13"><f>HV137</f><v /></c><c r="W167" s="13"><f>HW137</f><v /></c><c r="X167" s="13"><f>HX137</f><v /></c><c r="Y167" s="13"><f>HY137</f><v /></c><c r="Z167" s="13"><f>HZ137</f><v /></c><c r="AA167" s="13"><f>IA137</f><v /></c></row><row r="168" ht="13" customHeight="1"><c r="A168" s="11" t="n"><v>5</v></c><c r="B168" s="13"><f>HB138</f><v /></c><c r="C168" s="13"><f>HC138</f><v /></c><c r="D168" s="13"><f>HD138</f><v /></c><c r="E168" s="13"><f>HE138</f><v /></c><c r="F168" s="13"><f>HF138</f><v /></c><c r="G168" s="13"><f>HG138</f><v /></c><c r="H168" s="13"><f>HH138</f><v /></c><c r="I168" s="13"><f>HI138</f><v /></c><c r="J168" s="13"><f>HJ138</f><v /></c><c r="K168" s="13"><f>HK138</f><v /></c><c r="L168" s="13"><f>HL138</f><v /></c><c r="M168" s="13"><f>HM138</f><v /></c><c r="N168" s="13"><f>HN138</f><v /></c><c r="O168" s="13"><f>HO138</f><v /></c><c r="P168" s="13"><f>HP138</f><v /></c><c r="Q168" s="13"><f>HQ138</f><v /></c><c r="R168" s="13"><f>HR138</f><v /></c><c r="S168" s="13"><f>HS138</f><v /></c><c r="T168" s="13"><f>HT138</f><v /></c><c r="U168" s="13"><f>HU138</f><v /></c><c r="V168" s="13"><f>HV138</f><v /></c><c r="W168" s="13"><f>HW138</f><v /></c><c r="X168" s="13"><f>HX138</f><v /></c><c r="Y168" s="13"><f>HY138</f><v /></c><c r="Z168" s="13"><f>HZ138</f><v /></c><c r="AA168" s="13"><f>IA138</f><v /></c></row><row r="169" ht="13" customHeight="1"><c r="A169" s="11" t="n"><v>6</v></c><c r="B169" s="13"><f>HB139</f><v /></c><c r="C169" s="13"><f>HC139</f><v /></c><c r="D169" s="13"><f>HD139</f><v /></c><c r="E169" s="13"><f>HE139</f><v /></c><c r="F169" s="13"><f>HF139</f><v /></c><c r="G169" s="13"><f>HG139</f><v /></c><c r="H169" s="13"><f>HH139</f><v /></c><c r="I169" s="13"><f>HI139</f><v /></c><c r="J169" s="13"><f>HJ139</f><v /></c><c r="K169" s="13"><f>HK139</f><v /></c><c r="L169" s="13"><f>HL139</f><v /></c><c r="M169" s="13"><f>HM139</f><v /></c><c r="N169" s="13"><f>HN139</f><v /></c><c r="O169" s="13"><f>HO139</f><v /></c><c r="P169" s="13"><f>HP139</f><v /></c><c r="Q169" s="13"><f>HQ139</f><v /></c><c r="R169" s="13"><f>HR139</f><v /></c><c r="S169" s="13"><f>HS139</f><v /></c><c r="T169" s="13"><f>HT139</f><v /></c><c r="U169" s="13"><f>HU139</f><v /></c><c r="V169" s="13"><f>HV139</f><v /></c><c r="W169" s="13"><f>HW139</f><v /></c><c r="X169" s="13"><f>HX139</f><v /></c><c r="Y169" s="13"><f>HY139</f><v /></c><c r="Z169" s="13"><f>HZ139</f><v /></c><c r="AA169" s="13"><f>IA139</f><v /></c></row><row r="170" ht="13" customHeight="1"><c r="A170" s="11" t="n"><v>7</v></c><c r="B170" s="13"><f>HB140</f><v /></c><c r="C170" s="13"><f>HC140</f><v /></c><c r="D170" s="13"><f>HD140</f><v /></c><c r="E170" s="13"><f>HE140</f><v /></c><c r="F170" s="13"><f>HF140</f><v /></c><c r="G170" s="13"><f>HG140</f><v /></c><c r="H170" s="13"><f>HH140</f><v /></c><c r="I170" s="13"><f>HI140</f><v /></c><c r="J170" s="13"><f>HJ140</f><v /></c><c r="K170" s="13"><f>HK140</f><v /></c><c r="L170" s="13"><f>HL140</f><v /></c><c r="M170" s="13"><f>HM140</f><v /></c><c r="N170" s="13"><f>HN140</f><v /></c><c r="O170" s="13"><f>HO140</f><v /></c><c r="P170" s="13"><f>HP140</f><v /></c><c r="Q170" s="13"><f>HQ140</f><v /></c><c r="R170" s="13"><f>HR140</f><v /></c><c r="S170" s="13"><f>HS140</f><v /></c><c r="T170" s="13"><f>HT140</f><v /></c><c r="U170" s="13"><f>HU140</f><v /></c><c r="V170" s="13"><f>HV140</f><v /></c><c r="W170" s="13"><f>HW140</f><v /></c><c r="X170" s="13"><f>HX140</f><v /></c><c r="Y170" s="13"><f>HY140</f><v /></c><c r="Z170" s="13"><f>HZ140</f><v /></c><c r="AA170" s="13"><f>IA140</f><v /></c></row><row r="171" ht="13" customHeight="1"><c r="A171" s="11" t="n"><v>8</v></c><c r="B171" s="13"><f>HB141</f><v /></c><c r="C171" s="13"><f>HC141</f><v /></c><c r="D171" s="13"><f>HD141</f><v /></c><c r="E171" s="13"><f>HE141</f><v /></c><c r="F171" s="13"><f>HF141</f><v /></c><c r="G171" s="13"><f>HG141</f><v /></c><c r="H171" s="13"><f>HH141</f><v /></c><c r="I171" s="13"><f>HI141</f><v /></c><c r="J171" s="13"><f>HJ141</f><v /></c><c r="K171" s="13"><f>HK141</f><v /></c><c r="L171" s="13"><f>HL141</f><v /></c><c r="M171" s="13"><f>HM141</f><v /></c><c r="N171" s="13"><f>HN141</f><v /></c><c r="O171" s="13"><f>HO141</f><v /></c><c r="P171" s="13"><f>HP141</f><v /></c><c r="Q171" s="13"><f>HQ141</f><v /></c><c r="R171" s="13"><f>HR141</f><v /></c><c r="S171" s="13"><f>HS141</f><v /></c><c r="T171" s="13"><f>HT141</f><v /></c><c r="U171" s="13"><f>HU141</f><v /></c><c r="V171" s="13"><f>HV141</f><v /></c><c r="W171" s="13"><f>HW141</f><v /></c><c r="X171" s="13"><f>HX141</f><v /></c><c r="Y171" s="13"><f>HY141</f><v /></c><c r="Z171" s="13"><f>HZ141</f><v /></c><c r="AA171" s="13"><f>IA141</f><v /></c></row><row r="172" ht="13" customHeight="1"><c r="A172" s="11" t="n"><v>9</v></c><c r="B172" s="13"><f>HB142</f><v /></c><c r="C172" s="13"><f>HC142</f><v /></c><c r="D172" s="13"><f>HD142</f><v /></c><c r="E172" s="13"><f>HE142</f><v /></c><c r="F172" s="13"><f>HF142</f><v /></c><c r="G172" s="13"><f>HG142</f><v /></c><c r="H172" s="13"><f>HH142</f><v /></c><c r="I172" s="13"><f>HI142</f><v /></c><c r="J172" s="13"><f>HJ142</f><v /></c><c r="K172" s="13"><f>HK142</f><v /></c><c r="L172" s="13"><f>HL142</f><v /></c><c r="M172" s="13"><f>HM142</f><v /></c><c r="N172" s="13"><f>HN142</f><v /></c><c r="O172" s="13"><f>HO142</f><v /></c><c r="P172" s="13"><f>HP142</f><v /></c><c r="Q172" s="13"><f>HQ142</f><v /></c><c r="R172" s="13"><f>HR142</f><v /></c><c r="S172" s="13"><f>HS142</f><v /></c><c r="T172" s="13"><f>HT142</f><v /></c><c r="U172" s="13"><f>HU142</f><v /></c><c r="V172" s="13"><f>HV142</f><v /></c><c r="W172" s="13"><f>HW142</f><v /></c><c r="X172" s="13"><f>HX142</f><v /></c><c r="Y172" s="13"><f>HY142</f><v /></c><c r="Z172" s="13"><f>HZ142</f><v /></c><c r="AA172" s="13"><f>IA142</f><v /></c></row><row r="173" ht="13" customHeight="1"><c r="A173" s="11" t="n"><v>10</v></c><c r="B173" s="13"><f>HB143</f><v /></c><c r="C173" s="13"><f>HC143</f><v /></c><c r="D173" s="13"><f>HD143</f><v /></c><c r="E173" s="13"><f>HE143</f><v /></c><c r="F173" s="13"><f>HF143</f><v /></c><c r="G173" s="13"><f>HG143</f><v /></c><c r="H173" s="13"><f>HH143</f><v /></c><c r="I173" s="13"><f>HI143</f><v /></c><c r="J173" s="13"><f>HJ143</f><v /></c><c r="K173" s="13"><f>HK143</f><v /></c><c r="L173" s="13"><f>HL143</f><v /></c><c r="M173" s="13"><f>HM143</f><v /></c><c r="N173" s="13"><f>HN143</f><v /></c><c r="O173" s="13"><f>HO143</f><v /></c><c r="P173" s="13"><f>HP143</f><v /></c><c r="Q173" s="13"><f>HQ143</f><v /></c><c r="R173" s="13"><f>HR143</f><v /></c><c r="S173" s="13"><f>HS143</f><v /></c><c r="T173" s="13"><f>HT143</f><v /></c><c r="U173" s="13"><f>HU143</f><v /></c><c r="V173" s="13"><f>HV143</f><v /></c><c r="W173" s="13"><f>HW143</f><v /></c><c r="X173" s="13"><f>HX143</f><v /></c><c r="Y173" s="13"><f>HY143</f><v /></c><c r="Z173" s="13"><f>HZ143</f><v /></c><c r="AA173" s="13"><f>IA143</f><v /></c></row><row r="174" ht="13" customHeight="1"><c r="A174" s="11" t="n"><v>11</v></c><c r="B174" s="13"><f>HB144</f><v /></c><c r="C174" s="13"><f>HC144</f><v /></c><c r="D174" s="13"><f>HD144</f><v /></c><c r="E174" s="13"><f>HE144</f><v /></c><c r="F174" s="13"><f>HF144</f><v /></c><c r="G174" s="13"><f>HG144</f><v /></c><c r="H174" s="13"><f>HH144</f><v /></c><c r="I174" s="13"><f>HI144</f><v /></c><c r="J174" s="13"><f>HJ144</f><v /></c><c r="K174" s="13"><f>HK144</f><v /></c><c r="L174" s="13"><f>HL144</f><v /></c><c r="M174" s="13"><f>HM144</f><v /></c><c r="N174" s="13"><f>HN144</f><v /></c><c r="O174" s="13"><f>HO144</f><v /></c><c r="P174" s="13"><f>HP144</f><v /></c><c r="Q174" s="13"><f>HQ144</f><v /></c><c r="R174" s="13"><f>HR144</f><v /></c><c r="S174" s="13"><f>HS144</f><v /></c><c r="T174" s="13"><f>HT144</f><v /></c><c r="U174" s="13"><f>HU144</f><v /></c><c r="V174" s="13"><f>HV144</f><v /></c><c r="W174" s="13"><f>HW144</f><v /></c><c r="X174" s="13"><f>HX144</f><v /></c><c r="Y174" s="13"><f>HY144</f><v /></c><c r="Z174" s="13"><f>HZ144</f><v /></c><c r="AA174" s="13"><f>IA144</f><v /></c></row><row r="175" ht="13" customHeight="1"><c r="A175" s="11" t="n"><v>12</v></c><c r="B175" s="13"><f>HB145</f><v /></c><c r="C175" s="13"><f>HC145</f><v /></c><c r="D175" s="13"><f>HD145</f><v /></c><c r="E175" s="13"><f>HE145</f><v /></c><c r="F175" s="13"><f>HF145</f><v /></c><c r="G175" s="13"><f>HG145</f><v /></c><c r="H175" s="13"><f>HH145</f><v /></c><c r="I175" s="13"><f>HI145</f><v /></c><c r="J175" s="13"><f>HJ145</f><v /></c><c r="K175" s="13"><f>HK145</f><v /></c><c r="L175" s="13"><f>HL145</f><v /></c><c r="M175" s="13"><f>HM145</f><v /></c><c r="N175" s="13"><f>HN145</f><v /></c><c r="O175" s="13"><f>HO145</f><v /></c><c r="P175" s="13"><f>HP145</f><v /></c><c r="Q175" s="13"><f>HQ145</f><v /></c><c r="R175" s="13"><f>HR145</f><v /></c><c r="S175" s="13"><f>HS145</f><v /></c><c r="T175" s="13"><f>HT145</f><v /></c><c r="U175" s="13"><f>HU145</f><v /></c><c r="V175" s="13"><f>HV145</f><v /></c><c r="W175" s="13"><f>HW145</f><v /></c><c r="X175" s="13"><f>HX145</f><v /></c><c r="Y175" s="13"><f>HY145</f><v /></c><c r="Z175" s="13"><f>HZ145</f><v /></c><c r="AA175" s="13"><f>IA145</f><v /></c></row><row r="176" ht="13" customHeight="1"><c r="A176" s="11" t="n"><v>13</v></c><c r="B176" s="13"><f>HB146</f><v /></c><c r="C176" s="13"><f>HC146</f><v /></c><c r="D176" s="13"><f>HD146</f><v /></c><c r="E176" s="13"><f>HE146</f><v /></c><c r="F176" s="13"><f>HF146</f><v /></c><c r="G176" s="13"><f>HG146</f><v /></c><c r="H176" s="13"><f>HH146</f><v /></c><c r="I176" s="13"><f>HI146</f><v /></c><c r="J176" s="13"><f>HJ146</f><v /></c><c r="K176" s="13"><f>HK146</f><v /></c><c r="L176" s="13"><f>HL146</f><v /></c><c r="M176" s="13"><f>HM146</f><v /></c><c r="N176" s="13"><f>HN146</f><v /></c><c r="O176" s="13"><f>HO146</f><v /></c><c r="P176" s="13"><f>HP146</f><v /></c><c r="Q176" s="13"><f>HQ146</f><v /></c><c r="R176" s="13"><f>HR146</f><v /></c><c r="S176" s="13"><f>HS146</f><v /></c><c r="T176" s="13"><f>HT146</f><v /></c><c r="U176" s="13"><f>HU146</f><v /></c><c r="V176" s="13"><f>HV146</f><v /></c><c r="W176" s="13"><f>HW146</f><v /></c><c r="X176" s="13"><f>HX146</f><v /></c><c r="Y176" s="13"><f>HY146</f><v /></c><c r="Z176" s="13"><f>HZ146</f><v /></c><c r="AA176" s="13"><f>IA146</f><v /></c></row><row r="177" ht="13" customHeight="1"><c r="A177" s="11" t="n"><v>14</v></c><c r="B177" s="13"><f>HB147</f><v /></c><c r="C177" s="13"><f>HC147</f><v /></c><c r="D177" s="13"><f>HD147</f><v /></c><c r="E177" s="13"><f>HE147</f><v /></c><c r="F177" s="13"><f>HF147</f><v /></c><c r="G177" s="13"><f>HG147</f><v /></c><c r="H177" s="13"><f>HH147</f><v /></c><c r="I177" s="13"><f>HI147</f><v /></c><c r="J177" s="13"><f>HJ147</f><v /></c><c r="K177" s="13"><f>HK147</f><v /></c><c r="L177" s="13"><f>HL147</f><v /></c><c r="M177" s="13"><f>HM147</f><v /></c><c r="N177" s="13"><f>HN147</f><v /></c><c r="O177" s="13"><f>HO147</f><v /></c><c r="P177" s="13"><f>HP147</f><v /></c><c r="Q177" s="13"><f>HQ147</f><v /></c><c r="R177" s="13"><f>HR147</f><v /></c><c r="S177" s="13"><f>HS147</f><v /></c><c r="T177" s="13"><f>HT147</f><v /></c><c r="U177" s="13"><f>HU147</f><v /></c><c r="V177" s="13"><f>HV147</f><v /></c><c r="W177" s="13"><f>HW147</f><v /></c><c r="X177" s="13"><f>HX147</f><v /></c><c r="Y177" s="13"><f>HY147</f><v /></c><c r="Z177" s="13"><f>HZ147</f><v /></c><c r="AA177" s="13"><f>IA147</f><v /></c></row><row r="178" ht="13" customHeight="1"><c r="A178" s="11" t="n"><v>15</v></c><c r="B178" s="13"><f>HB148</f><v /></c><c r="C178" s="13"><f>HC148</f><v /></c><c r="D178" s="13"><f>HD148</f><v /></c><c r="E178" s="13"><f>HE148</f><v /></c><c r="F178" s="13"><f>HF148</f><v /></c><c r="G178" s="13"><f>HG148</f><v /></c><c r="H178" s="13"><f>HH148</f><v /></c><c r="I178" s="13"><f>HI148</f><v /></c><c r="J178" s="13"><f>HJ148</f><v /></c><c r="K178" s="13"><f>HK148</f><v /></c><c r="L178" s="13"><f>HL148</f><v /></c><c r="M178" s="13"><f>HM148</f><v /></c><c r="N178" s="13"><f>HN148</f><v /></c><c r="O178" s="13"><f>HO148</f><v /></c><c r="P178" s="13"><f>HP148</f><v /></c><c r="Q178" s="13"><f>HQ148</f><v /></c><c r="R178" s="13"><f>HR148</f><v /></c><c r="S178" s="13"><f>HS148</f><v /></c><c r="T178" s="13"><f>HT148</f><v /></c><c r="U178" s="13"><f>HU148</f><v /></c><c r="V178" s="13"><f>HV148</f><v /></c><c r="W178" s="13"><f>HW148</f><v /></c><c r="X178" s="13"><f>HX148</f><v /></c><c r="Y178" s="13"><f>HY148</f><v /></c><c r="Z178" s="13"><f>HZ148</f><v /></c><c r="AA178" s="13"><f>IA148</f><v /></c></row><row r="179" ht="13" customHeight="1"><c r="A179" s="11" t="n"><v>16</v></c><c r="B179" s="13"><f>HB149</f><v /></c><c r="C179" s="13"><f>HC149</f><v /></c><c r="D179" s="13"><f>HD149</f><v /></c><c r="E179" s="13"><f>HE149</f><v /></c><c r="F179" s="13"><f>HF149</f><v /></c><c r="G179" s="13"><f>HG149</f><v /></c><c r="H179" s="13"><f>HH149</f><v /></c><c r="I179" s="13"><f>HI149</f><v /></c><c r="J179" s="13"><f>HJ149</f><v /></c><c r="K179" s="13"><f>HK149</f><v /></c><c r="L179" s="13"><f>HL149</f><v /></c><c r="M179" s="13"><f>HM149</f><v /></c><c r="N179" s="13"><f>HN149</f><v /></c><c r="O179" s="13"><f>HO149</f><v /></c><c r="P179" s="13"><f>HP149</f><v /></c><c r="Q179" s="13"><f>HQ149</f><v /></c><c r="R179" s="13"><f>HR149</f><v /></c><c r="S179" s="13"><f>HS149</f><v /></c><c r="T179" s="13"><f>HT149</f><v /></c><c r="U179" s="13"><f>HU149</f><v /></c><c r="V179" s="13"><f>HV149</f><v /></c><c r="W179" s="13"><f>HW149</f><v /></c><c r="X179" s="13"><f>HX149</f><v /></c><c r="Y179" s="13"><f>HY149</f><v /></c><c r="Z179" s="13"><f>HZ149</f><v /></c><c r="AA179" s="13"><f>IA149</f><v /></c></row><row r="180" ht="13" customHeight="1"><c r="A180" s="11" t="n"><v>17</v></c><c r="B180" s="13"><f>HB150</f><v /></c><c r="C180" s="13"><f>HC150</f><v /></c><c r="D180" s="13"><f>HD150</f><v /></c><c r="E180" s="13"><f>HE150</f><v /></c><c r="F180" s="13"><f>HF150</f><v /></c><c r="G180" s="13"><f>HG150</f><v /></c><c r="H180" s="13"><f>HH150</f><v /></c><c r="I180" s="13"><f>HI150</f><v /></c><c r="J180" s="13"><f>HJ150</f><v /></c><c r="K180" s="13"><f>HK150</f><v /></c><c r="L180" s="13"><f>HL150</f><v /></c><c r="M180" s="13"><f>HM150</f><v /></c><c r="N180" s="13"><f>HN150</f><v /></c><c r="O180" s="13"><f>HO150</f><v /></c><c r="P180" s="13"><f>HP150</f><v /></c><c r="Q180" s="13"><f>HQ150</f><v /></c><c r="R180" s="13"><f>HR150</f><v /></c><c r="S180" s="13"><f>HS150</f><v /></c><c r="T180" s="13"><f>HT150</f><v /></c><c r="U180" s="13"><f>HU150</f><v /></c><c r="V180" s="13"><f>HV150</f><v /></c><c r="W180" s="13"><f>HW150</f><v /></c><c r="X180" s="13"><f>HX150</f><v /></c><c r="Y180" s="13"><f>HY150</f><v /></c><c r="Z180" s="13"><f>HZ150</f><v /></c><c r="AA180" s="13"><f>IA150</f><v /></c></row><row r="181" ht="13" customHeight="1"><c r="A181" s="11" t="n"><v>18</v></c><c r="B181" s="13"><f>HB151</f><v /></c><c r="C181" s="13"><f>HC151</f><v /></c><c r="D181" s="13"><f>HD151</f><v /></c><c r="E181" s="13"><f>HE151</f><v /></c><c r="F181" s="13"><f>HF151</f><v /></c><c r="G181" s="13"><f>HG151</f><v /></c><c r="H181" s="13"><f>HH151</f><v /></c><c r="I181" s="13"><f>HI151</f><v /></c><c r="J181" s="13"><f>HJ151</f><v /></c><c r="K181" s="13"><f>HK151</f><v /></c><c r="L181" s="13"><f>HL151</f><v /></c><c r="M181" s="13"><f>HM151</f><v /></c><c r="N181" s="13"><f>HN151</f><v /></c><c r="O181" s="13"><f>HO151</f><v /></c><c r="P181" s="13"><f>HP151</f><v /></c><c r="Q181" s="13"><f>HQ151</f><v /></c><c r="R181" s="13"><f>HR151</f><v /></c><c r="S181" s="13"><f>HS151</f><v /></c><c r="T181" s="13"><f>HT151</f><v /></c><c r="U181" s="13"><f>HU151</f><v /></c><c r="V181" s="13"><f>HV151</f><v /></c><c r="W181" s="13"><f>HW151</f><v /></c><c r="X181" s="13"><f>HX151</f><v /></c><c r="Y181" s="13"><f>HY151</f><v /></c><c r="Z181" s="13"><f>HZ151</f><v /></c><c r="AA181" s="13"><f>IA151</f><v /></c></row><row r="182" ht="13" customHeight="1"><c r="A182" s="11" t="n"><v>19</v></c><c r="B182" s="13"><f>HB152</f><v /></c><c r="C182" s="13"><f>HC152</f><v /></c><c r="D182" s="13"><f>HD152</f><v /></c><c r="E182" s="13"><f>HE152</f><v /></c><c r="F182" s="13"><f>HF152</f><v /></c><c r="G182" s="13"><f>HG152</f><v /></c><c r="H182" s="13"><f>HH152</f><v /></c><c r="I182" s="13"><f>HI152</f><v /></c><c r="J182" s="13"><f>HJ152</f><v /></c><c r="K182" s="13"><f>HK152</f><v /></c><c r="L182" s="13"><f>HL152</f><v /></c><c r="M182" s="13"><f>HM152</f><v /></c><c r="N182" s="13"><f>HN152</f><v /></c><c r="O182" s="13"><f>HO152</f><v /></c><c r="P182" s="13"><f>HP152</f><v /></c><c r="Q182" s="13"><f>HQ152</f><v /></c><c r="R182" s="13"><f>HR152</f><v /></c><c r="S182" s="13"><f>HS152</f><v /></c><c r="T182" s="13"><f>HT152</f><v /></c><c r="U182" s="13"><f>HU152</f><v /></c><c r="V182" s="13"><f>HV152</f><v /></c><c r="W182" s="13"><f>HW152</f><v /></c><c r="X182" s="13"><f>HX152</f><v /></c><c r="Y182" s="13"><f>HY152</f><v /></c><c r="Z182" s="13"><f>HZ152</f><v /></c><c r="AA182" s="13"><f>IA152</f><v /></c></row><row r="183" ht="13" customHeight="1"><c r="A183" s="11" t="n"><v>20</v></c><c r="B183" s="13"><f>HB153</f><v /></c><c r="C183" s="13"><f>HC153</f><v /></c><c r="D183" s="13"><f>HD153</f><v /></c><c r="E183" s="13"><f>HE153</f><v /></c><c r="F183" s="13"><f>HF153</f><v /></c><c r="G183" s="13"><f>HG153</f><v /></c><c r="H183" s="13"><f>HH153</f><v /></c><c r="I183" s="13"><f>HI153</f><v /></c><c r="J183" s="13"><f>HJ153</f><v /></c><c r="K183" s="13"><f>HK153</f><v /></c><c r="L183" s="13"><f>HL153</f><v /></c><c r="M183" s="13"><f>HM153</f><v /></c><c r="N183" s="13"><f>HN153</f><v /></c><c r="O183" s="13"><f>HO153</f><v /></c><c r="P183" s="13"><f>HP153</f><v /></c><c r="Q183" s="13"><f>HQ153</f><v /></c><c r="R183" s="13"><f>HR153</f><v /></c><c r="S183" s="13"><f>HS153</f><v /></c><c r="T183" s="13"><f>HT153</f><v /></c><c r="U183" s="13"><f>HU153</f><v /></c><c r="V183" s="13"><f>HV153</f><v /></c><c r="W183" s="13"><f>HW153</f><v /></c><c r="X183" s="13"><f>HX153</f><v /></c><c r="Y183" s="13"><f>HY153</f><v /></c><c r="Z183" s="13"><f>HZ153</f><v /></c><c r="AA183" s="13"><f>IA153</f><v /></c></row><row r="184" ht="13" customHeight="1"><c r="A184" s="11" t="n"><v>21</v></c><c r="B184" s="13"><f>HB154</f><v /></c><c r="C184" s="13"><f>HC154</f><v /></c><c r="D184" s="13"><f>HD154</f><v /></c><c r="E184" s="13"><f>HE154</f><v /></c><c r="F184" s="13"><f>HF154</f><v /></c><c r="G184" s="13"><f>HG154</f><v /></c><c r="H184" s="13"><f>HH154</f><v /></c><c r="I184" s="13"><f>HI154</f><v /></c><c r="J184" s="13"><f>HJ154</f><v /></c><c r="K184" s="13"><f>HK154</f><v /></c><c r="L184" s="13"><f>HL154</f><v /></c><c r="M184" s="13"><f>HM154</f><v /></c><c r="N184" s="13"><f>HN154</f><v /></c><c r="O184" s="13"><f>HO154</f><v /></c><c r="P184" s="13"><f>HP154</f><v /></c><c r="Q184" s="13"><f>HQ154</f><v /></c><c r="R184" s="13"><f>HR154</f><v /></c><c r="S184" s="13"><f>HS154</f><v /></c><c r="T184" s="13"><f>HT154</f><v /></c><c r="U184" s="13"><f>HU154</f><v /></c><c r="V184" s="13"><f>HV154</f><v /></c><c r="W184" s="13"><f>HW154</f><v /></c><c r="X184" s="13"><f>HX154</f><v /></c><c r="Y184" s="13"><f>HY154</f><v /></c><c r="Z184" s="13"><f>HZ154</f><v /></c><c r="AA184" s="13"><f>IA154</f><v /></c></row><row r="185" ht="13" customHeight="1"><c r="A185" s="11" t="n"><v>22</v></c><c r="B185" s="13"><f>HB155</f><v /></c><c r="C185" s="13"><f>HC155</f><v /></c><c r="D185" s="13"><f>HD155</f><v /></c><c r="E185" s="13"><f>HE155</f><v /></c><c r="F185" s="13"><f>HF155</f><v /></c><c r="G185" s="13"><f>HG155</f><v /></c><c r="H185" s="13"><f>HH155</f><v /></c><c r="I185" s="13"><f>HI155</f><v /></c><c r="J185" s="13"><f>HJ155</f><v /></c><c r="K185" s="13"><f>HK155</f><v /></c><c r="L185" s="13"><f>HL155</f><v /></c><c r="M185" s="13"><f>HM155</f><v /></c><c r="N185" s="13"><f>HN155</f><v /></c><c r="O185" s="13"><f>HO155</f><v /></c><c r="P185" s="13"><f>HP155</f><v /></c><c r="Q185" s="13"><f>HQ155</f><v /></c><c r="R185" s="13"><f>HR155</f><v /></c><c r="S185" s="13"><f>HS155</f><v /></c><c r="T185" s="13"><f>HT155</f><v /></c><c r="U185" s="13"><f>HU155</f><v /></c><c r="V185" s="13"><f>HV155</f><v /></c><c r="W185" s="13"><f>HW155</f><v /></c><c r="X185" s="13"><f>HX155</f><v /></c><c r="Y185" s="13"><f>HY155</f><v /></c><c r="Z185" s="13"><f>HZ155</f><v /></c><c r="AA185" s="13"><f>IA155</f><v /></c></row><row r="186" ht="13" customHeight="1"><c r="A186" s="11" t="n"><v>23</v></c><c r="B186" s="13"><f>HB156</f><v /></c><c r="C186" s="13"><f>HC156</f><v /></c><c r="D186" s="13"><f>HD156</f><v /></c><c r="E186" s="13"><f>HE156</f><v /></c><c r="F186" s="13"><f>HF156</f><v /></c><c r="G186" s="13"><f>HG156</f><v /></c><c r="H186" s="13"><f>HH156</f><v /></c><c r="I186" s="13"><f>HI156</f><v /></c><c r="J186" s="13"><f>HJ156</f><v /></c><c r="K186" s="13"><f>HK156</f><v /></c><c r="L186" s="13"><f>HL156</f><v /></c><c r="M186" s="13"><f>HM156</f><v /></c><c r="N186" s="13"><f>HN156</f><v /></c><c r="O186" s="13"><f>HO156</f><v /></c><c r="P186" s="13"><f>HP156</f><v /></c><c r="Q186" s="13"><f>HQ156</f><v /></c><c r="R186" s="13"><f>HR156</f><v /></c><c r="S186" s="13"><f>HS156</f><v /></c><c r="T186" s="13"><f>HT156</f><v /></c><c r="U186" s="13"><f>HU156</f><v /></c><c r="V186" s="13"><f>HV156</f><v /></c><c r="W186" s="13"><f>HW156</f><v /></c><c r="X186" s="13"><f>HX156</f><v /></c><c r="Y186" s="13"><f>HY156</f><v /></c><c r="Z186" s="13"><f>HZ156</f><v /></c><c r="AA186" s="13"><f>IA156</f><v /></c></row><row r="187" ht="13" customHeight="1"><c r="A187" s="11" t="n"><v>24</v></c><c r="B187" s="13"><f>HB157</f><v /></c><c r="C187" s="13"><f>HC157</f><v /></c><c r="D187" s="13"><f>HD157</f><v /></c><c r="E187" s="13"><f>HE157</f><v /></c><c r="F187" s="13"><f>HF157</f><v /></c><c r="G187" s="13"><f>HG157</f><v /></c><c r="H187" s="13"><f>HH157</f><v /></c><c r="I187" s="13"><f>HI157</f><v /></c><c r="J187" s="13"><f>HJ157</f><v /></c><c r="K187" s="13"><f>HK157</f><v /></c><c r="L187" s="13"><f>HL157</f><v /></c><c r="M187" s="13"><f>HM157</f><v /></c><c r="N187" s="13"><f>HN157</f><v /></c><c r="O187" s="13"><f>HO157</f><v /></c><c r="P187" s="13"><f>HP157</f><v /></c><c r="Q187" s="13"><f>HQ157</f><v /></c><c r="R187" s="13"><f>HR157</f><v /></c><c r="S187" s="13"><f>HS157</f><v /></c><c r="T187" s="13"><f>HT157</f><v /></c><c r="U187" s="13"><f>HU157</f><v /></c><c r="V187" s="13"><f>HV157</f><v /></c><c r="W187" s="13"><f>HW157</f><v /></c><c r="X187" s="13"><f>HX157</f><v /></c><c r="Y187" s="13"><f>HY157</f><v /></c><c r="Z187" s="13"><f>HZ157</f><v /></c><c r="AA187" s="13"><f>IA157</f><v /></c></row><row r="188" ht="13" customHeight="1"><c r="A188" s="11" t="n"><v>25</v></c><c r="B188" s="13"><f>HB158</f><v /></c><c r="C188" s="13"><f>HC158</f><v /></c><c r="D188" s="13"><f>HD158</f><v /></c><c r="E188" s="13"><f>HE158</f><v /></c><c r="F188" s="13"><f>HF158</f><v /></c><c r="G188" s="13"><f>HG158</f><v /></c><c r="H188" s="13"><f>HH158</f><v /></c><c r="I188" s="13"><f>HI158</f><v /></c><c r="J188" s="13"><f>HJ158</f><v /></c><c r="K188" s="13"><f>HK158</f><v /></c><c r="L188" s="13"><f>HL158</f><v /></c><c r="M188" s="13"><f>HM158</f><v /></c><c r="N188" s="13"><f>HN158</f><v /></c><c r="O188" s="13"><f>HO158</f><v /></c><c r="P188" s="13"><f>HP158</f><v /></c><c r="Q188" s="13"><f>HQ158</f><v /></c><c r="R188" s="13"><f>HR158</f><v /></c><c r="S188" s="13"><f>HS158</f><v /></c><c r="T188" s="13"><f>HT158</f><v /></c><c r="U188" s="13"><f>HU158</f><v /></c><c r="V188" s="13"><f>HV158</f><v /></c><c r="W188" s="13"><f>HW158</f><v /></c><c r="X188" s="13"><f>HX158</f><v /></c><c r="Y188" s="13"><f>HY158</f><v /></c><c r="Z188" s="13"><f>HZ158</f><v /></c><c r="AA188" s="13"><f>IA158</f><v /></c></row><row r="288" ht="20" customHeight="1"><c r="A288" s="26" t="inlineStr"><is><t>ORGANIC LOADING SECTION — Primene JMT Amine Capacity</t></is></c></row><row r="289" ht="15" customHeight="1"><c r="A289" s="18" t="inlineStr"><is><t>Extractant</t></is></c><c r="B289" s="27" t="inlineStr"><is><t>Primene JMT</t></is></c></row><row r="290" ht="15" customHeight="1"><c r="A290" s="18" t="inlineStr"><is><t>MW Extractant (g/mol)</t></is></c><c r="B290" s="12" t="n"><v>353.7</v></c></row><row r="291" ht="15" customHeight="1"><c r="A291" s="18" t="inlineStr"><is><t>Density extractant (g/mL)</t></is></c><c r="B291" s="12" t="n"><v>0.8120000000000001</v></c></row><row r="292" ht="15" customHeight="1"><c r="A292" s="18" t="inlineStr"><is><t>Vol% in diluent</t></is></c><c r="B292" s="12" t="n"><v>10</v></c></row><row r="293" ht="15" customHeight="1"><c r="A293" s="18" t="inlineStr"><is><t>Diluent</t></is></c><c r="B293" s="27" t="inlineStr"><is><t>Orfom</t></is></c></row><row r="294" ht="15" customHeight="1"><c r="A294" s="18" t="inlineStr"><is><t>Density diluent (g/mL)</t></is></c><c r="B294" s="12" t="n"><v>0.785</v></c></row><row r="295" ht="15" customHeight="1"><c r="A295" s="18" t="inlineStr"><is><t>Note — saponification</t></is></c><c r="B295" s="27" t="inlineStr"><is><t>N/A — primary amine</t></is></c></row><row r="296" ht="15" customHeight="1"><c r="A296" s="18" t="inlineStr"><is><t>Experimental loading (%)</t></is></c><c r="B296" s="12" t="n"><v>80</v></c></row><row r="297" ht="15" customHeight="1"><c r="A297" s="18" t="inlineStr"><is><t>Amine conc (mol/L)</t></is></c><c r="B297" s="13"><f>($B$292/100)*$B$291*1000/$B$290</f><v /></c></row><row r="298" ht="15" customHeight="1"><c r="A298" s="18" t="inlineStr"><is><t>Avg MW metals (g/mol)</t></is></c><c r="B298" s="13"><f>AVERAGE(26.98,44.96,55.85,58.93,65.38,69.72,85.47,88.91,91.22,138.91,140.12,140.91,144.24,150.36,151.96,157.25,158.93,162.5,164.93,167.26,168.93,173.04,174.97,178.49,232.04,238.03)</f><v /></c></row><row r="299" ht="15" customHeight="1"><c r="A299" s="18" t="inlineStr"><is><t>Max loading (g metal/L org)</t></is></c><c r="B299" s="13"><f>$B$297*$B$298</f><v /></c></row><row r="300" ht="15" customHeight="1"><c r="A300" s="18" t="inlineStr"><is><t>Actual loading (g/L)</t></is></c><c r="B300" s="15"><f>$B$299*$B$296/100</f><v /></c></row><row r="303" ht="20" customHeight="1"><c r="A303" s="26" t="inlineStr"><is><t>RESIDENCE TIME ANALYSIS</t></is></c></row><row r="304" ht="15" customHeight="1"><c r="A304" s="18" t="inlineStr"><is><t>Mixer volume (m³)</t></is></c><c r="B304" s="12" t="n"><v>0.001</v></c></row><row r="305" ht="15" customHeight="1"><c r="A305" s="18" t="inlineStr"><is><t>Settler length (m)</t></is></c><c r="B305" s="12" t="n"><v>1</v></c></row><row r="306" ht="15" customHeight="1"><c r="A306" s="18" t="inlineStr"><is><t>Settler width (m)</t></is></c><c r="B306" s="12" t="n"><v>0.5</v></c></row><row r="307" ht="15" customHeight="1"><c r="A307" s="18" t="inlineStr"><is><t>Settler depth (m)</t></is></c><c r="B307" s="12" t="n"><v>0.2</v></c></row><row r="308" ht="15" customHeight="1"><c r="A308" s="18" t="inlineStr"><is><t>n settlers/stage</t></is></c><c r="B308" s="12" t="n"><v>1</v></c></row><row r="310" ht="34" customHeight="1"><c r="A310" s="10" t="inlineStr"><is><t>Section</t></is></c><c r="B310" s="10" t="inlineStr"><is><t>n stages</t></is></c><c r="C310" s="10" t="inlineStr"><is><t>Q_aq
(mL/min)</t></is></c><c r="D310" s="10" t="inlineStr"><is><t>Q_tot
(mL/min)</t></is></c><c r="E310" s="10" t="inlineStr"><is><t>τ_mixer
(min)</t></is></c><c r="F310" s="10" t="inlineStr"><is><t>V_settler
(mL)</t></is></c><c r="G310" s="10" t="inlineStr"><is><t>τ_settler
(min)</t></is></c><c r="H310" s="10" t="inlineStr"><is><t>τ_stage
(min)</t></is></c><c r="I310" s="10" t="inlineStr"><is><t>τ_section
(min)</t></is></c></row><row r="311" ht="15" customHeight="1"><c r="A311" s="11" t="inlineStr"><is><t>Extraction</t></is></c><c r="B311" s="18"><f>$B$49</f><v /></c><c r="C311" s="13"><f>$B$55*1000</f><v /></c><c r="D311" s="13"><f>($B$55+$B$57)*1000</f><v /></c><c r="E311" s="13"><f>($B$304*1000000)/D311</f><v /></c><c r="F311" s="13"><f>$B$305*$B$306*$B$307*$B$308*1000000</f><v /></c><c r="G311" s="13"><f>F311/D311</f><v /></c><c r="H311" s="13"><f>E311+G311</f><v /></c><c r="I311" s="13"><f>B311*H311</f><v /></c></row><row r="312" ht="15" customHeight="1"><c r="A312" s="11" t="inlineStr"><is><t>Scrub</t></is></c><c r="B312" s="18"><f>$B$50</f><v /></c><c r="C312" s="13"><f>$B$56*$B$58*1000</f><v /></c><c r="D312" s="13"><f>($B$56*$B$58+$B$57)*1000</f><v /></c><c r="E312" s="13"><f>($B$304*1000000)/D312</f><v /></c><c r="F312" s="13"><f>$B$305*$B$306*$B$307*$B$308*1000000</f><v /></c><c r="G312" s="13"><f>F312/D312</f><v /></c><c r="H312" s="13"><f>E312+G312</f><v /></c><c r="I312" s="13"><f>B312*H312</f><v /></c></row><row r="313" ht="15" customHeight="1"><c r="A313" s="11" t="inlineStr"><is><t>Strip</t></is></c><c r="B313" s="18"><f>$B$51</f><v /></c><c r="C313" s="13"><f>$B$56*1000</f><v /></c><c r="D313" s="13"><f>($B$56+$B$57)*1000</f><v /></c><c r="E313" s="13"><f>($B$304*1000000)/D313</f><v /></c><c r="F313" s="13"><f>$B$305*$B$306*$B$307*$B$308*1000000</f><v /></c><c r="G313" s="13"><f>F313/D313</f><v /></c><c r="H313" s="13"><f>E313+G313</f><v /></c><c r="I313" s="13"><f>B313*H313</f><v /></c></row><row r="316" ht="18" customHeight="1"><c r="A316" s="17" t="inlineStr"><is><t>STEADY-STATE TIME ESTIMATOR  (Ritcey &amp; Ashbrook 1979; Perry's 8th §15-42)</t></is></c></row><row r="317"><c r="A317" s="18" t="inlineStr"><is><t>Safety factor</t></is></c><c r="B317" s="12" t="n"><v>3</v></c></row><row r="318"><c r="A318" s="18" t="inlineStr"><is><t>τ_max (min)</t></is></c><c r="B318" s="13"><f>MAX(I311:I313)</f><v /></c></row><row r="319"><c r="A319" s="18" t="inlineStr"><is><t>t_SS = factor × τ_max (min)</t></is></c><c r="B319" s="15"><f>$B$317*$B$318</f><v /></c></row><row r="320"><c r="A320" s="18" t="inlineStr"><is><t>Bottleneck section</t></is></c><c r="B320" s="13"><f>IFERROR(INDEX(A311:A313,MATCH(MAX(I311:I313),I311:I313,0)),"—")</f><v /></c></row><row r="323" ht="18" customHeight="1"><c r="A323" s="17" t="inlineStr"><is><t>FEED VARIABILITY SCENARIO  (Zr × k1/k2)</t></is></c></row><row r="324"><c r="A324" s="18" t="inlineStr"><is><t>k1 (Zr × high)</t></is></c><c r="B324" s="12" t="n"><v>1.2</v></c></row><row r="325"><c r="A325" s="18" t="inlineStr"><is><t>k2 (Zr × low)</t></is></c><c r="B325" s="12" t="n"><v>0.8</v></c></row><row r="326"><c r="A326" s="10" t="inlineStr"><is><t>Metric</t></is></c><c r="B326" s="10" t="inlineStr"><is><t>Normal</t></is></c><c r="C326" s="10" t="inlineStr"><is><t>Zr×k1</t></is></c><c r="D326" s="10" t="inlineStr"><is><t>Zr×k2</t></is></c></row><row r="327"><c r="A327" s="18" t="inlineStr"><is><t>Effective Zr feed (g/L)</t></is></c><c r="B327" s="15"><f>$K$58</f><v /></c><c r="C327" s="15"><f>$K$58*$B$324</f><v /></c><c r="D327" s="15"><f>$K$58*$B$325</f><v /></c></row><row r="331" ht="18" customHeight="1"><c r="A331" s="7" t="inlineStr"><is><t>TREEMAP DATA — Feed / Raffinate / Pregnant  (g/L)  → rendered as Treemap charts in Excel 2016+</t></is></c></row><row r="332" ht="16" customHeight="1"><c r="A332" s="10" t="inlineStr"><is><t>Element</t></is></c><c r="B332" s="28" t="inlineStr"><is><t>Feed (g/L)</t></is></c><c r="C332" s="29" t="inlineStr"><is><t>Raffinate (g/L)</t></is></c><c r="D332" s="30" t="inlineStr"><is><t>Pregnant (g/L)</t></is></c><c r="E332" s="10" t="inlineStr"><is><t>Group</t></is></c></row><row r="333" ht="14" customHeight="1"><c r="A333" s="11" t="inlineStr"><is><t>Al</t></is></c><c r="B333" s="13"><f>$K$50</f><v /></c><c r="C333" s="13"><f>HB134</f><v /></c><c r="D333" s="13"><f>IFERROR(INDEX(HB134:HB158,$B$49+$B$50+$B$51),0)</f><v /></c><c r="E333" s="18" t="inlineStr"><is><t>Light metals</t></is></c></row><row r="334" ht="14" customHeight="1"><c r="A334" s="11" t="inlineStr"><is><t>Sc</t></is></c><c r="B334" s="13"><f>$K$51</f><v /></c><c r="C334" s="13"><f>HC134</f><v /></c><c r="D334" s="13"><f>IFERROR(INDEX(HC134:HC158,$B$49+$B$50+$B$51),0)</f><v /></c><c r="E334" s="18" t="inlineStr"><is><t>Transition</t></is></c></row><row r="335" ht="14" customHeight="1"><c r="A335" s="11" t="inlineStr"><is><t>Fe</t></is></c><c r="B335" s="13"><f>$K$52</f><v /></c><c r="C335" s="13"><f>HD134</f><v /></c><c r="D335" s="13"><f>IFERROR(INDEX(HD134:HD158,$B$49+$B$50+$B$51),0)</f><v /></c><c r="E335" s="18" t="inlineStr"><is><t>Transition</t></is></c></row><row r="336" ht="14" customHeight="1"><c r="A336" s="11" t="inlineStr"><is><t>Co</t></is></c><c r="B336" s="13"><f>$K$53</f><v /></c><c r="C336" s="13"><f>HE134</f><v /></c><c r="D336" s="13"><f>IFERROR(INDEX(HE134:HE158,$B$49+$B$50+$B$51),0)</f><v /></c><c r="E336" s="18" t="inlineStr"><is><t>Transition</t></is></c></row><row r="337" ht="14" customHeight="1"><c r="A337" s="11" t="inlineStr"><is><t>Zn</t></is></c><c r="B337" s="13"><f>$K$54</f><v /></c><c r="C337" s="13"><f>HF134</f><v /></c><c r="D337" s="13"><f>IFERROR(INDEX(HF134:HF158,$B$49+$B$50+$B$51),0)</f><v /></c><c r="E337" s="18" t="inlineStr"><is><t>Transition</t></is></c></row><row r="338" ht="14" customHeight="1"><c r="A338" s="11" t="inlineStr"><is><t>Ga</t></is></c><c r="B338" s="13"><f>$K$55</f><v /></c><c r="C338" s="13"><f>HG134</f><v /></c><c r="D338" s="13"><f>IFERROR(INDEX(HG134:HG158,$B$49+$B$50+$B$51),0)</f><v /></c><c r="E338" s="18" t="inlineStr"><is><t>Post-transition</t></is></c></row><row r="339" ht="14" customHeight="1"><c r="A339" s="11" t="inlineStr"><is><t>Rb</t></is></c><c r="B339" s="13"><f>$K$56</f><v /></c><c r="C339" s="13"><f>HH134</f><v /></c><c r="D339" s="13"><f>IFERROR(INDEX(HH134:HH158,$B$49+$B$50+$B$51),0)</f><v /></c><c r="E339" s="18" t="inlineStr"><is><t>Alkali</t></is></c></row><row r="340" ht="14" customHeight="1"><c r="A340" s="11" t="inlineStr"><is><t>Y</t></is></c><c r="B340" s="13"><f>$K$57</f><v /></c><c r="C340" s="13"><f>HI134</f><v /></c><c r="D340" s="13"><f>IFERROR(INDEX(HI134:HI158,$B$49+$B$50+$B$51),0)</f><v /></c><c r="E340" s="18" t="inlineStr"><is><t>REE</t></is></c></row><row r="341" ht="14" customHeight="1"><c r="A341" s="11" t="inlineStr"><is><t>Zr</t></is></c><c r="B341" s="13"><f>$K$58</f><v /></c><c r="C341" s="13"><f>HJ134</f><v /></c><c r="D341" s="13"><f>IFERROR(INDEX(HJ134:HJ158,$B$49+$B$50+$B$51),0)</f><v /></c><c r="E341" s="18" t="inlineStr"><is><t>HFSEs</t></is></c></row><row r="342" ht="14" customHeight="1"><c r="A342" s="11" t="inlineStr"><is><t>La</t></is></c><c r="B342" s="13"><f>$K$59</f><v /></c><c r="C342" s="13"><f>HK134</f><v /></c><c r="D342" s="13"><f>IFERROR(INDEX(HK134:HK158,$B$49+$B$50+$B$51),0)</f><v /></c><c r="E342" s="18" t="inlineStr"><is><t>REE</t></is></c></row><row r="343" ht="14" customHeight="1"><c r="A343" s="11" t="inlineStr"><is><t>Ce</t></is></c><c r="B343" s="13"><f>$K$60</f><v /></c><c r="C343" s="13"><f>HL134</f><v /></c><c r="D343" s="13"><f>IFERROR(INDEX(HL134:HL158,$B$49+$B$50+$B$51),0)</f><v /></c><c r="E343" s="18" t="inlineStr"><is><t>REE</t></is></c></row><row r="344" ht="14" customHeight="1"><c r="A344" s="11" t="inlineStr"><is><t>Pr</t></is></c><c r="B344" s="13"><f>$K$61</f><v /></c><c r="C344" s="13"><f>HM134</f><v /></c><c r="D344" s="13"><f>IFERROR(INDEX(HM134:HM158,$B$49+$B$50+$B$51),0)</f><v /></c><c r="E344" s="18" t="inlineStr"><is><t>REE</t></is></c></row><row r="345" ht="14" customHeight="1"><c r="A345" s="11" t="inlineStr"><is><t>Nd</t></is></c><c r="B345" s="13"><f>$K$62</f><v /></c><c r="C345" s="13"><f>HN134</f><v /></c><c r="D345" s="13"><f>IFERROR(INDEX(HN134:HN158,$B$49+$B$50+$B$51),0)</f><v /></c><c r="E345" s="18" t="inlineStr"><is><t>REE</t></is></c></row><row r="346" ht="14" customHeight="1"><c r="A346" s="11" t="inlineStr"><is><t>Sm</t></is></c><c r="B346" s="13"><f>$K$63</f><v /></c><c r="C346" s="13"><f>HO134</f><v /></c><c r="D346" s="13"><f>IFERROR(INDEX(HO134:HO158,$B$49+$B$50+$B$51),0)</f><v /></c><c r="E346" s="18" t="inlineStr"><is><t>REE</t></is></c></row><row r="347" ht="14" customHeight="1"><c r="A347" s="11" t="inlineStr"><is><t>Eu</t></is></c><c r="B347" s="13"><f>$K$64</f><v /></c><c r="C347" s="13"><f>HP134</f><v /></c><c r="D347" s="13"><f>IFERROR(INDEX(HP134:HP158,$B$49+$B$50+$B$51),0)</f><v /></c><c r="E347" s="18" t="inlineStr"><is><t>REE</t></is></c></row><row r="348" ht="14" customHeight="1"><c r="A348" s="11" t="inlineStr"><is><t>Gd</t></is></c><c r="B348" s="13"><f>$K$65</f><v /></c><c r="C348" s="13"><f>HQ134</f><v /></c><c r="D348" s="13"><f>IFERROR(INDEX(HQ134:HQ158,$B$49+$B$50+$B$51),0)</f><v /></c><c r="E348" s="18" t="inlineStr"><is><t>REE</t></is></c></row><row r="349" ht="14" customHeight="1"><c r="A349" s="11" t="inlineStr"><is><t>Tb</t></is></c><c r="B349" s="13"><f>$K$66</f><v /></c><c r="C349" s="13"><f>HR134</f><v /></c><c r="D349" s="13"><f>IFERROR(INDEX(HR134:HR158,$B$49+$B$50+$B$51),0)</f><v /></c><c r="E349" s="18" t="inlineStr"><is><t>REE</t></is></c></row><row r="350" ht="14" customHeight="1"><c r="A350" s="11" t="inlineStr"><is><t>Dy</t></is></c><c r="B350" s="13"><f>$K$67</f><v /></c><c r="C350" s="13"><f>HS134</f><v /></c><c r="D350" s="13"><f>IFERROR(INDEX(HS134:HS158,$B$49+$B$50+$B$51),0)</f><v /></c><c r="E350" s="18" t="inlineStr"><is><t>REE</t></is></c></row><row r="351" ht="14" customHeight="1"><c r="A351" s="11" t="inlineStr"><is><t>Ho</t></is></c><c r="B351" s="13"><f>$K$68</f><v /></c><c r="C351" s="13"><f>HT134</f><v /></c><c r="D351" s="13"><f>IFERROR(INDEX(HT134:HT158,$B$49+$B$50+$B$51),0)</f><v /></c><c r="E351" s="18" t="inlineStr"><is><t>REE</t></is></c></row><row r="352" ht="14" customHeight="1"><c r="A352" s="11" t="inlineStr"><is><t>Er</t></is></c><c r="B352" s="13"><f>$K$69</f><v /></c><c r="C352" s="13"><f>HU134</f><v /></c><c r="D352" s="13"><f>IFERROR(INDEX(HU134:HU158,$B$49+$B$50+$B$51),0)</f><v /></c><c r="E352" s="18" t="inlineStr"><is><t>REE</t></is></c></row><row r="353" ht="14" customHeight="1"><c r="A353" s="11" t="inlineStr"><is><t>Tm</t></is></c><c r="B353" s="13"><f>$K$70</f><v /></c><c r="C353" s="13"><f>HV134</f><v /></c><c r="D353" s="13"><f>IFERROR(INDEX(HV134:HV158,$B$49+$B$50+$B$51),0)</f><v /></c><c r="E353" s="18" t="inlineStr"><is><t>REE</t></is></c></row><row r="354" ht="14" customHeight="1"><c r="A354" s="11" t="inlineStr"><is><t>Yb</t></is></c><c r="B354" s="13"><f>$K$71</f><v /></c><c r="C354" s="13"><f>HW134</f><v /></c><c r="D354" s="13"><f>IFERROR(INDEX(HW134:HW158,$B$49+$B$50+$B$51),0)</f><v /></c><c r="E354" s="18" t="inlineStr"><is><t>REE</t></is></c></row><row r="355" ht="14" customHeight="1"><c r="A355" s="11" t="inlineStr"><is><t>Lu</t></is></c><c r="B355" s="13"><f>$K$72</f><v /></c><c r="C355" s="13"><f>HX134</f><v /></c><c r="D355" s="13"><f>IFERROR(INDEX(HX134:HX158,$B$49+$B$50+$B$51),0)</f><v /></c><c r="E355" s="18" t="inlineStr"><is><t>REE</t></is></c></row><row r="356" ht="14" customHeight="1"><c r="A356" s="11" t="inlineStr"><is><t>Hf</t></is></c><c r="B356" s="13"><f>$K$73</f><v /></c><c r="C356" s="13"><f>HY134</f><v /></c><c r="D356" s="13"><f>IFERROR(INDEX(HY134:HY158,$B$49+$B$50+$B$51),0)</f><v /></c><c r="E356" s="18" t="inlineStr"><is><t>HFSEs</t></is></c></row><row r="357" ht="14" customHeight="1"><c r="A357" s="11" t="inlineStr"><is><t>Th</t></is></c><c r="B357" s="13"><f>$K$74</f><v /></c><c r="C357" s="13"><f>HZ134</f><v /></c><c r="D357" s="13"><f>IFERROR(INDEX(HZ134:HZ158,$B$49+$B$50+$B$51),0)</f><v /></c><c r="E357" s="18" t="inlineStr"><is><t>Actinides</t></is></c></row><row r="358" ht="14" customHeight="1"><c r="A358" s="11" t="inlineStr"><is><t>U</t></is></c><c r="B358" s="13"><f>$K$75</f><v /></c><c r="C358" s="13"><f>IA134</f><v /></c><c r="D358" s="13"><f>IFERROR(INDEX(IA134:IA158,$B$49+$B$50+$B$51),0)</f><v /></c><c r="E358" s="18" t="inlineStr"><is><t>Actinides</t></is></c></row></sheetData><mergeCells count="80"><mergeCell ref="D2:F2" /><mergeCell ref="DB132:DI132" /><mergeCell ref="HM132:HM133" /><mergeCell ref="HE132:HE133" /><mergeCell ref="GD132:GK132" /><mergeCell ref="HG132:HG133" /><mergeCell ref="HY132:HY133" /><mergeCell ref="A316:N316" /><mergeCell ref="HS132:HS133" /><mergeCell ref="IC132:IC133" /><mergeCell ref="N48:O48" /><mergeCell ref="EX132:FE132" /><mergeCell ref="J48:L48" /><mergeCell ref="G2:I2" /><mergeCell ref="A5:BD5" /><mergeCell ref="M2:O2" /><mergeCell ref="BF132:BM132" /><mergeCell ref="A48:B48" /><mergeCell ref="HH132:HH133" /><mergeCell ref="HR132:HR133" /><mergeCell ref="HT132:HT133" /><mergeCell ref="R132:Y132" /><mergeCell ref="A162:AA162" /><mergeCell ref="HV132:HV133" /><mergeCell ref="EH132:EO132" /><mergeCell ref="HX132:HX133" /><mergeCell ref="BF5:DI5" /><mergeCell ref="A1:BZ1" /><mergeCell ref="AP132:AW132" /><mergeCell ref="DZ132:EG132" /><mergeCell ref="CT132:DA132" /><mergeCell ref="CL132:CS132" /><mergeCell ref="FF132:FM132" /><mergeCell ref="HQ132:HQ133" /><mergeCell ref="IA132:IA133" /><mergeCell ref="Q48:S48" /><mergeCell ref="J2:L2" /><mergeCell ref="DJ132:DQ132" /><mergeCell ref="A17:FZ17" /><mergeCell ref="HI132:HI133" /><mergeCell ref="A303:N303" /><mergeCell ref="HK132:HK133" /><mergeCell ref="HC132:HC133" /><mergeCell ref="A11:AA11" /><mergeCell ref="HD132:HD133" /><mergeCell ref="HF132:HF133" /><mergeCell ref="D48:I48" /><mergeCell ref="HL132:HL133" /><mergeCell ref="A2:C2" /><mergeCell ref="A47:AD47" /><mergeCell ref="B132:I132" /><mergeCell ref="HN132:HN133" /><mergeCell ref="HP132:HP133" /><mergeCell ref="BN132:BU132" /><mergeCell ref="DR132:DY132" /><mergeCell ref="A131:IC131" /><mergeCell ref="BF11:CF11" /><mergeCell ref="A323:N323" /><mergeCell ref="HU132:HU133" /><mergeCell ref="GL132:GS132" /><mergeCell ref="HW132:HW133" /><mergeCell ref="HO132:HO133" /><mergeCell ref="A288:N288" /><mergeCell ref="A132:A133" /><mergeCell ref="A4:DJ4" /><mergeCell ref="FV132:GC132" /><mergeCell ref="FN132:FU132" /><mergeCell ref="A331:AA331" /><mergeCell ref="HB132:HB133" /><mergeCell ref="J132:Q132" /><mergeCell ref="BV132:CC132" /><mergeCell ref="HZ132:HZ133" /><mergeCell ref="AH132:AO132" /><mergeCell ref="IB132:IB133" /><mergeCell ref="Z132:AG132" /><mergeCell ref="CD132:CK132" /><mergeCell ref="EP132:EW132" /><mergeCell ref="AX132:BE132" /><mergeCell ref="GT132:HA132" /><mergeCell ref="HJ132:HJ133" /></mergeCells><pageMargins left="0.75" right="0.75" top="1" bottom="1" header="0.5" footer="0.5" /><drawing xmlns:r="http://schemas.openxmlformats.org/officeDocument/2006/relationships" r:id="rId1" /><drawing r:id="rId2"/>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2026-07-06T09:46:13Z</dcterms:created>
  <dcterms:modified xsi:type="dcterms:W3CDTF">2026-07-06T09:46:14Z</dcterms:modified>
</cp:coreProperties>
</file>